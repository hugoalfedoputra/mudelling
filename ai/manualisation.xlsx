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2.xml" ContentType="application/vnd.openxmlformats-officedocument.drawing+xml"/>
  <Override PartName="/xl/charts/colors6.xml" ContentType="application/vnd.ms-office.chartcolorstyle+xml"/>
  <Override PartName="/xl/worksheets/sheet4.xml" ContentType="application/vnd.openxmlformats-officedocument.spreadsheetml.worksheet+xml"/>
  <Override PartName="/xl/charts/chart5.xml" ContentType="application/vnd.openxmlformats-officedocument.drawingml.chart+xml"/>
  <Override PartName="/xl/worksheets/sheet14.xml" ContentType="application/vnd.openxmlformats-officedocument.spreadsheetml.worksheet+xml"/>
  <Override PartName="/xl/charts/style4.xml" ContentType="application/vnd.ms-office.chartstyle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docProps/app.xml" ContentType="application/vnd.openxmlformats-officedocument.extended-properties+xml"/>
  <Override PartName="/xl/charts/style2.xml" ContentType="application/vnd.ms-office.chartstyle+xml"/>
  <Override PartName="/xl/worksheets/sheet11.xml" ContentType="application/vnd.openxmlformats-officedocument.spreadsheetml.worksheet+xml"/>
  <Override PartName="/xl/charts/style5.xml" ContentType="application/vnd.ms-office.chartstyl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harts/colors2.xml" ContentType="application/vnd.ms-office.chartcolor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6.xml" ContentType="application/vnd.openxmlformats-officedocument.drawingml.char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charts/colors5.xml" ContentType="application/vnd.ms-office.chartcolorstyle+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harts/style6.xml" ContentType="application/vnd.ms-office.chartstyle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olors3.xml" ContentType="application/vnd.ms-office.chartcolorstyle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richData/rdrichvaluestructure.xml" ContentType="application/vnd.ms-excel.rdrichvaluestructur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heme/theme1.xml" ContentType="application/vnd.openxmlformats-officedocument.theme+xml"/>
  <Override PartName="/xl/charts/colors4.xml" ContentType="application/vnd.ms-office.chartcolorstyle+xml"/>
  <Override PartName="/xl/charts/style1.xml" ContentType="application/vnd.ms-office.chartstyle+xml"/>
  <Override PartName="/xl/richData/rdrichvalue.xml" ContentType="application/vnd.ms-excel.rdrichvalue+xml"/>
  <Override PartName="/xl/richData/rdRichValueTypes.xml" ContentType="application/vnd.ms-excel.rdrichvaluetyp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DATA" sheetId="1" state="visible" r:id="rId5"/>
    <sheet name="FRONTEND" sheetId="2" state="visible" r:id="rId6"/>
    <sheet name="CNN-BE" sheetId="3" state="visible" r:id="rId7"/>
    <sheet name="GRU-BE" sheetId="4" state="visible" r:id="rId8"/>
    <sheet name="ATTN-BE" sheetId="5" state="visible" r:id="rId9"/>
    <sheet name="EVAL" sheetId="6" state="visible" r:id="rId10"/>
    <sheet name="||" sheetId="7" state="visible" r:id="rId11"/>
    <sheet name="CONVTEST" sheetId="8" state="visible" r:id="rId12"/>
    <sheet name="GRU" sheetId="9" state="visible" r:id="rId13"/>
    <sheet name="LMSPEC" sheetId="10" state="visible" r:id="rId14"/>
    <sheet name="PEMATRX" sheetId="11" state="visible" r:id="rId15"/>
    <sheet name="CNN-BE2" sheetId="12" state="visible" r:id="rId16"/>
    <sheet name="GRU-BE2" sheetId="13" state="visible" r:id="rId17"/>
    <sheet name="ATTN-BE2" sheetId="14" state="visible" r:id="rId18"/>
  </sheet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1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<sst xmlns="http://schemas.openxmlformats.org/spreadsheetml/2006/main" count="336" uniqueCount="336">
  <si>
    <t xml:space="preserve">Ini dijelaskan di Bab 2.2.4.1</t>
  </si>
  <si>
    <t xml:space="preserve">Normalisasi per fitur/pita mel</t>
  </si>
  <si>
    <t/>
  </si>
  <si>
    <t>INPUT</t>
  </si>
  <si>
    <t>dB</t>
  </si>
  <si>
    <t>Z-SCORE</t>
  </si>
  <si>
    <t>avg</t>
  </si>
  <si>
    <t>std_dev</t>
  </si>
  <si>
    <t>PREDIKSI</t>
  </si>
  <si>
    <t>LABEL</t>
  </si>
  <si>
    <t>gembira</t>
  </si>
  <si>
    <t>sedih</t>
  </si>
  <si>
    <t>tegang</t>
  </si>
  <si>
    <t>COUNTIF</t>
  </si>
  <si>
    <t xml:space="preserve">Akan dihitung</t>
  </si>
  <si>
    <t>p_n</t>
  </si>
  <si>
    <t>n=1,2,3</t>
  </si>
  <si>
    <t>Dummy</t>
  </si>
  <si>
    <t xml:space="preserve">&gt;&gt; LIHAT SHEET "EVAL"</t>
  </si>
  <si>
    <t>FEED-FORWARD</t>
  </si>
  <si>
    <t xml:space="preserve">KONVOLUSI VERTIKAL</t>
  </si>
  <si>
    <t xml:space="preserve">KONVOLUSI HORIZONTAL</t>
  </si>
  <si>
    <t>KERNEL</t>
  </si>
  <si>
    <t>BIAS</t>
  </si>
  <si>
    <t xml:space="preserve">INPUT PADDED</t>
  </si>
  <si>
    <t>HASIL</t>
  </si>
  <si>
    <t xml:space="preserve">Pers 2.15</t>
  </si>
  <si>
    <t xml:space="preserve">Pers 2.8</t>
  </si>
  <si>
    <t>RELU</t>
  </si>
  <si>
    <t xml:space="preserve">Pers 2.16</t>
  </si>
  <si>
    <t xml:space="preserve">INPUT MEAN-POOLED</t>
  </si>
  <si>
    <t xml:space="preserve">Pers 2.9</t>
  </si>
  <si>
    <t xml:space="preserve">INPUT MEAN-POOLED PADDED</t>
  </si>
  <si>
    <t>MAX-POOLING</t>
  </si>
  <si>
    <t xml:space="preserve">KERNEL 1x5</t>
  </si>
  <si>
    <t>CONCATENATE</t>
  </si>
  <si>
    <t xml:space="preserve">Pers 2.20</t>
  </si>
  <si>
    <t>BACKPROPAGATION</t>
  </si>
  <si>
    <t>CLASSIFIER</t>
  </si>
  <si>
    <t>BACK-END</t>
  </si>
  <si>
    <t>BOBOT</t>
  </si>
  <si>
    <t xml:space="preserve">L wrt y_n</t>
  </si>
  <si>
    <t xml:space="preserve">Pers 2.96</t>
  </si>
  <si>
    <t xml:space="preserve">KE RELU</t>
  </si>
  <si>
    <t xml:space="preserve">Pers 2.25</t>
  </si>
  <si>
    <t xml:space="preserve">DARI FRONT-END</t>
  </si>
  <si>
    <t xml:space="preserve">CONCATENATE PADDING</t>
  </si>
  <si>
    <t xml:space="preserve">Pers 2.99</t>
  </si>
  <si>
    <t xml:space="preserve">KE SIGMOID</t>
  </si>
  <si>
    <t>OUTPUT</t>
  </si>
  <si>
    <t xml:space="preserve">Pers 2.94</t>
  </si>
  <si>
    <t xml:space="preserve">Pers 2.26</t>
  </si>
  <si>
    <t xml:space="preserve">Pers 2.27</t>
  </si>
  <si>
    <t xml:space="preserve">Pers 2.23</t>
  </si>
  <si>
    <t xml:space="preserve">Catatan: ini adalah matriks hasil concatenate dari front-end saat feed-forward</t>
  </si>
  <si>
    <t xml:space="preserve">OUTPUT SIGMOID</t>
  </si>
  <si>
    <t xml:space="preserve">Pers 2.95</t>
  </si>
  <si>
    <t xml:space="preserve">Pers 2.100</t>
  </si>
  <si>
    <t xml:space="preserve">KE FRONT-END</t>
  </si>
  <si>
    <t xml:space="preserve">Pers 2.31</t>
  </si>
  <si>
    <t xml:space="preserve">Pers 2.24</t>
  </si>
  <si>
    <t>LOSS</t>
  </si>
  <si>
    <t xml:space="preserve">Pers 2.122</t>
  </si>
  <si>
    <t>t_n</t>
  </si>
  <si>
    <t xml:space="preserve">Pers 2.101</t>
  </si>
  <si>
    <t>n=1</t>
  </si>
  <si>
    <t xml:space="preserve">Catatan: matriks gradien RELU di-flip vertikal lalu horizontal sebelum dikalikan dengan kernel</t>
  </si>
  <si>
    <t>lr=</t>
  </si>
  <si>
    <t>FRONT-END</t>
  </si>
  <si>
    <t xml:space="preserve">KE POOLING</t>
  </si>
  <si>
    <t xml:space="preserve">KERNEL 1x2</t>
  </si>
  <si>
    <t xml:space="preserve">Pers 2.92</t>
  </si>
  <si>
    <t xml:space="preserve">Pers 2.102</t>
  </si>
  <si>
    <t xml:space="preserve">KE MAX-POOLING</t>
  </si>
  <si>
    <t xml:space="preserve">Pers 2.10</t>
  </si>
  <si>
    <t>argmax</t>
  </si>
  <si>
    <t>MEAN-POOLING</t>
  </si>
  <si>
    <t xml:space="preserve">Pers 2.104</t>
  </si>
  <si>
    <t xml:space="preserve">Pers 2.11</t>
  </si>
  <si>
    <t>T=</t>
  </si>
  <si>
    <t xml:space="preserve">Pers 2.13</t>
  </si>
  <si>
    <t xml:space="preserve">Pers 2.14</t>
  </si>
  <si>
    <t xml:space="preserve">KE BACK-END</t>
  </si>
  <si>
    <t xml:space="preserve">Pers 2.17</t>
  </si>
  <si>
    <t xml:space="preserve">Pers 2.18</t>
  </si>
  <si>
    <t xml:space="preserve">Pers 2.19</t>
  </si>
  <si>
    <t>GRU</t>
  </si>
  <si>
    <t xml:space="preserve">F_out x 1</t>
  </si>
  <si>
    <t>h_0</t>
  </si>
  <si>
    <t>F_in</t>
  </si>
  <si>
    <t xml:space="preserve">(banyak fitur pada masukan)</t>
  </si>
  <si>
    <t>t=6</t>
  </si>
  <si>
    <t xml:space="preserve">Pers 2.43</t>
  </si>
  <si>
    <t xml:space="preserve">Pers 2.44</t>
  </si>
  <si>
    <t xml:space="preserve">Pers 2.45</t>
  </si>
  <si>
    <t xml:space="preserve">Pers 2.46</t>
  </si>
  <si>
    <t xml:space="preserve">Pers 2.47</t>
  </si>
  <si>
    <t xml:space="preserve">Pers 2.48</t>
  </si>
  <si>
    <t xml:space="preserve">Pers 2.49</t>
  </si>
  <si>
    <t xml:space="preserve">Pers 2.52</t>
  </si>
  <si>
    <t xml:space="preserve">Pers 2.55</t>
  </si>
  <si>
    <t xml:space="preserve">Pers 2.58</t>
  </si>
  <si>
    <t>F_out</t>
  </si>
  <si>
    <t xml:space="preserve">(banyak fitur pada hidden state dan keluaran)</t>
  </si>
  <si>
    <t xml:space="preserve">Pers 2.39</t>
  </si>
  <si>
    <t xml:space="preserve">L wrt h_t</t>
  </si>
  <si>
    <t xml:space="preserve">L wrt ~h_t</t>
  </si>
  <si>
    <t xml:space="preserve">L wrt z_~h(t)</t>
  </si>
  <si>
    <t xml:space="preserve">L wrt z_t</t>
  </si>
  <si>
    <t xml:space="preserve">L wrt z_z(t)</t>
  </si>
  <si>
    <t xml:space="preserve">L wrt r_t</t>
  </si>
  <si>
    <t xml:space="preserve">L wrt z_r(t)</t>
  </si>
  <si>
    <t xml:space="preserve">L wrt h_t-1</t>
  </si>
  <si>
    <t xml:space="preserve">L wrt W_h</t>
  </si>
  <si>
    <t xml:space="preserve">Pers 2.50</t>
  </si>
  <si>
    <t xml:space="preserve">L wrt U_h</t>
  </si>
  <si>
    <t xml:space="preserve">Pers 2.51</t>
  </si>
  <si>
    <t xml:space="preserve">L wrt b_h</t>
  </si>
  <si>
    <t xml:space="preserve">L wrt W_z</t>
  </si>
  <si>
    <t xml:space="preserve">Pers 2.53</t>
  </si>
  <si>
    <t xml:space="preserve">L wrt U_z</t>
  </si>
  <si>
    <t xml:space="preserve">Pers 2.54</t>
  </si>
  <si>
    <t xml:space="preserve">L wrt b_z</t>
  </si>
  <si>
    <t xml:space="preserve">L wrt W_r</t>
  </si>
  <si>
    <t xml:space="preserve">Pers 2.56</t>
  </si>
  <si>
    <t xml:space="preserve">L wrt U_r</t>
  </si>
  <si>
    <t xml:space="preserve">Pers 2.57</t>
  </si>
  <si>
    <t xml:space="preserve">L wrt b_r</t>
  </si>
  <si>
    <t xml:space="preserve">F_out x F_in</t>
  </si>
  <si>
    <t xml:space="preserve">F_out x F_out</t>
  </si>
  <si>
    <t>W_r</t>
  </si>
  <si>
    <t>U_r</t>
  </si>
  <si>
    <t>b_r</t>
  </si>
  <si>
    <t>t=5</t>
  </si>
  <si>
    <t>TRANSPOSE</t>
  </si>
  <si>
    <t>t=1</t>
  </si>
  <si>
    <t>W_z</t>
  </si>
  <si>
    <t>U_z</t>
  </si>
  <si>
    <t>b_z</t>
  </si>
  <si>
    <t>t=4</t>
  </si>
  <si>
    <t>W_h</t>
  </si>
  <si>
    <t>U_h</t>
  </si>
  <si>
    <t>b_h</t>
  </si>
  <si>
    <t>t=3</t>
  </si>
  <si>
    <t xml:space="preserve">Ref: apabila menggunakan cara PyTorch</t>
  </si>
  <si>
    <t xml:space="preserve">H TILDE</t>
  </si>
  <si>
    <t>TANH</t>
  </si>
  <si>
    <t>H</t>
  </si>
  <si>
    <t>R</t>
  </si>
  <si>
    <t xml:space="preserve">Pers 2.32</t>
  </si>
  <si>
    <t>SIGMOID</t>
  </si>
  <si>
    <t>Z</t>
  </si>
  <si>
    <t xml:space="preserve">Pers 2.34</t>
  </si>
  <si>
    <t xml:space="preserve">Pers 2.35</t>
  </si>
  <si>
    <t>t=2</t>
  </si>
  <si>
    <t xml:space="preserve">H  </t>
  </si>
  <si>
    <t xml:space="preserve">Pers 2.37</t>
  </si>
  <si>
    <t>https://docs.pytorch.org/docs/2.12/generated/torch.nn.GRU.html</t>
  </si>
  <si>
    <t xml:space="preserve">SUM t=1,2,...,6</t>
  </si>
  <si>
    <t xml:space="preserve">L wrt O_Cc</t>
  </si>
  <si>
    <t xml:space="preserve">Pers 2.59</t>
  </si>
  <si>
    <t xml:space="preserve">Pers 2.38</t>
  </si>
  <si>
    <t xml:space="preserve">Pers 2.93</t>
  </si>
  <si>
    <t xml:space="preserve">TRANSPOSE DAN CONCATENATE</t>
  </si>
  <si>
    <t xml:space="preserve">ITERASI MUNDUR</t>
  </si>
  <si>
    <t>FLATTEN</t>
  </si>
  <si>
    <t xml:space="preserve">ITERASI MUNDUR TRANSPOSED</t>
  </si>
  <si>
    <t>dk</t>
  </si>
  <si>
    <t>dv</t>
  </si>
  <si>
    <t>MHA</t>
  </si>
  <si>
    <t xml:space="preserve">POSITION-WISE FFN</t>
  </si>
  <si>
    <t>d_model</t>
  </si>
  <si>
    <t xml:space="preserve">Pers 2.62</t>
  </si>
  <si>
    <t>head_1</t>
  </si>
  <si>
    <t xml:space="preserve">Pers 2.63</t>
  </si>
  <si>
    <t>h</t>
  </si>
  <si>
    <t xml:space="preserve">Q WQ</t>
  </si>
  <si>
    <t xml:space="preserve">K WK</t>
  </si>
  <si>
    <t xml:space="preserve">V WV</t>
  </si>
  <si>
    <t>QK^T</t>
  </si>
  <si>
    <t>SOFTMAX</t>
  </si>
  <si>
    <t xml:space="preserve">SOFTMAX V</t>
  </si>
  <si>
    <t xml:space="preserve">Pers 2.60</t>
  </si>
  <si>
    <t>W2</t>
  </si>
  <si>
    <t xml:space="preserve">Pers 2.67</t>
  </si>
  <si>
    <t>b2</t>
  </si>
  <si>
    <t xml:space="preserve">Pers 2.68</t>
  </si>
  <si>
    <t>d_ff</t>
  </si>
  <si>
    <t xml:space="preserve">L wrt O_FFN(1)</t>
  </si>
  <si>
    <t xml:space="preserve">Pers 2.71</t>
  </si>
  <si>
    <t xml:space="preserve">POSITIONAL ENCODING</t>
  </si>
  <si>
    <t xml:space="preserve">Pers 2.64</t>
  </si>
  <si>
    <t xml:space="preserve">PE matrix</t>
  </si>
  <si>
    <t>i=</t>
  </si>
  <si>
    <t>head_2</t>
  </si>
  <si>
    <t xml:space="preserve">Pers 2.72</t>
  </si>
  <si>
    <t>W1Q</t>
  </si>
  <si>
    <t>W1K</t>
  </si>
  <si>
    <t>W1V</t>
  </si>
  <si>
    <t xml:space="preserve">Pers 2.65</t>
  </si>
  <si>
    <t>O_MHA</t>
  </si>
  <si>
    <t>W1</t>
  </si>
  <si>
    <t xml:space="preserve">Pers 2.73</t>
  </si>
  <si>
    <t>b1</t>
  </si>
  <si>
    <t xml:space="preserve">Pers 2.74</t>
  </si>
  <si>
    <t>W2Q</t>
  </si>
  <si>
    <t>W2K</t>
  </si>
  <si>
    <t>W2V</t>
  </si>
  <si>
    <t xml:space="preserve">(termasuk residual)</t>
  </si>
  <si>
    <t xml:space="preserve">L wrt O_MHA</t>
  </si>
  <si>
    <t xml:space="preserve">Pers 2.75</t>
  </si>
  <si>
    <t>WO</t>
  </si>
  <si>
    <t xml:space="preserve">LAYER 1</t>
  </si>
  <si>
    <t xml:space="preserve">Pers 2.66</t>
  </si>
  <si>
    <t xml:space="preserve">LAYER 2</t>
  </si>
  <si>
    <t>O_Attn</t>
  </si>
  <si>
    <t xml:space="preserve">Pers 2.76</t>
  </si>
  <si>
    <t xml:space="preserve">L wrt C_h</t>
  </si>
  <si>
    <t xml:space="preserve">Pers 2.78</t>
  </si>
  <si>
    <t xml:space="preserve">Pers 2.91</t>
  </si>
  <si>
    <t xml:space="preserve">Pers 2.84</t>
  </si>
  <si>
    <t xml:space="preserve">Pers 2.86</t>
  </si>
  <si>
    <t xml:space="preserve">Pers 2.87</t>
  </si>
  <si>
    <t xml:space="preserve">Pers 2.88</t>
  </si>
  <si>
    <t xml:space="preserve">Pers 2.89</t>
  </si>
  <si>
    <t xml:space="preserve">Pers 2.90</t>
  </si>
  <si>
    <t xml:space="preserve">Pers 2.82</t>
  </si>
  <si>
    <t xml:space="preserve">L wrt V</t>
  </si>
  <si>
    <t xml:space="preserve">L wrt s_Attn(i)</t>
  </si>
  <si>
    <t xml:space="preserve">Pers 2.83</t>
  </si>
  <si>
    <t xml:space="preserve">L wrt z_Attn(i)</t>
  </si>
  <si>
    <t xml:space="preserve">L wrt K</t>
  </si>
  <si>
    <t xml:space="preserve">L wrt Q</t>
  </si>
  <si>
    <t xml:space="preserve">L wrt WQ</t>
  </si>
  <si>
    <t xml:space="preserve">L wrt WK</t>
  </si>
  <si>
    <t xml:space="preserve">L wrt WV</t>
  </si>
  <si>
    <t>term1</t>
  </si>
  <si>
    <t>term2</t>
  </si>
  <si>
    <t>term3</t>
  </si>
  <si>
    <t>SUM</t>
  </si>
  <si>
    <t xml:space="preserve">SEMUA head</t>
  </si>
  <si>
    <t xml:space="preserve">(dengan residual)</t>
  </si>
  <si>
    <t>CNN</t>
  </si>
  <si>
    <t xml:space="preserve">Manualisasi ini hanya untuk keluaran CNN saja</t>
  </si>
  <si>
    <t>SESUNGGUHNYA</t>
  </si>
  <si>
    <t>Back-end</t>
  </si>
  <si>
    <t>prediksi</t>
  </si>
  <si>
    <t>sungguh</t>
  </si>
  <si>
    <t xml:space="preserve">karena selebihnya sama, hanya berbeda di nilai masukan/keluaran</t>
  </si>
  <si>
    <t xml:space="preserve">Pers 2.124</t>
  </si>
  <si>
    <t xml:space="preserve">Pers 2.123</t>
  </si>
  <si>
    <t xml:space="preserve">Pers 2.125</t>
  </si>
  <si>
    <t>ambang</t>
  </si>
  <si>
    <t>TP</t>
  </si>
  <si>
    <t>FN</t>
  </si>
  <si>
    <t>TPR</t>
  </si>
  <si>
    <t>FP</t>
  </si>
  <si>
    <t>TN</t>
  </si>
  <si>
    <t>FPR</t>
  </si>
  <si>
    <t>Precision</t>
  </si>
  <si>
    <t>ATTN</t>
  </si>
  <si>
    <t xml:space="preserve">Pers 2.126</t>
  </si>
  <si>
    <t>base</t>
  </si>
  <si>
    <t>height</t>
  </si>
  <si>
    <t>area</t>
  </si>
  <si>
    <t>ROC</t>
  </si>
  <si>
    <t>CONFUSION</t>
  </si>
  <si>
    <t>P</t>
  </si>
  <si>
    <t>N</t>
  </si>
  <si>
    <t>ROC-AUC</t>
  </si>
  <si>
    <t>PR</t>
  </si>
  <si>
    <t xml:space="preserve">(sengaja unbalanced)</t>
  </si>
  <si>
    <t>PR-AUC</t>
  </si>
  <si>
    <t xml:space="preserve">(Fawcett, 2006)</t>
  </si>
  <si>
    <t xml:space="preserve">Pers 2.127</t>
  </si>
  <si>
    <t>MAKRO</t>
  </si>
  <si>
    <t xml:space="preserve">SHEET PENGHITUNGAN NUMERIK:</t>
  </si>
  <si>
    <t>DATA</t>
  </si>
  <si>
    <t>FRONTEND</t>
  </si>
  <si>
    <t xml:space="preserve">Feed-forward saja</t>
  </si>
  <si>
    <t xml:space="preserve">CNN-BE </t>
  </si>
  <si>
    <t xml:space="preserve">Termasuk backprop sampai front-end</t>
  </si>
  <si>
    <t>GRU-BE</t>
  </si>
  <si>
    <t>ATTN-BE</t>
  </si>
  <si>
    <t>EVAL</t>
  </si>
  <si>
    <t xml:space="preserve">Penghitungan PR-AUC dan ROC-AUC</t>
  </si>
  <si>
    <t xml:space="preserve">SHEET DRAFT:</t>
  </si>
  <si>
    <t>CONVTEST</t>
  </si>
  <si>
    <t>LMSPEC</t>
  </si>
  <si>
    <t xml:space="preserve">FROM FRONTEND</t>
  </si>
  <si>
    <t xml:space="preserve">INPUT ACTUAL</t>
  </si>
  <si>
    <t>W_IR</t>
  </si>
  <si>
    <t>W_IZ</t>
  </si>
  <si>
    <t>W_IN</t>
  </si>
  <si>
    <t>W_HR</t>
  </si>
  <si>
    <t>W_HZ</t>
  </si>
  <si>
    <t>W_HN</t>
  </si>
  <si>
    <t>X_1</t>
  </si>
  <si>
    <t>X_2</t>
  </si>
  <si>
    <t>X_3</t>
  </si>
  <si>
    <t>X_4</t>
  </si>
  <si>
    <t>H_0^T</t>
  </si>
  <si>
    <t>H_0</t>
  </si>
  <si>
    <t>X_5</t>
  </si>
  <si>
    <t>J_0,n</t>
  </si>
  <si>
    <t>X_6</t>
  </si>
  <si>
    <t>J_1,n</t>
  </si>
  <si>
    <t>^(0)</t>
  </si>
  <si>
    <t>^(1)</t>
  </si>
  <si>
    <t>NUM_LAYERS=2</t>
  </si>
  <si>
    <t>NUM_LAYERS=1</t>
  </si>
  <si>
    <t>R_1</t>
  </si>
  <si>
    <t xml:space="preserve">at H_0^(0)</t>
  </si>
  <si>
    <t>WIRXT</t>
  </si>
  <si>
    <t>WHRHT-1</t>
  </si>
  <si>
    <t>Z_1</t>
  </si>
  <si>
    <t>WIZXT</t>
  </si>
  <si>
    <t>WHZHT-1</t>
  </si>
  <si>
    <t>N_1</t>
  </si>
  <si>
    <t>WINXT</t>
  </si>
  <si>
    <t xml:space="preserve">RT HT-1</t>
  </si>
  <si>
    <t xml:space="preserve">WHN RTHT-1</t>
  </si>
  <si>
    <t>(hadamard)</t>
  </si>
  <si>
    <t>H_1</t>
  </si>
  <si>
    <t>1-ZT</t>
  </si>
  <si>
    <t xml:space="preserve">1-ZT NT</t>
  </si>
  <si>
    <t xml:space="preserve">ZT  HT-1</t>
  </si>
  <si>
    <t xml:space="preserve">at H_0^(1)</t>
  </si>
  <si>
    <t>SAMPLE</t>
  </si>
  <si>
    <t>i_sin</t>
  </si>
  <si>
    <t>i_cos</t>
  </si>
  <si>
    <t>pos</t>
  </si>
  <si>
    <t>sin</t>
  </si>
  <si>
    <t>cos</t>
  </si>
  <si>
    <t>etc.</t>
  </si>
  <si>
    <t>k=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</si>
</sst>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>
    <font>
      <sz val="11.000000"/>
      <color theme="1"/>
      <name val="Calibri"/>
      <scheme val="minor"/>
    </font>
    <font>
      <sz val="11.000000"/>
      <color rgb="FF006100"/>
      <name val="Calibri"/>
      <scheme val="minor"/>
    </font>
    <font>
      <sz val="11.000000"/>
      <color rgb="FF9C5700"/>
      <name val="Calibri"/>
      <scheme val="minor"/>
    </font>
    <font>
      <sz val="11.000000"/>
      <name val="Calibri"/>
      <scheme val="minor"/>
    </font>
    <font>
      <b/>
      <sz val="11.000000"/>
      <color theme="1"/>
      <name val="Calibri"/>
      <scheme val="minor"/>
    </font>
    <font>
      <b/>
      <sz val="20.000000"/>
      <color theme="1"/>
      <name val="Calibri"/>
      <scheme val="minor"/>
    </font>
    <font>
      <b/>
      <sz val="16.000000"/>
      <color theme="1"/>
      <name val="Calibri"/>
      <scheme val="minor"/>
    </font>
    <font>
      <i/>
      <sz val="11.000000"/>
      <color theme="1"/>
      <name val="Calibri"/>
      <scheme val="minor"/>
    </font>
    <font>
      <sz val="16.000000"/>
      <color theme="1"/>
      <name val="Calibri"/>
      <scheme val="minor"/>
    </font>
    <font>
      <sz val="14.000000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</patternFill>
    </fill>
  </fills>
  <borders count="31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ck">
        <color auto="1"/>
      </right>
      <top style="none"/>
      <bottom style="none"/>
      <diagonal style="none"/>
    </border>
    <border>
      <left style="thick">
        <color auto="1"/>
      </left>
      <right style="thick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ck">
        <color auto="1"/>
      </left>
      <right style="none"/>
      <top style="none"/>
      <bottom style="none"/>
      <diagonal style="none"/>
    </border>
    <border diagonalDown="1" diagonalUp="1">
      <left style="thick">
        <color auto="1"/>
      </left>
      <right style="thick">
        <color auto="1"/>
      </right>
      <top style="none"/>
      <bottom style="none"/>
      <diagonal style="thin">
        <color auto="1"/>
      </diagonal>
    </border>
    <border>
      <left style="mediumDashed">
        <color auto="1"/>
      </left>
      <right style="none"/>
      <top style="mediumDashed">
        <color auto="1"/>
      </top>
      <bottom style="none"/>
      <diagonal style="none"/>
    </border>
    <border>
      <left style="none"/>
      <right style="none"/>
      <top style="mediumDashed">
        <color auto="1"/>
      </top>
      <bottom style="none"/>
      <diagonal style="none"/>
    </border>
    <border>
      <left style="none"/>
      <right style="mediumDashed">
        <color auto="1"/>
      </right>
      <top style="mediumDashed">
        <color auto="1"/>
      </top>
      <bottom style="none"/>
      <diagonal style="none"/>
    </border>
    <border>
      <left style="mediumDashed">
        <color auto="1"/>
      </left>
      <right style="none"/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none"/>
      <top style="none"/>
      <bottom style="mediumDashed">
        <color auto="1"/>
      </bottom>
      <diagonal style="none"/>
    </border>
    <border>
      <left style="none"/>
      <right style="none"/>
      <top style="none"/>
      <bottom style="mediumDashed">
        <color auto="1"/>
      </bottom>
      <diagonal style="none"/>
    </border>
    <border>
      <left style="none"/>
      <right style="mediumDashed">
        <color auto="1"/>
      </right>
      <top style="none"/>
      <bottom style="mediumDashed">
        <color auto="1"/>
      </bottom>
      <diagonal style="none"/>
    </border>
    <border>
      <left style="thick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3">
    <xf fontId="0" fillId="0" borderId="0" numFmtId="0" applyNumberFormat="1" applyFont="1" applyFill="1" applyBorder="1"/>
    <xf fontId="1" fillId="2" borderId="0" numFmtId="0" applyNumberFormat="0" applyFont="1" applyFill="1" applyBorder="0" applyProtection="0"/>
    <xf fontId="2" fillId="3" borderId="0" numFmtId="0" applyNumberFormat="0" applyFont="1" applyFill="1" applyBorder="0" applyProtection="0"/>
  </cellStyleXfs>
  <cellXfs count="91">
    <xf fontId="0" fillId="0" borderId="0" numFmtId="0" xfId="0"/>
    <xf fontId="0" fillId="0" borderId="0" numFmtId="0" xfId="0" quotePrefix="1"/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3" fillId="0" borderId="0" numFmtId="0" xfId="0" applyFont="1" applyAlignment="1">
      <alignment horizontal="center" vertical="center"/>
    </xf>
    <xf fontId="4" fillId="0" borderId="0" numFmtId="0" xfId="0" applyFont="1"/>
    <xf fontId="5" fillId="0" borderId="0" numFmtId="0" xfId="0" applyFont="1"/>
    <xf fontId="0" fillId="0" borderId="1" numFmtId="0" xfId="0" applyBorder="1"/>
    <xf fontId="0" fillId="0" borderId="2" numFmtId="0" xfId="0" applyBorder="1"/>
    <xf fontId="0" fillId="0" borderId="3" numFmtId="0" xfId="0" applyBorder="1"/>
    <xf fontId="4" fillId="0" borderId="3" numFmtId="0" xfId="0" applyFont="1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1" fillId="2" borderId="5" numFmtId="0" xfId="1" applyFont="1" applyFill="1" applyBorder="1"/>
    <xf fontId="1" fillId="2" borderId="7" numFmtId="0" xfId="1" applyFont="1" applyFill="1" applyBorder="1"/>
    <xf fontId="4" fillId="0" borderId="2" numFmtId="0" xfId="0" applyFont="1" applyBorder="1"/>
    <xf fontId="2" fillId="3" borderId="0" numFmtId="0" xfId="2" applyFont="1" applyFill="1"/>
    <xf fontId="2" fillId="3" borderId="8" numFmtId="0" xfId="2" applyFont="1" applyFill="1" applyBorder="1"/>
    <xf fontId="0" fillId="0" borderId="3" numFmtId="0" xfId="0" applyBorder="1" applyAlignment="1">
      <alignment horizontal="left"/>
    </xf>
    <xf fontId="0" fillId="0" borderId="0" numFmtId="0" xfId="0"/>
    <xf fontId="1" fillId="2" borderId="0" numFmtId="0" xfId="1" applyFont="1" applyFill="1"/>
    <xf fontId="0" fillId="0" borderId="8" numFmtId="0" xfId="0" applyBorder="1" quotePrefix="1"/>
    <xf fontId="0" fillId="0" borderId="5" numFmtId="0" xfId="0" applyBorder="1" applyAlignment="1">
      <alignment horizontal="right"/>
    </xf>
    <xf fontId="0" fillId="0" borderId="4" numFmtId="0" xfId="0" applyBorder="1" applyAlignment="1">
      <alignment horizontal="right"/>
    </xf>
    <xf fontId="0" fillId="0" borderId="6" numFmtId="0" xfId="0" applyBorder="1" applyAlignment="1">
      <alignment horizontal="right"/>
    </xf>
    <xf fontId="1" fillId="2" borderId="8" numFmtId="0" xfId="1" applyFont="1" applyFill="1" applyBorder="1"/>
    <xf fontId="0" fillId="0" borderId="9" numFmtId="0" xfId="0" applyBorder="1"/>
    <xf fontId="0" fillId="0" borderId="10" numFmtId="0" xfId="0" applyBorder="1"/>
    <xf fontId="0" fillId="0" borderId="11" numFmtId="0" xfId="0" applyBorder="1"/>
    <xf fontId="6" fillId="0" borderId="0" numFmtId="0" xfId="0" applyFont="1"/>
    <xf fontId="0" fillId="0" borderId="12" numFmtId="0" xfId="0" applyBorder="1"/>
    <xf fontId="0" fillId="0" borderId="13" numFmtId="0" xfId="0" applyBorder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0" numFmtId="164" xfId="0" applyNumberFormat="1"/>
    <xf fontId="0" fillId="0" borderId="5" numFmtId="164" xfId="0" applyNumberFormat="1" applyBorder="1"/>
    <xf fontId="2" fillId="3" borderId="12" numFmtId="0" xfId="2" applyFont="1" applyFill="1" applyBorder="1"/>
    <xf fontId="1" fillId="2" borderId="12" numFmtId="0" xfId="1" applyFont="1" applyFill="1" applyBorder="1"/>
    <xf fontId="0" fillId="0" borderId="8" numFmtId="164" xfId="0" applyNumberFormat="1" applyBorder="1"/>
    <xf fontId="0" fillId="0" borderId="7" numFmtId="164" xfId="0" applyNumberFormat="1" applyBorder="1"/>
    <xf fontId="6" fillId="0" borderId="12" numFmtId="0" xfId="0" applyFont="1" applyBorder="1"/>
    <xf fontId="0" fillId="0" borderId="0" numFmtId="0" xfId="0" applyAlignment="1">
      <alignment horizontal="left" vertical="center"/>
    </xf>
    <xf fontId="2" fillId="3" borderId="10" numFmtId="0" xfId="2" applyFont="1" applyFill="1" applyBorder="1"/>
    <xf fontId="1" fillId="2" borderId="11" numFmtId="0" xfId="1" applyFont="1" applyFill="1" applyBorder="1"/>
    <xf fontId="0" fillId="0" borderId="0" numFmtId="0" xfId="0" applyAlignment="1">
      <alignment horizontal="left" vertical="center" wrapText="1"/>
    </xf>
    <xf fontId="0" fillId="0" borderId="17" numFmtId="0" xfId="0" applyBorder="1"/>
    <xf fontId="0" fillId="0" borderId="18" numFmtId="0" xfId="0" applyBorder="1"/>
    <xf fontId="7" fillId="0" borderId="19" numFmtId="0" xfId="0" applyFont="1" applyBorder="1"/>
    <xf fontId="0" fillId="0" borderId="20" numFmtId="0" xfId="0" applyBorder="1"/>
    <xf fontId="0" fillId="0" borderId="21" numFmtId="0" xfId="0" applyBorder="1"/>
    <xf fontId="0" fillId="0" borderId="22" numFmtId="0" xfId="0" applyBorder="1"/>
    <xf fontId="0" fillId="0" borderId="21" numFmtId="0" xfId="0" applyBorder="1" applyAlignment="1">
      <alignment horizontal="right"/>
    </xf>
    <xf fontId="1" fillId="2" borderId="22" numFmtId="0" xfId="1" applyFont="1" applyFill="1" applyBorder="1"/>
    <xf fontId="2" fillId="3" borderId="5" numFmtId="0" xfId="2" applyFont="1" applyFill="1" applyBorder="1"/>
    <xf fontId="0" fillId="0" borderId="23" numFmtId="0" xfId="0" applyBorder="1"/>
    <xf fontId="2" fillId="3" borderId="24" numFmtId="0" xfId="2" applyFont="1" applyFill="1" applyBorder="1"/>
    <xf fontId="1" fillId="2" borderId="25" numFmtId="0" xfId="1" applyFont="1" applyFill="1" applyBorder="1"/>
    <xf fontId="0" fillId="0" borderId="19" numFmtId="0" xfId="0" applyBorder="1"/>
    <xf fontId="2" fillId="3" borderId="22" numFmtId="0" xfId="2" applyFont="1" applyFill="1" applyBorder="1"/>
    <xf fontId="1" fillId="2" borderId="24" numFmtId="0" xfId="1" applyFont="1" applyFill="1" applyBorder="1"/>
    <xf fontId="0" fillId="0" borderId="1" numFmtId="0" xfId="0" applyBorder="1" applyAlignment="1">
      <alignment horizontal="right"/>
    </xf>
    <xf fontId="0" fillId="0" borderId="10" numFmtId="164" xfId="0" applyNumberFormat="1" applyBorder="1"/>
    <xf fontId="4" fillId="0" borderId="1" numFmtId="0" xfId="0" applyFont="1" applyBorder="1"/>
    <xf fontId="0" fillId="0" borderId="11" numFmtId="164" xfId="0" applyNumberFormat="1" applyBorder="1"/>
    <xf fontId="2" fillId="3" borderId="4" numFmtId="0" xfId="2" applyFont="1" applyFill="1" applyBorder="1"/>
    <xf fontId="2" fillId="3" borderId="6" numFmtId="0" xfId="2" applyFont="1" applyFill="1" applyBorder="1"/>
    <xf fontId="0" fillId="0" borderId="26" numFmtId="0" xfId="0" applyBorder="1"/>
    <xf fontId="0" fillId="0" borderId="27" numFmtId="0" xfId="0" applyBorder="1"/>
    <xf fontId="6" fillId="0" borderId="0" numFmtId="0" xfId="0" applyFont="1" applyAlignment="1">
      <alignment horizontal="left"/>
    </xf>
    <xf fontId="0" fillId="0" borderId="0" numFmtId="0" xfId="0" applyAlignment="1">
      <alignment horizontal="left"/>
    </xf>
    <xf fontId="0" fillId="0" borderId="0" numFmtId="0" xfId="0" applyAlignment="1">
      <alignment horizontal="center" textRotation="90" vertical="center"/>
    </xf>
    <xf fontId="3" fillId="0" borderId="0" numFmtId="0" xfId="0" applyFont="1"/>
    <xf fontId="0" fillId="0" borderId="8" numFmtId="0" xfId="0" applyBorder="1" applyAlignment="1">
      <alignment horizontal="center" textRotation="90" vertical="center"/>
    </xf>
    <xf fontId="3" fillId="0" borderId="8" numFmtId="0" xfId="0" applyFont="1" applyBorder="1"/>
    <xf fontId="0" fillId="0" borderId="28" numFmtId="0" xfId="0" applyBorder="1" applyAlignment="1">
      <alignment horizontal="right"/>
    </xf>
    <xf fontId="0" fillId="0" borderId="29" numFmtId="0" xfId="0" applyBorder="1"/>
    <xf fontId="6" fillId="0" borderId="1" numFmtId="0" xfId="0" applyFont="1" applyBorder="1"/>
    <xf fontId="8" fillId="0" borderId="3" numFmtId="0" xfId="0" applyFont="1" applyBorder="1"/>
    <xf fontId="8" fillId="0" borderId="4" numFmtId="0" xfId="0" applyFont="1" applyBorder="1"/>
    <xf fontId="8" fillId="0" borderId="5" numFmtId="0" xfId="0" applyFont="1" applyBorder="1"/>
    <xf fontId="8" fillId="0" borderId="6" numFmtId="0" xfId="0" applyFont="1" applyBorder="1"/>
    <xf fontId="8" fillId="0" borderId="7" numFmtId="0" xfId="0" applyFont="1" applyBorder="1"/>
    <xf fontId="8" fillId="0" borderId="0" numFmtId="0" xfId="0" applyFont="1"/>
    <xf fontId="9" fillId="0" borderId="0" numFmtId="0" xfId="0" applyFont="1"/>
    <xf fontId="0" fillId="4" borderId="30" numFmtId="0" xfId="0" applyFill="1" applyBorder="1"/>
    <xf fontId="0" fillId="5" borderId="30" numFmtId="0" xfId="0" applyFill="1" applyBorder="1"/>
    <xf fontId="0" fillId="0" borderId="0" numFmtId="2" xfId="0" applyNumberForma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10" Type="http://schemas.openxmlformats.org/officeDocument/2006/relationships/worksheet" Target="worksheets/sheet6.xml"/><Relationship  Id="rId11" Type="http://schemas.openxmlformats.org/officeDocument/2006/relationships/worksheet" Target="worksheets/sheet7.xml"/><Relationship  Id="rId12" Type="http://schemas.openxmlformats.org/officeDocument/2006/relationships/worksheet" Target="worksheets/sheet8.xml"/><Relationship  Id="rId13" Type="http://schemas.openxmlformats.org/officeDocument/2006/relationships/worksheet" Target="worksheets/sheet9.xml"/><Relationship  Id="rId14" Type="http://schemas.openxmlformats.org/officeDocument/2006/relationships/worksheet" Target="worksheets/sheet10.xml"/><Relationship  Id="rId15" Type="http://schemas.openxmlformats.org/officeDocument/2006/relationships/worksheet" Target="worksheets/sheet11.xml"/><Relationship  Id="rId16" Type="http://schemas.openxmlformats.org/officeDocument/2006/relationships/worksheet" Target="worksheets/sheet12.xml"/><Relationship  Id="rId17" Type="http://schemas.openxmlformats.org/officeDocument/2006/relationships/worksheet" Target="worksheets/sheet13.xml"/><Relationship  Id="rId18" Type="http://schemas.openxmlformats.org/officeDocument/2006/relationships/worksheet" Target="worksheets/sheet14.xml"/><Relationship  Id="rId19" Type="http://schemas.openxmlformats.org/officeDocument/2006/relationships/theme" Target="theme/theme1.xml"/><Relationship  Id="rId2" Type="http://schemas.microsoft.com/office/2017/06/relationships/rdRichValue" Target="richData/rdrichvalue.xml"/><Relationship  Id="rId20" Type="http://schemas.openxmlformats.org/officeDocument/2006/relationships/sharedStrings" Target="sharedStrings.xml"/><Relationship  Id="rId21" Type="http://schemas.openxmlformats.org/officeDocument/2006/relationships/styles" Target="styles.xml"/><Relationship  Id="rId3" Type="http://schemas.microsoft.com/office/2017/06/relationships/rdRichValueStructure" Target="richData/rdrichvaluestructure.xml"/><Relationship  Id="rId4" Type="http://schemas.microsoft.com/office/2017/06/relationships/rdRichValueTypes" Target="richData/rdRichValueTypes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worksheet" Target="worksheets/sheet5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0.3333333333333333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0.3333333333333333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14829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77568" y="5006372"/>
          <a:ext cx="3689371" cy="3805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39489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8889110" y="11473966"/>
          <a:ext cx="2630365" cy="10051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31</xdr:col>
      <xdr:colOff>611199</xdr:colOff>
      <xdr:row>1</xdr:row>
      <xdr:rowOff>79429</xdr:rowOff>
    </xdr:from>
    <xdr:to>
      <xdr:col>36</xdr:col>
      <xdr:colOff>471251</xdr:colOff>
      <xdr:row>15</xdr:row>
      <xdr:rowOff>129353</xdr:rowOff>
    </xdr:to>
    <xdr:graphicFrame>
      <xdr:nvGraphicFramePr>
        <xdr:cNvPr id="12" name="Chart 1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>
      <xdr:nvGraphicFramePr>
        <xdr:cNvPr id="13" name="Chart 1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>
      <xdr:nvGraphicFramePr>
        <xdr:cNvPr id="14" name="Chart 1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32</xdr:col>
      <xdr:colOff>12422</xdr:colOff>
      <xdr:row>47</xdr:row>
      <xdr:rowOff>160682</xdr:rowOff>
    </xdr:from>
    <xdr:to>
      <xdr:col>36</xdr:col>
      <xdr:colOff>480391</xdr:colOff>
      <xdr:row>60</xdr:row>
      <xdr:rowOff>124239</xdr:rowOff>
    </xdr:to>
    <xdr:graphicFrame>
      <xdr:nvGraphicFramePr>
        <xdr:cNvPr id="15" name="Chart 14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31</xdr:col>
      <xdr:colOff>579780</xdr:colOff>
      <xdr:row>62</xdr:row>
      <xdr:rowOff>127550</xdr:rowOff>
    </xdr:from>
    <xdr:to>
      <xdr:col>36</xdr:col>
      <xdr:colOff>463825</xdr:colOff>
      <xdr:row>77</xdr:row>
      <xdr:rowOff>115956</xdr:rowOff>
    </xdr:to>
    <xdr:graphicFrame>
      <xdr:nvGraphicFramePr>
        <xdr:cNvPr id="16" name="Chart 1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>
      <xdr:nvGraphicFramePr>
        <xdr:cNvPr id="17" name="Chart 16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33879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49014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5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1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_rels/sheet1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H24" activeCellId="0" sqref="H24"/>
    </sheetView>
  </sheetViews>
  <sheetFormatPr defaultRowHeight="15"/>
  <sheetData>
    <row r="1">
      <c r="H1" t="s">
        <v>0</v>
      </c>
      <c r="K1" t="s">
        <v>1</v>
      </c>
    </row>
    <row r="2">
      <c r="A2" s="1" t="s">
        <v>2</v>
      </c>
      <c r="B2" t="s">
        <v>3</v>
      </c>
      <c r="C2" s="1" t="s">
        <v>4</v>
      </c>
      <c r="D2" s="1" t="s">
        <v>2</v>
      </c>
      <c r="E2" s="1" t="s">
        <v>2</v>
      </c>
      <c r="F2" s="1" t="s">
        <v>2</v>
      </c>
      <c r="I2" t="s">
        <v>5</v>
      </c>
      <c r="J2" s="2"/>
      <c r="L2" s="2"/>
    </row>
    <row r="3">
      <c r="A3" s="1" t="s">
        <v>2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>
      <c r="A4">
        <v>1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 t="shared" ref="I4:I9" si="0">(B4-I$10)/I$11</f>
        <v>0.098070127981472688</v>
      </c>
      <c r="J4">
        <f t="shared" ref="J4:M9" si="1">(C4-J$10)/J$11</f>
        <v>0.76989837351610546</v>
      </c>
      <c r="K4">
        <f t="shared" si="1"/>
        <v>1.0888675284528564</v>
      </c>
      <c r="L4">
        <f t="shared" si="1"/>
        <v>0.41864132753818439</v>
      </c>
      <c r="M4">
        <f t="shared" si="1"/>
        <v>-0.54807215149909738</v>
      </c>
    </row>
    <row r="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si="0"/>
        <v>0.3947945813296071</v>
      </c>
      <c r="J5">
        <f t="shared" si="1"/>
        <v>0.76298402984034686</v>
      </c>
      <c r="K5">
        <f t="shared" si="1"/>
        <v>-1.5092547447204521</v>
      </c>
      <c r="L5">
        <f t="shared" si="1"/>
        <v>0.78695236170270555</v>
      </c>
      <c r="M5">
        <f t="shared" si="1"/>
        <v>-1.6514230540804744</v>
      </c>
    </row>
    <row r="6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0"/>
        <v>1.2610501600821225</v>
      </c>
      <c r="J6">
        <f t="shared" si="1"/>
        <v>1.0201001967063095</v>
      </c>
      <c r="K6">
        <f t="shared" si="1"/>
        <v>0.20946802791688546</v>
      </c>
      <c r="L6">
        <f t="shared" si="1"/>
        <v>-1.5474479187727208</v>
      </c>
      <c r="M6">
        <f t="shared" si="1"/>
        <v>-0.51000095484744268</v>
      </c>
    </row>
    <row r="7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0"/>
        <v>-1.914822845899089</v>
      </c>
      <c r="J7">
        <f t="shared" si="1"/>
        <v>-0.96507706088431011</v>
      </c>
      <c r="K7">
        <f t="shared" si="1"/>
        <v>-0.73600695036684105</v>
      </c>
      <c r="L7">
        <f t="shared" si="1"/>
        <v>-1.2146668976505628</v>
      </c>
      <c r="M7">
        <f t="shared" si="1"/>
        <v>0.61213976054071273</v>
      </c>
    </row>
    <row r="8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0"/>
        <v>0.61185767787065537</v>
      </c>
      <c r="J8">
        <f t="shared" si="1"/>
        <v>-1.6862564508613829</v>
      </c>
      <c r="K8">
        <f t="shared" si="1"/>
        <v>-0.39331255882270999</v>
      </c>
      <c r="L8">
        <f t="shared" si="1"/>
        <v>1.027314449369916</v>
      </c>
      <c r="M8">
        <f t="shared" si="1"/>
        <v>1.3115002107703582</v>
      </c>
    </row>
    <row r="9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0"/>
        <v>-0.45094970136476858</v>
      </c>
      <c r="J9">
        <f t="shared" si="1"/>
        <v>0.098350911682930572</v>
      </c>
      <c r="K9">
        <f t="shared" si="1"/>
        <v>1.3402386975402607</v>
      </c>
      <c r="L9">
        <f t="shared" si="1"/>
        <v>0.52920667781247754</v>
      </c>
      <c r="M9">
        <f t="shared" si="1"/>
        <v>0.78585618911594302</v>
      </c>
    </row>
    <row r="10">
      <c r="H10" t="s">
        <v>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>
      <c r="H11" t="s">
        <v>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>
      <c r="B12" t="s">
        <v>8</v>
      </c>
      <c r="E12" t="s">
        <v>9</v>
      </c>
    </row>
    <row r="13">
      <c r="B13" t="s">
        <v>10</v>
      </c>
      <c r="C13" t="s">
        <v>11</v>
      </c>
      <c r="D13" t="s">
        <v>12</v>
      </c>
    </row>
    <row r="14">
      <c r="B14">
        <v>1</v>
      </c>
      <c r="C14">
        <v>2</v>
      </c>
      <c r="D14">
        <v>3</v>
      </c>
      <c r="I14" t="s">
        <v>13</v>
      </c>
    </row>
    <row r="15">
      <c r="A15">
        <v>1</v>
      </c>
      <c r="B15" s="3" t="s">
        <v>14</v>
      </c>
      <c r="C15" s="3"/>
      <c r="D15" s="3"/>
      <c r="E15" t="s">
        <v>11</v>
      </c>
      <c r="F15" t="s">
        <v>12</v>
      </c>
      <c r="I15" t="s">
        <v>15</v>
      </c>
      <c r="J15" t="s">
        <v>16</v>
      </c>
    </row>
    <row r="16">
      <c r="A16">
        <v>2</v>
      </c>
      <c r="B16" s="4" t="s">
        <v>17</v>
      </c>
      <c r="C16" s="4"/>
      <c r="D16" s="4"/>
      <c r="E16" t="s">
        <v>10</v>
      </c>
      <c r="F16" t="s">
        <v>11</v>
      </c>
      <c r="H16" t="s">
        <v>10</v>
      </c>
      <c r="I16">
        <f t="shared" ref="I16:I18" si="4">J16/$J$19</f>
        <v>0.11538461538461539</v>
      </c>
      <c r="J16">
        <v>3</v>
      </c>
    </row>
    <row r="17">
      <c r="A17">
        <v>3</v>
      </c>
      <c r="B17" s="4"/>
      <c r="C17" s="4"/>
      <c r="D17" s="4"/>
      <c r="E17" t="s">
        <v>12</v>
      </c>
      <c r="F17" t="s">
        <v>11</v>
      </c>
      <c r="H17" t="s">
        <v>11</v>
      </c>
      <c r="I17">
        <f t="shared" si="4"/>
        <v>0.61538461538461542</v>
      </c>
      <c r="J17">
        <v>16</v>
      </c>
    </row>
    <row r="18">
      <c r="A18">
        <v>4</v>
      </c>
      <c r="B18" s="4"/>
      <c r="C18" s="4"/>
      <c r="D18" s="4"/>
      <c r="E18" t="s">
        <v>10</v>
      </c>
      <c r="H18" t="s">
        <v>12</v>
      </c>
      <c r="I18">
        <f t="shared" si="4"/>
        <v>0.26923076923076922</v>
      </c>
      <c r="J18">
        <v>7</v>
      </c>
    </row>
    <row r="19">
      <c r="B19" s="5" t="s">
        <v>18</v>
      </c>
      <c r="J19">
        <f>SUM(J16:J18)</f>
        <v>26</v>
      </c>
    </row>
  </sheetData>
  <mergeCells count="2">
    <mergeCell ref="B15:D15"/>
    <mergeCell ref="B16:D1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G7" zoomScale="115" workbookViewId="0">
      <selection activeCell="L48" activeCellId="0" sqref="L48"/>
    </sheetView>
  </sheetViews>
  <sheetFormatPr defaultRowHeight="15"/>
  <cols>
    <col customWidth="1" min="13" max="13" width="14.140625"/>
    <col customWidth="1" min="14" max="17" width="12.5703125"/>
    <col customWidth="1" min="20" max="20" width="11.42578125"/>
    <col bestFit="1" customWidth="1" min="21" max="24" width="11.42578125"/>
    <col bestFit="1" customWidth="1" min="25" max="25" width="12.140625"/>
  </cols>
  <sheetData>
    <row r="2" ht="26.25">
      <c r="A2" cm="1">
        <f t="array" ref="A2:F9">DATA!H2:M9</f>
        <v>0</v>
      </c>
      <c r="B2" t="str">
        <f/>
        <v>Z-SCORE</v>
      </c>
      <c r="C2">
        <f/>
        <v>0</v>
      </c>
      <c r="D2">
        <f/>
        <v>0</v>
      </c>
      <c r="E2">
        <f/>
        <v>0</v>
      </c>
      <c r="F2">
        <f/>
        <v>0</v>
      </c>
      <c r="M2" s="6" t="s">
        <v>19</v>
      </c>
      <c r="T2" s="6" t="s">
        <v>19</v>
      </c>
    </row>
    <row r="3" ht="26.25">
      <c r="A3">
        <f/>
        <v>0</v>
      </c>
      <c r="B3">
        <f/>
        <v>1</v>
      </c>
      <c r="C3">
        <f/>
        <v>2</v>
      </c>
      <c r="D3">
        <f/>
        <v>3</v>
      </c>
      <c r="E3">
        <f/>
        <v>4</v>
      </c>
      <c r="F3">
        <f/>
        <v>5</v>
      </c>
      <c r="M3" s="6" t="s">
        <v>20</v>
      </c>
      <c r="T3" s="6" t="s">
        <v>21</v>
      </c>
    </row>
    <row r="4">
      <c r="A4">
        <f/>
        <v>1</v>
      </c>
      <c r="B4">
        <f/>
        <v>0.098070127981472688</v>
      </c>
      <c r="C4">
        <f/>
        <v>0.76989837351610546</v>
      </c>
      <c r="D4">
        <f/>
        <v>1.0888675284528564</v>
      </c>
      <c r="E4">
        <f/>
        <v>0.41864132753818439</v>
      </c>
      <c r="F4">
        <f/>
        <v>-0.54807215149909738</v>
      </c>
    </row>
    <row r="5">
      <c r="A5">
        <f/>
        <v>2</v>
      </c>
      <c r="B5">
        <f/>
        <v>0.3947945813296071</v>
      </c>
      <c r="C5">
        <f/>
        <v>0.76298402984034686</v>
      </c>
      <c r="D5">
        <f/>
        <v>-1.5092547447204521</v>
      </c>
      <c r="E5">
        <f/>
        <v>0.78695236170270555</v>
      </c>
      <c r="F5">
        <f/>
        <v>-1.6514230540804744</v>
      </c>
      <c r="L5" s="7"/>
      <c r="M5" s="8" t="s">
        <v>22</v>
      </c>
      <c r="N5" s="8"/>
      <c r="O5" s="9"/>
      <c r="S5" s="7"/>
      <c r="T5" s="10" t="s">
        <v>22</v>
      </c>
      <c r="V5" s="7"/>
      <c r="W5" s="10" t="s">
        <v>23</v>
      </c>
    </row>
    <row r="6">
      <c r="A6">
        <f/>
        <v>3</v>
      </c>
      <c r="B6">
        <f/>
        <v>1.2610501600821225</v>
      </c>
      <c r="C6">
        <f/>
        <v>1.0201001967063095</v>
      </c>
      <c r="D6">
        <f/>
        <v>0.20946802791688546</v>
      </c>
      <c r="E6">
        <f/>
        <v>-1.5474479187727208</v>
      </c>
      <c r="F6">
        <f/>
        <v>-0.51000095484744268</v>
      </c>
      <c r="L6" s="11"/>
      <c r="M6">
        <v>1</v>
      </c>
      <c r="N6">
        <v>2</v>
      </c>
      <c r="O6" s="12">
        <v>3</v>
      </c>
      <c r="S6" s="11"/>
      <c r="T6" s="12">
        <v>1</v>
      </c>
      <c r="V6" s="11"/>
      <c r="W6" s="12">
        <v>1</v>
      </c>
    </row>
    <row r="7">
      <c r="A7">
        <f/>
        <v>4</v>
      </c>
      <c r="B7">
        <f/>
        <v>-1.914822845899089</v>
      </c>
      <c r="C7">
        <f/>
        <v>-0.96507706088431011</v>
      </c>
      <c r="D7">
        <f/>
        <v>-0.73600695036684105</v>
      </c>
      <c r="E7">
        <f/>
        <v>-1.2146668976505628</v>
      </c>
      <c r="F7">
        <f/>
        <v>0.61213976054071273</v>
      </c>
      <c r="L7" s="11">
        <v>1</v>
      </c>
      <c r="M7">
        <v>-0.51200000000000001</v>
      </c>
      <c r="N7">
        <v>0.89700000000000002</v>
      </c>
      <c r="O7" s="12">
        <v>-0.52300000000000002</v>
      </c>
      <c r="S7" s="11">
        <v>1</v>
      </c>
      <c r="T7" s="12">
        <v>0.122</v>
      </c>
      <c r="V7" s="13">
        <v>1</v>
      </c>
      <c r="W7" s="14">
        <v>1</v>
      </c>
    </row>
    <row r="8">
      <c r="A8">
        <f/>
        <v>5</v>
      </c>
      <c r="B8">
        <f/>
        <v>0.61185767787065537</v>
      </c>
      <c r="C8">
        <f/>
        <v>-1.6862564508613829</v>
      </c>
      <c r="D8">
        <f/>
        <v>-0.39331255882270999</v>
      </c>
      <c r="E8">
        <f/>
        <v>1.027314449369916</v>
      </c>
      <c r="F8">
        <f/>
        <v>1.3115002107703582</v>
      </c>
      <c r="L8" s="11">
        <v>2</v>
      </c>
      <c r="M8">
        <v>0.122</v>
      </c>
      <c r="N8">
        <v>-0.20399999999999999</v>
      </c>
      <c r="O8" s="12">
        <v>-0.73999999999999999</v>
      </c>
      <c r="S8" s="11">
        <v>2</v>
      </c>
      <c r="T8" s="12">
        <v>0.51600000000000001</v>
      </c>
    </row>
    <row r="9">
      <c r="A9">
        <f/>
        <v>6</v>
      </c>
      <c r="B9">
        <f/>
        <v>-0.45094970136476858</v>
      </c>
      <c r="C9">
        <f/>
        <v>0.098350911682930572</v>
      </c>
      <c r="D9">
        <f/>
        <v>1.3402386975402607</v>
      </c>
      <c r="E9">
        <f/>
        <v>0.52920667781247754</v>
      </c>
      <c r="F9">
        <f/>
        <v>0.78585618911594302</v>
      </c>
      <c r="L9" s="11">
        <v>3</v>
      </c>
      <c r="M9">
        <v>0.74199999999999999</v>
      </c>
      <c r="N9">
        <v>0.80500000000000005</v>
      </c>
      <c r="O9" s="12">
        <v>-0.97699999999999998</v>
      </c>
      <c r="S9" s="13">
        <v>3</v>
      </c>
      <c r="T9" s="14">
        <v>-0.97699999999999998</v>
      </c>
    </row>
    <row r="10">
      <c r="L10" s="11">
        <v>4</v>
      </c>
      <c r="M10">
        <v>0.78200000000000003</v>
      </c>
      <c r="N10">
        <v>0.51600000000000001</v>
      </c>
      <c r="O10" s="12">
        <v>-0.91400000000000003</v>
      </c>
    </row>
    <row r="11">
      <c r="B11" t="s">
        <v>24</v>
      </c>
      <c r="L11" s="13">
        <v>5</v>
      </c>
      <c r="M11" s="15">
        <v>0.40899999999999997</v>
      </c>
      <c r="N11" s="15">
        <v>-0.438</v>
      </c>
      <c r="O11" s="14">
        <v>0.29299999999999998</v>
      </c>
      <c r="T11" t="s">
        <v>25</v>
      </c>
      <c r="U11" t="s">
        <v>26</v>
      </c>
    </row>
    <row r="12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7"/>
      <c r="M13" s="9" t="s">
        <v>23</v>
      </c>
      <c r="S13">
        <v>1</v>
      </c>
      <c r="T13" cm="1">
        <f t="array" ref="T13">SUM(B35:B37*$T$7:$T$9)+$W$7</f>
        <v>1.426184227044502</v>
      </c>
    </row>
    <row r="14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11"/>
      <c r="M14" s="12">
        <v>1</v>
      </c>
      <c r="S14">
        <v>2</v>
      </c>
      <c r="T14" cm="1">
        <f t="array" ref="T14">SUM(B36:B38*$T$7:$T$9)+$W$7</f>
        <v>0.83446165212430812</v>
      </c>
    </row>
    <row r="15">
      <c r="A15">
        <v>3</v>
      </c>
      <c r="B15">
        <v>0</v>
      </c>
      <c r="C15" cm="1">
        <f t="array" ref="C15:G20">B4:F9</f>
        <v>0.098070127981472688</v>
      </c>
      <c r="D15">
        <f/>
        <v>0.76989837351610546</v>
      </c>
      <c r="E15">
        <f/>
        <v>1.0888675284528564</v>
      </c>
      <c r="F15">
        <f/>
        <v>0.41864132753818439</v>
      </c>
      <c r="G15">
        <f/>
        <v>-0.54807215149909738</v>
      </c>
      <c r="H15">
        <v>0</v>
      </c>
      <c r="L15" s="13">
        <v>1</v>
      </c>
      <c r="M15" s="14">
        <v>1</v>
      </c>
      <c r="S15">
        <v>3</v>
      </c>
      <c r="T15" cm="1">
        <f t="array" ref="T15">SUM(B37:B39*$T$7:$T$9)+$W$7</f>
        <v>1.8393159934697598</v>
      </c>
    </row>
    <row r="16">
      <c r="A16">
        <v>4</v>
      </c>
      <c r="B16">
        <v>0</v>
      </c>
      <c r="C16">
        <f/>
        <v>0.3947945813296071</v>
      </c>
      <c r="D16">
        <f/>
        <v>0.76298402984034686</v>
      </c>
      <c r="E16">
        <f/>
        <v>-1.5092547447204521</v>
      </c>
      <c r="F16">
        <f/>
        <v>0.78695236170270555</v>
      </c>
      <c r="G16">
        <f/>
        <v>-1.6514230540804744</v>
      </c>
      <c r="H16">
        <v>0</v>
      </c>
      <c r="S16">
        <v>4</v>
      </c>
      <c r="T16" cm="1">
        <f t="array" ref="T16">SUM(B38:B40*$T$7:$T$9)+$W$7</f>
        <v>0.40501335750777256</v>
      </c>
    </row>
    <row r="17">
      <c r="A17">
        <v>5</v>
      </c>
      <c r="B17">
        <v>0</v>
      </c>
      <c r="C17">
        <f/>
        <v>1.2610501600821225</v>
      </c>
      <c r="D17">
        <f/>
        <v>1.0201001967063095</v>
      </c>
      <c r="E17">
        <f/>
        <v>0.20946802791688546</v>
      </c>
      <c r="F17">
        <f/>
        <v>-1.5474479187727208</v>
      </c>
      <c r="G17">
        <f/>
        <v>-0.51000095484744268</v>
      </c>
      <c r="H17">
        <v>0</v>
      </c>
      <c r="M17" t="s">
        <v>25</v>
      </c>
      <c r="N17" t="s">
        <v>27</v>
      </c>
      <c r="S17">
        <v>5</v>
      </c>
      <c r="T17" cm="1">
        <f t="array" ref="T17">SUM(B39:B41*$T$7:$T$9)+$W$7</f>
        <v>0.53701995183003415</v>
      </c>
    </row>
    <row r="18">
      <c r="A18">
        <v>6</v>
      </c>
      <c r="B18">
        <v>0</v>
      </c>
      <c r="C18">
        <f/>
        <v>-1.914822845899089</v>
      </c>
      <c r="D18">
        <f/>
        <v>-0.96507706088431011</v>
      </c>
      <c r="E18">
        <f/>
        <v>-0.73600695036684105</v>
      </c>
      <c r="F18">
        <f/>
        <v>-1.2146668976505628</v>
      </c>
      <c r="G18">
        <f/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1.2588938475691771</v>
      </c>
    </row>
    <row r="19">
      <c r="A19">
        <v>7</v>
      </c>
      <c r="B19">
        <v>0</v>
      </c>
      <c r="C19">
        <f/>
        <v>0.61185767787065537</v>
      </c>
      <c r="D19">
        <f/>
        <v>-1.6862564508613829</v>
      </c>
      <c r="E19">
        <f/>
        <v>-0.39331255882270999</v>
      </c>
      <c r="F19">
        <f/>
        <v>1.027314449369916</v>
      </c>
      <c r="G19">
        <f/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</row>
    <row r="20">
      <c r="A20">
        <v>8</v>
      </c>
      <c r="B20">
        <v>0</v>
      </c>
      <c r="C20">
        <f/>
        <v>-0.45094970136476858</v>
      </c>
      <c r="D20">
        <f/>
        <v>0.098350911682930572</v>
      </c>
      <c r="E20">
        <f/>
        <v>1.3402386975402607</v>
      </c>
      <c r="F20">
        <f/>
        <v>0.52920667781247754</v>
      </c>
      <c r="G20">
        <f/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  <c r="S20" s="7"/>
      <c r="T20" s="9" t="s">
        <v>28</v>
      </c>
      <c r="U20" t="s">
        <v>29</v>
      </c>
    </row>
    <row r="21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11"/>
      <c r="T21" s="12">
        <v>1</v>
      </c>
    </row>
    <row r="22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-0.025170342267508916</v>
      </c>
      <c r="S22" s="11">
        <v>1</v>
      </c>
      <c r="T22" s="16">
        <f t="shared" ref="T22:T27" si="5">MAX(0,T13)</f>
        <v>1.426184227044502</v>
      </c>
    </row>
    <row r="23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11">
        <v>2</v>
      </c>
      <c r="T23" s="16">
        <f t="shared" si="5"/>
        <v>0.83446165212430812</v>
      </c>
    </row>
    <row r="24">
      <c r="B24" t="s">
        <v>30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11">
        <v>3</v>
      </c>
      <c r="T24" s="16">
        <f t="shared" si="5"/>
        <v>1.8393159934697598</v>
      </c>
    </row>
    <row r="25">
      <c r="B25">
        <v>1</v>
      </c>
      <c r="S25" s="11">
        <v>4</v>
      </c>
      <c r="T25" s="16">
        <f t="shared" si="5"/>
        <v>0.40501335750777256</v>
      </c>
    </row>
    <row r="26">
      <c r="A26">
        <v>1</v>
      </c>
      <c r="B26">
        <f t="shared" ref="B26:B31" si="6">AVERAGE(B4:F4)</f>
        <v>0.36548104119790437</v>
      </c>
      <c r="M26" t="s">
        <v>28</v>
      </c>
      <c r="N26" t="s">
        <v>31</v>
      </c>
      <c r="S26" s="11">
        <v>5</v>
      </c>
      <c r="T26" s="16">
        <f t="shared" si="5"/>
        <v>0.53701995183003415</v>
      </c>
    </row>
    <row r="27">
      <c r="A27">
        <v>2</v>
      </c>
      <c r="B27">
        <f t="shared" si="6"/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13">
        <v>6</v>
      </c>
      <c r="T27" s="17">
        <f t="shared" si="5"/>
        <v>1.2588938475691771</v>
      </c>
    </row>
    <row r="28">
      <c r="A28">
        <v>3</v>
      </c>
      <c r="B28">
        <f t="shared" si="6"/>
        <v>0.086633902217030781</v>
      </c>
      <c r="L28">
        <v>1</v>
      </c>
      <c r="M28">
        <f t="shared" ref="M28:Q33" si="7">MAX(0,M19)</f>
        <v>0</v>
      </c>
      <c r="N28">
        <f t="shared" si="7"/>
        <v>2.8409403705120142</v>
      </c>
      <c r="O28">
        <f t="shared" si="7"/>
        <v>1.0094657250366961</v>
      </c>
      <c r="P28">
        <f t="shared" si="7"/>
        <v>4.0296676785617889</v>
      </c>
      <c r="Q28">
        <f t="shared" si="7"/>
        <v>0.2231704534676876</v>
      </c>
    </row>
    <row r="29">
      <c r="A29">
        <v>4</v>
      </c>
      <c r="B29">
        <f t="shared" si="6"/>
        <v>-0.84368679885201792</v>
      </c>
      <c r="L29">
        <v>2</v>
      </c>
      <c r="M29">
        <f t="shared" si="7"/>
        <v>0.25689826878368283</v>
      </c>
      <c r="N29">
        <f t="shared" si="7"/>
        <v>3.1757752467270279</v>
      </c>
      <c r="O29">
        <f t="shared" si="7"/>
        <v>1.0362640459794481</v>
      </c>
      <c r="P29">
        <f t="shared" si="7"/>
        <v>2.8218983069716979</v>
      </c>
      <c r="Q29">
        <f t="shared" si="7"/>
        <v>0</v>
      </c>
      <c r="T29" s="5"/>
    </row>
    <row r="30">
      <c r="A30">
        <v>5</v>
      </c>
      <c r="B30">
        <f t="shared" si="6"/>
        <v>0.17422066566536737</v>
      </c>
      <c r="L30">
        <v>3</v>
      </c>
      <c r="M30">
        <f t="shared" si="7"/>
        <v>0</v>
      </c>
      <c r="N30">
        <f t="shared" si="7"/>
        <v>3.1834321996364521</v>
      </c>
      <c r="O30">
        <f t="shared" si="7"/>
        <v>3.3789276309323317</v>
      </c>
      <c r="P30">
        <f t="shared" si="7"/>
        <v>0</v>
      </c>
      <c r="Q30">
        <f t="shared" si="7"/>
        <v>0</v>
      </c>
    </row>
    <row r="31">
      <c r="A31">
        <v>6</v>
      </c>
      <c r="B31">
        <f t="shared" si="6"/>
        <v>0.46054055495736873</v>
      </c>
      <c r="L31">
        <v>4</v>
      </c>
      <c r="M31">
        <f t="shared" si="7"/>
        <v>1.4276993553513675</v>
      </c>
      <c r="N31">
        <f t="shared" si="7"/>
        <v>0.71676248961599387</v>
      </c>
      <c r="O31">
        <f t="shared" si="7"/>
        <v>0</v>
      </c>
      <c r="P31">
        <f t="shared" si="7"/>
        <v>1.5094131886761968</v>
      </c>
      <c r="Q31">
        <f t="shared" si="7"/>
        <v>0</v>
      </c>
    </row>
    <row r="32">
      <c r="L32">
        <v>5</v>
      </c>
      <c r="M32">
        <f t="shared" si="7"/>
        <v>4.5198656803290973</v>
      </c>
      <c r="N32">
        <f t="shared" si="7"/>
        <v>0</v>
      </c>
      <c r="O32">
        <f t="shared" si="7"/>
        <v>0.11944986647470091</v>
      </c>
      <c r="P32">
        <f t="shared" si="7"/>
        <v>0</v>
      </c>
      <c r="Q32">
        <f t="shared" si="7"/>
        <v>3.6991230119856033</v>
      </c>
    </row>
    <row r="33">
      <c r="B33" t="s">
        <v>32</v>
      </c>
      <c r="L33">
        <v>6</v>
      </c>
      <c r="M33">
        <f t="shared" si="7"/>
        <v>0.45104666710995933</v>
      </c>
      <c r="N33">
        <f t="shared" si="7"/>
        <v>0.64449565272897891</v>
      </c>
      <c r="O33">
        <f t="shared" si="7"/>
        <v>1.2183253943918149</v>
      </c>
      <c r="P33">
        <f t="shared" si="7"/>
        <v>0</v>
      </c>
      <c r="Q33">
        <f t="shared" si="7"/>
        <v>3.0540707238032767</v>
      </c>
    </row>
    <row r="34">
      <c r="B34">
        <v>1</v>
      </c>
    </row>
    <row r="35">
      <c r="A35">
        <v>1</v>
      </c>
      <c r="B35">
        <v>0</v>
      </c>
    </row>
    <row r="36">
      <c r="A36">
        <v>2</v>
      </c>
      <c r="B36" cm="1">
        <f t="array" ref="B36:B41">B26:B31</f>
        <v>0.36548104119790437</v>
      </c>
      <c r="L36" s="7"/>
      <c r="M36" s="18" t="s">
        <v>33</v>
      </c>
      <c r="N36" s="9" t="s">
        <v>31</v>
      </c>
    </row>
    <row r="37">
      <c r="A37">
        <v>3</v>
      </c>
      <c r="B37">
        <f/>
        <v>-0.24318936518565337</v>
      </c>
      <c r="L37" s="11"/>
      <c r="M37" t="s">
        <v>34</v>
      </c>
      <c r="N37" s="12"/>
    </row>
    <row r="38">
      <c r="A38">
        <v>4</v>
      </c>
      <c r="B38">
        <f/>
        <v>0.086633902217030781</v>
      </c>
      <c r="L38" s="11"/>
      <c r="M38">
        <v>1</v>
      </c>
      <c r="N38" s="12"/>
    </row>
    <row r="39">
      <c r="A39">
        <v>5</v>
      </c>
      <c r="B39">
        <f/>
        <v>-0.84368679885201792</v>
      </c>
      <c r="L39" s="11">
        <v>1</v>
      </c>
      <c r="M39" s="19">
        <f t="shared" ref="M39:M44" si="8">MAX(M28:Q28)</f>
        <v>4.0296676785617889</v>
      </c>
      <c r="N39" s="12"/>
    </row>
    <row r="40">
      <c r="A40">
        <v>6</v>
      </c>
      <c r="B40">
        <f/>
        <v>0.17422066566536737</v>
      </c>
      <c r="L40" s="11">
        <v>2</v>
      </c>
      <c r="M40" s="19">
        <f t="shared" si="8"/>
        <v>3.1757752467270279</v>
      </c>
      <c r="N40" s="12"/>
    </row>
    <row r="41">
      <c r="A41">
        <v>7</v>
      </c>
      <c r="B41">
        <f/>
        <v>0.46054055495736873</v>
      </c>
      <c r="L41" s="11">
        <v>3</v>
      </c>
      <c r="M41" s="19">
        <f t="shared" si="8"/>
        <v>3.3789276309323317</v>
      </c>
      <c r="N41" s="12"/>
    </row>
    <row r="42">
      <c r="A42">
        <v>8</v>
      </c>
      <c r="B42">
        <v>0</v>
      </c>
      <c r="L42" s="11">
        <v>4</v>
      </c>
      <c r="M42" s="19">
        <f t="shared" si="8"/>
        <v>1.5094131886761968</v>
      </c>
      <c r="N42" s="12"/>
    </row>
    <row r="43">
      <c r="L43" s="11">
        <v>5</v>
      </c>
      <c r="M43" s="19">
        <f t="shared" si="8"/>
        <v>4.5198656803290973</v>
      </c>
      <c r="N43" s="12"/>
    </row>
    <row r="44">
      <c r="L44" s="13">
        <v>6</v>
      </c>
      <c r="M44" s="20">
        <f t="shared" si="8"/>
        <v>3.0540707238032767</v>
      </c>
      <c r="N44" s="14"/>
    </row>
    <row r="47">
      <c r="L47" s="7"/>
      <c r="M47" s="18" t="s">
        <v>35</v>
      </c>
      <c r="N47" s="21" t="s">
        <v>36</v>
      </c>
    </row>
    <row r="48">
      <c r="L48" s="11"/>
      <c r="M48">
        <v>1</v>
      </c>
      <c r="N48" s="12">
        <v>2</v>
      </c>
    </row>
    <row r="49">
      <c r="L49" s="11">
        <v>1</v>
      </c>
      <c r="M49" s="19">
        <f t="shared" ref="M49:M54" si="9">M39</f>
        <v>4.0296676785617889</v>
      </c>
      <c r="N49" s="16">
        <f t="shared" ref="N49:N54" si="10">T22</f>
        <v>1.426184227044502</v>
      </c>
    </row>
    <row r="50">
      <c r="L50" s="11">
        <v>2</v>
      </c>
      <c r="M50" s="19">
        <f t="shared" si="9"/>
        <v>3.1757752467270279</v>
      </c>
      <c r="N50" s="16">
        <f t="shared" si="10"/>
        <v>0.83446165212430812</v>
      </c>
    </row>
    <row r="51">
      <c r="L51" s="11">
        <v>3</v>
      </c>
      <c r="M51" s="19">
        <f t="shared" si="9"/>
        <v>3.3789276309323317</v>
      </c>
      <c r="N51" s="16">
        <f t="shared" si="10"/>
        <v>1.8393159934697598</v>
      </c>
    </row>
    <row r="52">
      <c r="L52" s="11">
        <v>4</v>
      </c>
      <c r="M52" s="19">
        <f t="shared" si="9"/>
        <v>1.5094131886761968</v>
      </c>
      <c r="N52" s="16">
        <f t="shared" si="10"/>
        <v>0.40501335750777256</v>
      </c>
    </row>
    <row r="53">
      <c r="L53" s="11">
        <v>5</v>
      </c>
      <c r="M53" s="19">
        <f t="shared" si="9"/>
        <v>4.5198656803290973</v>
      </c>
      <c r="N53" s="16">
        <f t="shared" si="10"/>
        <v>0.53701995183003415</v>
      </c>
    </row>
    <row r="54">
      <c r="L54" s="13">
        <v>6</v>
      </c>
      <c r="M54" s="20">
        <f t="shared" si="9"/>
        <v>3.0540707238032767</v>
      </c>
      <c r="N54" s="17">
        <f t="shared" si="10"/>
        <v>1.2588938475691771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1" zoomScale="100" workbookViewId="0">
      <selection activeCell="AA65" activeCellId="0" sqref="AA65"/>
    </sheetView>
  </sheetViews>
  <sheetFormatPr defaultRowHeight="15"/>
  <cols>
    <col customWidth="1" min="3" max="6" width="12.5703125"/>
    <col customWidth="1" min="9" max="9" width="14.140625"/>
    <col customWidth="1" min="10" max="10" width="12.140625"/>
    <col customWidth="1" min="13" max="13" width="15"/>
    <col customWidth="1" min="20" max="20" width="9.7109375"/>
    <col customWidth="1" min="22" max="22" width="13.5703125"/>
  </cols>
  <sheetData>
    <row r="1" ht="15.75"/>
    <row r="2" ht="26.25">
      <c r="B2" s="7"/>
      <c r="C2" s="8" t="s">
        <v>35</v>
      </c>
      <c r="D2" s="9"/>
      <c r="I2" s="6" t="s">
        <v>19</v>
      </c>
      <c r="M2" s="6" t="s">
        <v>19</v>
      </c>
      <c r="U2" s="6" t="s">
        <v>37</v>
      </c>
      <c r="AA2" s="6" t="s">
        <v>37</v>
      </c>
    </row>
    <row r="3" ht="26.25">
      <c r="B3" s="11"/>
      <c r="C3">
        <v>1</v>
      </c>
      <c r="D3" s="12">
        <v>2</v>
      </c>
      <c r="I3" s="6" t="s">
        <v>20</v>
      </c>
      <c r="M3" s="6" t="s">
        <v>38</v>
      </c>
      <c r="U3" s="6" t="s">
        <v>38</v>
      </c>
      <c r="AA3" s="6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ht="15.75">
      <c r="B4" s="11">
        <v>1</v>
      </c>
      <c r="C4" s="19" cm="1">
        <f t="array" ref="C4:D9">FRONTEND!M49:N54</f>
        <v>4.0296676785617889</v>
      </c>
      <c r="D4" s="16">
        <f/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ht="15.75">
      <c r="B5" s="11">
        <v>2</v>
      </c>
      <c r="C5" s="19">
        <f/>
        <v>3.1757752467270279</v>
      </c>
      <c r="D5" s="16">
        <f/>
        <v>0.83446165212430812</v>
      </c>
      <c r="H5" s="7"/>
      <c r="I5" s="18" t="s">
        <v>22</v>
      </c>
      <c r="J5" s="9"/>
      <c r="M5" t="s">
        <v>3</v>
      </c>
      <c r="O5" s="7"/>
      <c r="P5" s="18" t="s">
        <v>40</v>
      </c>
      <c r="Q5" s="8"/>
      <c r="R5" s="9"/>
      <c r="T5" s="7"/>
      <c r="U5" s="8" t="s">
        <v>41</v>
      </c>
      <c r="V5" s="9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>
      <c r="B6" s="11">
        <v>3</v>
      </c>
      <c r="C6" s="19">
        <f/>
        <v>3.3789276309323317</v>
      </c>
      <c r="D6" s="16">
        <f/>
        <v>1.8393159934697598</v>
      </c>
      <c r="H6" s="11"/>
      <c r="I6">
        <v>1</v>
      </c>
      <c r="J6" s="12">
        <v>2</v>
      </c>
      <c r="M6">
        <v>1</v>
      </c>
      <c r="O6" s="11"/>
      <c r="P6" s="22">
        <v>1</v>
      </c>
      <c r="Q6" s="22">
        <v>2</v>
      </c>
      <c r="R6" s="12">
        <v>3</v>
      </c>
      <c r="T6" s="11"/>
      <c r="U6">
        <v>1</v>
      </c>
      <c r="V6" s="12"/>
      <c r="AA6">
        <v>1</v>
      </c>
      <c r="AB6">
        <v>2</v>
      </c>
      <c r="AI6">
        <v>0</v>
      </c>
      <c r="AJ6">
        <v>0</v>
      </c>
      <c r="AK6">
        <v>0</v>
      </c>
      <c r="AL6" s="7">
        <f t="shared" ref="AL6:AM11" si="11">C4</f>
        <v>4.0296676785617889</v>
      </c>
      <c r="AM6" s="9">
        <f t="shared" si="11"/>
        <v>1.426184227044502</v>
      </c>
      <c r="AN6">
        <v>0</v>
      </c>
      <c r="AO6">
        <v>0</v>
      </c>
      <c r="AP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H7" s="11">
        <v>1</v>
      </c>
      <c r="I7">
        <v>-0.20399999999999999</v>
      </c>
      <c r="J7" s="12">
        <v>-0.73999999999999999</v>
      </c>
      <c r="L7">
        <v>1</v>
      </c>
      <c r="M7" s="19">
        <f t="shared" ref="M7:M10" si="12">I47</f>
        <v>3.9314647214855474</v>
      </c>
      <c r="O7" s="11">
        <v>1</v>
      </c>
      <c r="P7" s="22">
        <v>-0.13400000000000001</v>
      </c>
      <c r="Q7" s="22">
        <v>-0.67100000000000004</v>
      </c>
      <c r="R7" s="12">
        <v>-0.77800000000000002</v>
      </c>
      <c r="T7" s="11">
        <v>1</v>
      </c>
      <c r="U7" s="1">
        <f>-1/3*((2/(1+DATA!$I$16))*N27/M21-((2*DATA!$I$16)/(1+DATA!$I$16))*(1-N27)*(1-M21))</f>
        <v>0.06750059262475433</v>
      </c>
      <c r="V7" s="12"/>
      <c r="Z7">
        <v>1</v>
      </c>
      <c r="AA7" s="19">
        <f t="shared" ref="AA7:AA12" si="13">U60*IF(U60&gt;0,1,0)</f>
        <v>0</v>
      </c>
      <c r="AB7" s="23">
        <f t="shared" ref="AB7:AB12" si="14">V60*IF(V60&gt;0,1,0)</f>
        <v>0</v>
      </c>
      <c r="AI7">
        <v>0</v>
      </c>
      <c r="AJ7">
        <v>0</v>
      </c>
      <c r="AK7">
        <v>0</v>
      </c>
      <c r="AL7" s="11">
        <f t="shared" si="11"/>
        <v>3.1757752467270279</v>
      </c>
      <c r="AM7" s="12">
        <f t="shared" si="11"/>
        <v>0.83446165212430812</v>
      </c>
      <c r="AN7">
        <v>0</v>
      </c>
      <c r="AO7">
        <v>0</v>
      </c>
      <c r="AP7">
        <v>0</v>
      </c>
    </row>
    <row r="8">
      <c r="B8" s="11">
        <v>5</v>
      </c>
      <c r="C8" s="19">
        <f/>
        <v>4.5198656803290973</v>
      </c>
      <c r="D8" s="16">
        <f/>
        <v>0.53701995183003415</v>
      </c>
      <c r="H8" s="11">
        <v>2</v>
      </c>
      <c r="I8">
        <v>0.80500000000000005</v>
      </c>
      <c r="J8" s="12">
        <v>-0.97699999999999998</v>
      </c>
      <c r="L8">
        <v>2</v>
      </c>
      <c r="M8" s="19">
        <f t="shared" si="12"/>
        <v>2.578660515266967</v>
      </c>
      <c r="O8" s="11">
        <v>2</v>
      </c>
      <c r="P8" s="22">
        <v>-0.94499999999999995</v>
      </c>
      <c r="Q8" s="22">
        <v>-0.040000000000000001</v>
      </c>
      <c r="R8" s="12">
        <v>0.99099999999999999</v>
      </c>
      <c r="T8" s="11">
        <v>2</v>
      </c>
      <c r="U8" s="1">
        <f>-1/3*((2/(1+DATA!$I$17))*N28/M22-((2*DATA!$I$17)/(1+DATA!$I$17))*(1-N28)*(1-M22))</f>
        <v>-2.3207803533700861</v>
      </c>
      <c r="V8" s="12"/>
      <c r="Z8">
        <v>2</v>
      </c>
      <c r="AA8" s="19">
        <f t="shared" si="13"/>
        <v>0</v>
      </c>
      <c r="AB8" s="23">
        <f t="shared" si="14"/>
        <v>0.0057332506028503856</v>
      </c>
      <c r="AI8">
        <v>0</v>
      </c>
      <c r="AJ8">
        <v>0</v>
      </c>
      <c r="AK8">
        <v>0</v>
      </c>
      <c r="AL8" s="11">
        <f t="shared" si="11"/>
        <v>3.3789276309323317</v>
      </c>
      <c r="AM8" s="12">
        <f t="shared" si="11"/>
        <v>1.8393159934697598</v>
      </c>
      <c r="AN8">
        <v>0</v>
      </c>
      <c r="AO8">
        <v>0</v>
      </c>
      <c r="AP8">
        <v>0</v>
      </c>
    </row>
    <row r="9" ht="15.75">
      <c r="B9" s="13">
        <v>6</v>
      </c>
      <c r="C9" s="20">
        <f/>
        <v>3.0540707238032767</v>
      </c>
      <c r="D9" s="17">
        <f/>
        <v>1.2588938475691771</v>
      </c>
      <c r="H9" s="13">
        <v>3</v>
      </c>
      <c r="I9" s="15">
        <v>0.51600000000000001</v>
      </c>
      <c r="J9" s="14">
        <v>-0.91400000000000003</v>
      </c>
      <c r="L9">
        <v>3</v>
      </c>
      <c r="M9" s="23">
        <f t="shared" si="12"/>
        <v>2.0283400176616162</v>
      </c>
      <c r="O9" s="11">
        <v>3</v>
      </c>
      <c r="P9" s="22">
        <v>-0.62</v>
      </c>
      <c r="Q9" s="22">
        <v>0.312</v>
      </c>
      <c r="R9" s="12">
        <v>-0.121</v>
      </c>
      <c r="T9" s="13">
        <v>3</v>
      </c>
      <c r="U9" s="24">
        <f>-1/3*((2/(1+DATA!$I$18))*N29/M23-((2*DATA!$I$18)/(1+DATA!$I$18))*(1-N29)*(1-M23))</f>
        <v>-0.80202793606564327</v>
      </c>
      <c r="V9" s="14"/>
      <c r="Z9">
        <v>3</v>
      </c>
      <c r="AA9" s="19">
        <f t="shared" si="13"/>
        <v>0</v>
      </c>
      <c r="AB9" s="23">
        <f t="shared" si="14"/>
        <v>0.0057332506028503856</v>
      </c>
      <c r="AI9">
        <v>0</v>
      </c>
      <c r="AJ9">
        <v>0</v>
      </c>
      <c r="AK9">
        <v>0</v>
      </c>
      <c r="AL9" s="11">
        <f t="shared" si="11"/>
        <v>1.5094131886761968</v>
      </c>
      <c r="AM9" s="12">
        <f t="shared" si="11"/>
        <v>0.40501335750777256</v>
      </c>
      <c r="AN9">
        <v>0</v>
      </c>
      <c r="AO9">
        <v>0</v>
      </c>
      <c r="AP9">
        <v>0</v>
      </c>
    </row>
    <row r="10" ht="15.75">
      <c r="B10" t="s">
        <v>45</v>
      </c>
      <c r="L10">
        <v>4</v>
      </c>
      <c r="M10" s="23">
        <f t="shared" si="12"/>
        <v>2.0931660549585884</v>
      </c>
      <c r="O10" s="13">
        <v>4</v>
      </c>
      <c r="P10" s="15">
        <v>-0.29099999999999998</v>
      </c>
      <c r="Q10" s="15">
        <v>-0.20200000000000001</v>
      </c>
      <c r="R10" s="14">
        <v>0.186</v>
      </c>
      <c r="Z10">
        <v>4</v>
      </c>
      <c r="AA10" s="19">
        <f t="shared" si="13"/>
        <v>0</v>
      </c>
      <c r="AB10" s="23">
        <f t="shared" si="14"/>
        <v>0.0057332506028503856</v>
      </c>
      <c r="AI10">
        <v>0</v>
      </c>
      <c r="AJ10">
        <v>0</v>
      </c>
      <c r="AK10">
        <v>0</v>
      </c>
      <c r="AL10" s="11">
        <f t="shared" si="11"/>
        <v>4.5198656803290973</v>
      </c>
      <c r="AM10" s="12">
        <f t="shared" si="11"/>
        <v>0.53701995183003415</v>
      </c>
      <c r="AN10">
        <v>0</v>
      </c>
      <c r="AO10">
        <v>0</v>
      </c>
      <c r="AP10">
        <v>0</v>
      </c>
    </row>
    <row r="11" ht="15.75">
      <c r="H11" s="7"/>
      <c r="I11" s="10" t="s">
        <v>23</v>
      </c>
      <c r="Z11">
        <v>5</v>
      </c>
      <c r="AA11" s="19">
        <f t="shared" si="13"/>
        <v>0.35436187256857737</v>
      </c>
      <c r="AB11" s="23">
        <f t="shared" si="14"/>
        <v>0.0057332506028503856</v>
      </c>
      <c r="AI11">
        <v>0</v>
      </c>
      <c r="AJ11">
        <v>0</v>
      </c>
      <c r="AK11">
        <v>0</v>
      </c>
      <c r="AL11" s="13">
        <f t="shared" si="11"/>
        <v>3.0540707238032767</v>
      </c>
      <c r="AM11" s="14">
        <f t="shared" si="11"/>
        <v>1.2588938475691771</v>
      </c>
      <c r="AN11">
        <v>0</v>
      </c>
      <c r="AO11">
        <v>0</v>
      </c>
      <c r="AP11">
        <v>0</v>
      </c>
    </row>
    <row r="12" ht="15.75">
      <c r="C12" t="s">
        <v>46</v>
      </c>
      <c r="H12" s="11"/>
      <c r="I12" s="12">
        <v>1</v>
      </c>
      <c r="T12" s="7" t="s">
        <v>47</v>
      </c>
      <c r="U12" s="8" t="s">
        <v>48</v>
      </c>
      <c r="V12" s="9"/>
      <c r="Z12">
        <v>6</v>
      </c>
      <c r="AA12" s="19">
        <f t="shared" si="13"/>
        <v>0</v>
      </c>
      <c r="AB12" s="23">
        <f t="shared" si="14"/>
        <v>0.0057332506028503856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ht="15.75">
      <c r="C13">
        <v>1</v>
      </c>
      <c r="D13">
        <v>2</v>
      </c>
      <c r="E13">
        <v>3</v>
      </c>
      <c r="H13" s="13">
        <v>1</v>
      </c>
      <c r="I13" s="14">
        <v>1</v>
      </c>
      <c r="M13" t="s">
        <v>49</v>
      </c>
      <c r="N13" t="s">
        <v>50</v>
      </c>
      <c r="O13" s="7"/>
      <c r="P13" s="10" t="s">
        <v>23</v>
      </c>
      <c r="T13" s="11"/>
      <c r="U13">
        <v>1</v>
      </c>
      <c r="V13" s="12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>
      <c r="B14">
        <v>1</v>
      </c>
      <c r="C14">
        <v>0</v>
      </c>
      <c r="D14">
        <v>0</v>
      </c>
      <c r="E14">
        <v>0</v>
      </c>
      <c r="M14">
        <v>1</v>
      </c>
      <c r="O14" s="11"/>
      <c r="P14" s="12">
        <v>1</v>
      </c>
      <c r="T14" s="11">
        <v>1</v>
      </c>
      <c r="U14">
        <f>-1/3*((2/(1+DATA!$I$16))*N27*(1-M21)-((2*DATA!$I$16)/(1+DATA!$I$16))*(1-N27)*M21)</f>
        <v>0.0014649246166249857</v>
      </c>
      <c r="V14" s="12"/>
      <c r="Z14" s="7"/>
      <c r="AA14" s="18" t="s">
        <v>22</v>
      </c>
      <c r="AB14" s="9" t="s">
        <v>51</v>
      </c>
      <c r="AD14" s="7"/>
      <c r="AE14" s="10" t="s">
        <v>23</v>
      </c>
      <c r="AF14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>
      <c r="B15">
        <v>2</v>
      </c>
      <c r="C15" s="19">
        <f t="shared" ref="C15:D20" si="15">C4</f>
        <v>4.0296676785617889</v>
      </c>
      <c r="D15" s="23">
        <f t="shared" si="15"/>
        <v>1.426184227044502</v>
      </c>
      <c r="E15">
        <v>0</v>
      </c>
      <c r="I15" t="s">
        <v>25</v>
      </c>
      <c r="J15" t="s">
        <v>53</v>
      </c>
      <c r="L15">
        <v>1</v>
      </c>
      <c r="M15" cm="1">
        <f t="array" ref="M15:M17">TRANSPOSE(MMULT(TRANSPOSE(M7:M10),P7:R10)+TRANSPOSE(P15:P17))</f>
        <v>-3.8303325925494986</v>
      </c>
      <c r="O15" s="11">
        <v>1</v>
      </c>
      <c r="P15" s="12">
        <v>1</v>
      </c>
      <c r="T15" s="11">
        <v>2</v>
      </c>
      <c r="U15">
        <f>-1/3*((2/(1+DATA!$I$17))*N28*(1-M22)-((2*DATA!$I$17)/(1+DATA!$I$17))*(1-N28)*M22)</f>
        <v>-0.33930931338254605</v>
      </c>
      <c r="V15" s="12"/>
      <c r="Z15" s="11"/>
      <c r="AA15">
        <v>1</v>
      </c>
      <c r="AB15" s="12">
        <v>2</v>
      </c>
      <c r="AD15" s="11"/>
      <c r="AE15" s="12">
        <v>1</v>
      </c>
      <c r="AI15" t="s">
        <v>54</v>
      </c>
    </row>
    <row r="16" ht="15.75">
      <c r="B16">
        <v>3</v>
      </c>
      <c r="C16" s="19">
        <f t="shared" si="15"/>
        <v>3.1757752467270279</v>
      </c>
      <c r="D16" s="23">
        <f t="shared" si="15"/>
        <v>0.83446165212430812</v>
      </c>
      <c r="E16">
        <v>0</v>
      </c>
      <c r="I16">
        <v>1</v>
      </c>
      <c r="J16">
        <v>2</v>
      </c>
      <c r="L16">
        <v>2</v>
      </c>
      <c r="M16">
        <f/>
        <v>-1.5311367063186916</v>
      </c>
      <c r="O16" s="11">
        <v>2</v>
      </c>
      <c r="P16" s="12">
        <v>1</v>
      </c>
      <c r="T16" s="13">
        <v>3</v>
      </c>
      <c r="U16" s="15">
        <f>-1/3*((2/(1+DATA!$I$18))*N29*(1-M23)-((2*DATA!$I$18)/(1+DATA!$I$18))*(1-N29)*M23)</f>
        <v>-0.1812617452835168</v>
      </c>
      <c r="V16" s="14"/>
      <c r="Z16" s="11">
        <v>1</v>
      </c>
      <c r="AA16" cm="1">
        <f t="array" ref="AA16">I7-M32*SUM($AA$7:$AB$12*AL5:AM10)</f>
        <v>-0.26037855059356391</v>
      </c>
      <c r="AB16" s="12" cm="1">
        <f t="array" ref="AB16">J7-N32*SUM($AA$7:$AB$12*AM5:AN10)</f>
        <v>-0.73999999999999999</v>
      </c>
      <c r="AD16" s="13">
        <v>1</v>
      </c>
      <c r="AE16" s="14">
        <f>I13-M32*SUM(AA7:AB12)</f>
        <v>0.96169718744171706</v>
      </c>
    </row>
    <row r="17" ht="15.75">
      <c r="B17">
        <v>4</v>
      </c>
      <c r="C17" s="19">
        <f t="shared" si="15"/>
        <v>3.3789276309323317</v>
      </c>
      <c r="D17" s="23">
        <f t="shared" si="15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3</v>
      </c>
      <c r="M17">
        <f/>
        <v>0.64067276139905016</v>
      </c>
      <c r="O17" s="13">
        <v>3</v>
      </c>
      <c r="P17" s="14">
        <v>1</v>
      </c>
      <c r="Z17" s="11">
        <v>2</v>
      </c>
      <c r="AA17" cm="1">
        <f t="array" ref="AA17">I8-M40*SUM($AA$7:$AB$12*AL6:AM11)</f>
        <v>0.80500000000000005</v>
      </c>
      <c r="AB17" s="12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ht="15.75">
      <c r="B18">
        <v>5</v>
      </c>
      <c r="C18" s="19">
        <f t="shared" si="15"/>
        <v>1.5094131886761968</v>
      </c>
      <c r="D18" s="23">
        <f t="shared" si="15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Z18" s="13">
        <v>3</v>
      </c>
      <c r="AA18" s="15" cm="1">
        <f t="array" ref="AA18">I9-M41*SUM($AA$7:$AB$12*AL7:AM12)</f>
        <v>0.51600000000000001</v>
      </c>
      <c r="AB18" s="14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ht="15.75">
      <c r="B19">
        <v>6</v>
      </c>
      <c r="C19" s="19">
        <f t="shared" si="15"/>
        <v>4.5198656803290973</v>
      </c>
      <c r="D19" s="23">
        <f t="shared" si="15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L19" s="7"/>
      <c r="M19" s="18" t="s">
        <v>55</v>
      </c>
      <c r="N19" s="9"/>
      <c r="O19" t="s">
        <v>56</v>
      </c>
      <c r="T19" s="7"/>
      <c r="U19" s="18" t="s">
        <v>40</v>
      </c>
      <c r="V19" s="8" t="s">
        <v>57</v>
      </c>
      <c r="W19" s="9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>
      <c r="B20">
        <v>7</v>
      </c>
      <c r="C20" s="19">
        <f t="shared" si="15"/>
        <v>3.0540707238032767</v>
      </c>
      <c r="D20" s="23">
        <f t="shared" si="15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L20" s="11"/>
      <c r="M20">
        <v>1</v>
      </c>
      <c r="N20" s="12"/>
      <c r="T20" s="11"/>
      <c r="U20" s="22">
        <v>1</v>
      </c>
      <c r="V20" s="22">
        <v>2</v>
      </c>
      <c r="W20" s="12">
        <v>3</v>
      </c>
      <c r="Z20" s="7"/>
      <c r="AA20" s="18" t="s">
        <v>58</v>
      </c>
      <c r="AB20" s="9"/>
      <c r="AC20" t="s">
        <v>59</v>
      </c>
      <c r="AI20">
        <v>0</v>
      </c>
      <c r="AJ20">
        <v>0</v>
      </c>
      <c r="AK20">
        <v>0</v>
      </c>
      <c r="AL20" s="7" cm="1">
        <f t="array" ref="AL20:AM25">AA7:AB12</f>
        <v>0</v>
      </c>
      <c r="AM20" s="9">
        <f/>
        <v>0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L21" s="11">
        <v>1</v>
      </c>
      <c r="M21">
        <f t="shared" ref="M21:M23" si="16">1/(1+EXP(-M15))</f>
        <v>0.021241406941062295</v>
      </c>
      <c r="N21" s="12" t="s">
        <v>10</v>
      </c>
      <c r="T21" s="11">
        <v>1</v>
      </c>
      <c r="U21" s="22" cm="1">
        <f t="array" ref="U21:U24">P7:P10-$M$32*$U14*$M$7:$M$10</f>
        <v>-0.13457592994498971</v>
      </c>
      <c r="V21" s="22" cm="1">
        <f t="array" ref="V21:V24">Q7:Q10-$M$32*$U15*$M$7:$M$10</f>
        <v>-0.53760174047650366</v>
      </c>
      <c r="W21" s="12" cm="1">
        <f t="array" ref="W21:W24">R7:R10-$M$32*$U16*$M$7:$M$10</f>
        <v>-0.70673758430629552</v>
      </c>
      <c r="Z21" s="11"/>
      <c r="AA21">
        <v>1</v>
      </c>
      <c r="AB21" s="12">
        <v>2</v>
      </c>
      <c r="AI21">
        <v>0</v>
      </c>
      <c r="AJ21">
        <v>0</v>
      </c>
      <c r="AK21">
        <v>0</v>
      </c>
      <c r="AL21" s="11">
        <f/>
        <v>0</v>
      </c>
      <c r="AM21" s="12">
        <f/>
        <v>0.0057332506028503856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 s="11">
        <v>2</v>
      </c>
      <c r="M22">
        <f t="shared" si="16"/>
        <v>0.17782743295767689</v>
      </c>
      <c r="N22" s="12" t="s">
        <v>11</v>
      </c>
      <c r="T22" s="11">
        <v>2</v>
      </c>
      <c r="U22" s="22">
        <f/>
        <v>-0.94537775432667326</v>
      </c>
      <c r="V22" s="22">
        <f/>
        <v>0.047496352888191713</v>
      </c>
      <c r="W22" s="12">
        <f/>
        <v>1.0377412505490984</v>
      </c>
      <c r="Z22" s="11">
        <v>1</v>
      </c>
      <c r="AA22" s="19" cm="1">
        <f t="array" ref="AA22">SUM(MMULT($AS$20:$AU$22,MMULT(AL19:AM21,$AS$17:$AT$18))*$AA$16:$AB$18)</f>
        <v>-0.00149281548215986</v>
      </c>
      <c r="AB22" s="16" cm="1">
        <f t="array" ref="AB22">SUM(MMULT($AS$20:$AU$22,MMULT(AM19:AN21,$AS$17:$AT$18))*$AA$16:$AB$18)</f>
        <v>-0.0042426054461092849</v>
      </c>
      <c r="AI22">
        <v>0</v>
      </c>
      <c r="AJ22">
        <v>0</v>
      </c>
      <c r="AK22">
        <v>0</v>
      </c>
      <c r="AL22" s="11">
        <f/>
        <v>0</v>
      </c>
      <c r="AM22" s="12">
        <f/>
        <v>0.0057332506028503856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ht="15.75">
      <c r="L23" s="13">
        <v>3</v>
      </c>
      <c r="M23" s="15">
        <f t="shared" si="16"/>
        <v>0.65490552340253538</v>
      </c>
      <c r="N23" s="14" t="s">
        <v>12</v>
      </c>
      <c r="T23" s="11">
        <v>3</v>
      </c>
      <c r="U23" s="22">
        <f/>
        <v>-0.6202971365222758</v>
      </c>
      <c r="V23" s="22">
        <f/>
        <v>0.38082346586991045</v>
      </c>
      <c r="W23" s="12">
        <f/>
        <v>-0.084233954837025615</v>
      </c>
      <c r="Z23" s="11">
        <v>2</v>
      </c>
      <c r="AA23" s="19" cm="1">
        <f t="array" ref="AA23">SUM(MMULT($AS$20:$AU$22,MMULT(AL20:AM22,$AS$17:$AT$18))*$AA$16:$AB$18)</f>
        <v>0.0031224512531347003</v>
      </c>
      <c r="AB23" s="16" cm="1">
        <f t="array" ref="AB23">SUM(MMULT($AS$20:$AU$22,MMULT(AM20:AN22,$AS$17:$AT$18))*$AA$16:$AB$18)</f>
        <v>-0.0098439912850941114</v>
      </c>
      <c r="AI23">
        <v>0</v>
      </c>
      <c r="AJ23">
        <v>0</v>
      </c>
      <c r="AK23">
        <v>0</v>
      </c>
      <c r="AL23" s="11">
        <f/>
        <v>0</v>
      </c>
      <c r="AM23" s="12">
        <f/>
        <v>0.0057332506028503856</v>
      </c>
      <c r="AN23">
        <v>0</v>
      </c>
      <c r="AO23">
        <v>0</v>
      </c>
      <c r="AP23">
        <v>0</v>
      </c>
    </row>
    <row r="24" ht="15.75">
      <c r="I24" t="s">
        <v>28</v>
      </c>
      <c r="J24" t="s">
        <v>60</v>
      </c>
      <c r="T24" s="13">
        <v>4</v>
      </c>
      <c r="U24" s="15">
        <f/>
        <v>-0.29130663304805926</v>
      </c>
      <c r="V24" s="15">
        <f/>
        <v>-0.13097692630963487</v>
      </c>
      <c r="W24" s="14">
        <f/>
        <v>0.22394109322900074</v>
      </c>
      <c r="Z24" s="11">
        <v>3</v>
      </c>
      <c r="AA24" s="19" cm="1">
        <f t="array" ref="AA24">SUM(MMULT($AS$20:$AU$22,MMULT(AL21:AM23,$AS$17:$AT$18))*$AA$16:$AB$18)</f>
        <v>0.0060808085642054992</v>
      </c>
      <c r="AB24" s="16" cm="1">
        <f t="array" ref="AB24">SUM(MMULT($AS$20:$AU$22,MMULT(AM21:AN23,$AS$17:$AT$18))*$AA$16:$AB$18)</f>
        <v>-0.015084182336099365</v>
      </c>
      <c r="AI24">
        <v>0</v>
      </c>
      <c r="AJ24">
        <v>0</v>
      </c>
      <c r="AK24">
        <v>0</v>
      </c>
      <c r="AL24" s="11">
        <f/>
        <v>0.35436187256857737</v>
      </c>
      <c r="AM24" s="12">
        <f/>
        <v>0.0057332506028503856</v>
      </c>
      <c r="AN24">
        <v>0</v>
      </c>
      <c r="AO24">
        <v>0</v>
      </c>
      <c r="AP24">
        <v>0</v>
      </c>
    </row>
    <row r="25" ht="15.75">
      <c r="I25">
        <v>1</v>
      </c>
      <c r="J25">
        <v>2</v>
      </c>
      <c r="L25" s="7"/>
      <c r="M25" s="18" t="s">
        <v>61</v>
      </c>
      <c r="N25" s="9"/>
      <c r="O25" t="s">
        <v>62</v>
      </c>
      <c r="Z25" s="11">
        <v>4</v>
      </c>
      <c r="AA25" s="19" cm="1">
        <f t="array" ref="AA25">SUM(MMULT($AS$20:$AU$22,MMULT(AL22:AM24,$AS$17:$AT$18))*$AA$16:$AB$18)</f>
        <v>-0.25614697713654172</v>
      </c>
      <c r="AB25" s="16" cm="1">
        <f t="array" ref="AB25">SUM(MMULT($AS$20:$AU$22,MMULT(AM22:AN24,$AS$17:$AT$18))*$AA$16:$AB$18)</f>
        <v>-0.015084182336099365</v>
      </c>
      <c r="AI25">
        <v>0</v>
      </c>
      <c r="AJ25">
        <v>0</v>
      </c>
      <c r="AK25">
        <v>0</v>
      </c>
      <c r="AL25" s="13">
        <f/>
        <v>0</v>
      </c>
      <c r="AM25" s="14">
        <f/>
        <v>0.0057332506028503856</v>
      </c>
      <c r="AN25">
        <v>0</v>
      </c>
      <c r="AO25">
        <v>0</v>
      </c>
      <c r="AP25">
        <v>0</v>
      </c>
    </row>
    <row r="26">
      <c r="H26">
        <v>1</v>
      </c>
      <c r="I26">
        <f t="shared" ref="I26:J31" si="17">MAX(0,I17)</f>
        <v>3.7265025686892908</v>
      </c>
      <c r="J26">
        <f>MAX(0,J17)</f>
        <v>2.578660515266967</v>
      </c>
      <c r="L26" s="11"/>
      <c r="M26">
        <v>1</v>
      </c>
      <c r="N26" s="25" t="s">
        <v>63</v>
      </c>
      <c r="T26" s="7"/>
      <c r="U26" s="10" t="s">
        <v>23</v>
      </c>
      <c r="V26" t="s">
        <v>64</v>
      </c>
      <c r="Z26" s="11">
        <v>5</v>
      </c>
      <c r="AA26" s="19" cm="1">
        <f t="array" ref="AA26">SUM(MMULT($AS$20:$AU$22,MMULT(AL23:AM25,$AS$17:$AT$18))*$AA$16:$AB$18)</f>
        <v>-0.34013074093529455</v>
      </c>
      <c r="AB26" s="16" cm="1">
        <f t="array" ref="AB26">SUM(MMULT($AS$20:$AU$22,MMULT(AM23:AN25,$AS$17:$AT$18))*$AA$16:$AB$18)</f>
        <v>-0.015084182336099365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ht="15.75">
      <c r="H27">
        <v>2</v>
      </c>
      <c r="I27">
        <f t="shared" si="17"/>
        <v>0.9261933445799948</v>
      </c>
      <c r="J27">
        <f t="shared" si="17"/>
        <v>2.3298871002733854</v>
      </c>
      <c r="L27" s="26" t="s">
        <v>65</v>
      </c>
      <c r="M27" s="1">
        <f>((2/(1+DATA!$I$16))*N27*LN(M21)+((2*DATA!$I$16)/(1+DATA!$I$16))*(1-N27)*LN(1-M21))</f>
        <v>-0.0044421211220016911</v>
      </c>
      <c r="N27" s="12">
        <v>0</v>
      </c>
      <c r="T27" s="11"/>
      <c r="U27" s="12">
        <v>1</v>
      </c>
      <c r="Z27" s="13">
        <v>6</v>
      </c>
      <c r="AA27" s="20" cm="1">
        <f t="array" ref="AA27">SUM(MMULT($AS$20:$AU$22,MMULT(AL24:AM26,$AS$17:$AT$18))*$AA$16:$AB$18)</f>
        <v>-0.31631312748131435</v>
      </c>
      <c r="AB27" s="17" cm="1">
        <f t="array" ref="AB27">SUM(MMULT($AS$20:$AU$22,MMULT(AM24:AN26,$AS$17:$AT$18))*$AA$16:$AB$18)</f>
        <v>-0.01084157688999008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>
      <c r="H28">
        <v>3</v>
      </c>
      <c r="I28">
        <f t="shared" si="17"/>
        <v>1.0663402409710838</v>
      </c>
      <c r="J28">
        <f t="shared" si="17"/>
        <v>2.5194060901838085</v>
      </c>
      <c r="L28" s="11">
        <v>2</v>
      </c>
      <c r="M28" s="1">
        <f>((2/(1+DATA!$I$17))*N28*LN(M22)+((2*DATA!$I$17)/(1+DATA!$I$17))*(1-N28)*LN(1-M22))</f>
        <v>-2.1381182663947298</v>
      </c>
      <c r="N28" s="12">
        <v>1</v>
      </c>
      <c r="T28" s="11">
        <v>1</v>
      </c>
      <c r="U28" s="12">
        <f t="shared" ref="U28:U30" si="18">P15-$M$32*$U14</f>
        <v>0.99985350753833746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>
      <c r="H29">
        <v>4</v>
      </c>
      <c r="I29">
        <f t="shared" si="17"/>
        <v>1.61039894979859</v>
      </c>
      <c r="J29">
        <f t="shared" si="17"/>
        <v>1.2279175852702235</v>
      </c>
      <c r="L29" s="11">
        <v>3</v>
      </c>
      <c r="M29" s="1">
        <f>((2/(1+DATA!$I$18))*N29*LN(M23)+((2*DATA!$I$18)/(1+DATA!$I$18))*(1-N29)*LN(1-M23))</f>
        <v>-0.66696191597523935</v>
      </c>
      <c r="N29" s="12">
        <v>1</v>
      </c>
      <c r="T29" s="11">
        <v>2</v>
      </c>
      <c r="U29" s="12">
        <f t="shared" si="18"/>
        <v>1.0339309313382545</v>
      </c>
      <c r="AI29" t="s">
        <v>66</v>
      </c>
    </row>
    <row r="30" ht="15.75">
      <c r="H30">
        <v>5</v>
      </c>
      <c r="I30">
        <f t="shared" si="17"/>
        <v>3.9314647214855474</v>
      </c>
      <c r="J30">
        <f t="shared" si="17"/>
        <v>1.9992675616372875</v>
      </c>
      <c r="L30" s="27" t="s">
        <v>6</v>
      </c>
      <c r="M30" s="15">
        <f>-1*SUM(M27:M29)/3</f>
        <v>0.93650743449732365</v>
      </c>
      <c r="N30" s="14"/>
      <c r="T30" s="13">
        <v>3</v>
      </c>
      <c r="U30" s="14">
        <f t="shared" si="18"/>
        <v>1.0181261745283516</v>
      </c>
    </row>
    <row r="31">
      <c r="H31">
        <v>6</v>
      </c>
      <c r="I31">
        <f t="shared" si="17"/>
        <v>0.90914028044519068</v>
      </c>
      <c r="J31">
        <f t="shared" si="17"/>
        <v>1.9038574771198606</v>
      </c>
    </row>
    <row r="32" ht="26.25">
      <c r="L32" s="2" t="s">
        <v>67</v>
      </c>
      <c r="M32">
        <v>0.10000000000000001</v>
      </c>
      <c r="AA32" s="6" t="s">
        <v>68</v>
      </c>
    </row>
    <row r="33" ht="26.25">
      <c r="I33" t="s">
        <v>33</v>
      </c>
      <c r="U33" t="s">
        <v>69</v>
      </c>
      <c r="AA33" s="6" t="s">
        <v>20</v>
      </c>
    </row>
    <row r="34">
      <c r="I34" t="s">
        <v>70</v>
      </c>
      <c r="J34" t="s">
        <v>71</v>
      </c>
      <c r="U34">
        <v>1</v>
      </c>
      <c r="V34" t="s">
        <v>72</v>
      </c>
      <c r="AA34" t="s">
        <v>73</v>
      </c>
      <c r="AC34" t="s">
        <v>25</v>
      </c>
      <c r="AD34" t="s">
        <v>74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>
      <c r="I35">
        <v>1</v>
      </c>
      <c r="J35">
        <v>2</v>
      </c>
      <c r="T35">
        <v>1</v>
      </c>
      <c r="U35" s="19" cm="1">
        <f t="array" ref="U35">SUM(MMULT(TRANSPOSE($U$14:$U$16),TRANSPOSE(P7:R7)))</f>
        <v>0.36850188721163674</v>
      </c>
      <c r="AA35">
        <v>1</v>
      </c>
      <c r="AB35" s="2" t="s">
        <v>75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ht="15.75">
      <c r="H36">
        <v>1</v>
      </c>
      <c r="I36" s="19">
        <f>MAX(I26:I31)</f>
        <v>3.9314647214855474</v>
      </c>
      <c r="J36" s="19">
        <f>MAX(J26:J31)</f>
        <v>2.578660515266967</v>
      </c>
      <c r="T36">
        <v>2</v>
      </c>
      <c r="U36" s="19" cm="1">
        <f t="array" ref="U36">SUM(MMULT(TRANSPOSE($U$14:$U$16),TRANSPOSE(P8:R8)))</f>
        <v>-0.1674423708033739</v>
      </c>
      <c r="Z36">
        <v>1</v>
      </c>
      <c r="AA36" s="19">
        <f t="shared" ref="AA36:AA41" si="19">AA22</f>
        <v>-0.00149281548215986</v>
      </c>
      <c r="AB36">
        <f>MATCH(MAX(FRONTEND!M28:Q28),FRONTEND!M28:Q28,0)</f>
        <v>4</v>
      </c>
      <c r="AC36">
        <f t="shared" ref="AC36:AG41" si="20">IF($AB36=AC$35,$AA36,0)</f>
        <v>0</v>
      </c>
      <c r="AD36">
        <f t="shared" si="20"/>
        <v>0</v>
      </c>
      <c r="AE36">
        <f t="shared" si="20"/>
        <v>0</v>
      </c>
      <c r="AF36">
        <f t="shared" si="20"/>
        <v>-0.00149281548215986</v>
      </c>
      <c r="AG36">
        <f t="shared" si="20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>
      <c r="T37">
        <v>3</v>
      </c>
      <c r="U37" s="23" cm="1">
        <f t="array" ref="U37">SUM(MMULT(TRANSPOSE($U$14:$U$16),TRANSPOSE(P9:R9)))</f>
        <v>-0.084840087858356325</v>
      </c>
      <c r="Z37">
        <v>2</v>
      </c>
      <c r="AA37" s="19">
        <f t="shared" si="19"/>
        <v>0.0031224512531347003</v>
      </c>
      <c r="AB37">
        <f>MATCH(MAX(FRONTEND!M29:Q29),FRONTEND!M29:Q29,0)</f>
        <v>2</v>
      </c>
      <c r="AC37">
        <f t="shared" si="20"/>
        <v>0</v>
      </c>
      <c r="AD37">
        <f t="shared" si="20"/>
        <v>0.0031224512531347003</v>
      </c>
      <c r="AE37">
        <f t="shared" si="20"/>
        <v>0</v>
      </c>
      <c r="AF37">
        <f t="shared" si="20"/>
        <v>0</v>
      </c>
      <c r="AG37">
        <f t="shared" si="20"/>
        <v>0</v>
      </c>
      <c r="AI37">
        <v>0</v>
      </c>
      <c r="AJ37">
        <v>0</v>
      </c>
      <c r="AK37">
        <v>0</v>
      </c>
      <c r="AL37" s="7" cm="1">
        <f t="array" ref="AL37:AP42">FRONTEND!B4:F9</f>
        <v>0.098070127981472688</v>
      </c>
      <c r="AM37" s="8">
        <f/>
        <v>0.76989837351610546</v>
      </c>
      <c r="AN37" s="8">
        <f/>
        <v>1.0888675284528564</v>
      </c>
      <c r="AO37" s="8">
        <f/>
        <v>0.41864132753818439</v>
      </c>
      <c r="AP37" s="9">
        <f/>
        <v>-0.54807215149909738</v>
      </c>
      <c r="AQ37">
        <v>0</v>
      </c>
      <c r="AR37">
        <v>0</v>
      </c>
      <c r="AS37">
        <v>0</v>
      </c>
    </row>
    <row r="38">
      <c r="T38">
        <v>4</v>
      </c>
      <c r="U38" s="23" cm="1">
        <f t="array" ref="U38">SUM(MMULT(TRANSPOSE($U$14:$U$16),TRANSPOSE(P10:R10)))</f>
        <v>0.034399503617102312</v>
      </c>
      <c r="Z38">
        <v>3</v>
      </c>
      <c r="AA38" s="19">
        <f t="shared" si="19"/>
        <v>0.0060808085642054992</v>
      </c>
      <c r="AB38">
        <f>MATCH(MAX(FRONTEND!M30:Q30),FRONTEND!M30:Q30,0)</f>
        <v>3</v>
      </c>
      <c r="AC38">
        <f t="shared" si="20"/>
        <v>0</v>
      </c>
      <c r="AD38">
        <f t="shared" si="20"/>
        <v>0</v>
      </c>
      <c r="AE38">
        <f t="shared" si="20"/>
        <v>0.0060808085642054992</v>
      </c>
      <c r="AF38">
        <f t="shared" si="20"/>
        <v>0</v>
      </c>
      <c r="AG38">
        <f t="shared" si="20"/>
        <v>0</v>
      </c>
      <c r="AI38">
        <v>0</v>
      </c>
      <c r="AJ38">
        <v>0</v>
      </c>
      <c r="AK38">
        <v>0</v>
      </c>
      <c r="AL38" s="11">
        <f/>
        <v>0.3947945813296071</v>
      </c>
      <c r="AM38">
        <f/>
        <v>0.76298402984034686</v>
      </c>
      <c r="AN38">
        <f/>
        <v>-1.5092547447204521</v>
      </c>
      <c r="AO38">
        <f/>
        <v>0.78695236170270555</v>
      </c>
      <c r="AP38" s="12">
        <f/>
        <v>-1.6514230540804744</v>
      </c>
      <c r="AQ38">
        <v>0</v>
      </c>
      <c r="AR38">
        <v>0</v>
      </c>
      <c r="AS38">
        <v>0</v>
      </c>
    </row>
    <row r="39">
      <c r="I39" t="s">
        <v>76</v>
      </c>
      <c r="Z39">
        <v>4</v>
      </c>
      <c r="AA39" s="19">
        <f t="shared" si="19"/>
        <v>-0.25614697713654172</v>
      </c>
      <c r="AB39">
        <f>MATCH(MAX(FRONTEND!M31:Q31),FRONTEND!M31:Q31,0)</f>
        <v>4</v>
      </c>
      <c r="AC39">
        <f t="shared" si="20"/>
        <v>0</v>
      </c>
      <c r="AD39">
        <f t="shared" si="20"/>
        <v>0</v>
      </c>
      <c r="AE39">
        <f t="shared" si="20"/>
        <v>0</v>
      </c>
      <c r="AF39">
        <f t="shared" si="20"/>
        <v>-0.25614697713654172</v>
      </c>
      <c r="AG39">
        <f t="shared" si="20"/>
        <v>0</v>
      </c>
      <c r="AI39">
        <v>0</v>
      </c>
      <c r="AJ39">
        <v>0</v>
      </c>
      <c r="AK39">
        <v>0</v>
      </c>
      <c r="AL39" s="11">
        <f/>
        <v>1.2610501600821225</v>
      </c>
      <c r="AM39">
        <f/>
        <v>1.0201001967063095</v>
      </c>
      <c r="AN39">
        <f/>
        <v>0.20946802791688546</v>
      </c>
      <c r="AO39">
        <f/>
        <v>-1.5474479187727208</v>
      </c>
      <c r="AP39" s="12">
        <f/>
        <v>-0.51000095484744268</v>
      </c>
      <c r="AQ39">
        <v>0</v>
      </c>
      <c r="AR39">
        <v>0</v>
      </c>
      <c r="AS39">
        <v>0</v>
      </c>
    </row>
    <row r="40">
      <c r="I40" t="s">
        <v>70</v>
      </c>
      <c r="J40" t="s">
        <v>71</v>
      </c>
      <c r="S40" t="s">
        <v>77</v>
      </c>
      <c r="T40" s="19" t="s">
        <v>33</v>
      </c>
      <c r="W40" s="2" t="s">
        <v>25</v>
      </c>
      <c r="Z40">
        <v>5</v>
      </c>
      <c r="AA40" s="19">
        <f t="shared" si="19"/>
        <v>-0.34013074093529455</v>
      </c>
      <c r="AB40">
        <f>MATCH(MAX(FRONTEND!M32:Q32),FRONTEND!M32:Q32,0)</f>
        <v>1</v>
      </c>
      <c r="AC40">
        <f t="shared" si="20"/>
        <v>-0.34013074093529455</v>
      </c>
      <c r="AD40">
        <f t="shared" si="20"/>
        <v>0</v>
      </c>
      <c r="AE40">
        <f t="shared" si="20"/>
        <v>0</v>
      </c>
      <c r="AF40">
        <f t="shared" si="20"/>
        <v>0</v>
      </c>
      <c r="AG40">
        <f t="shared" si="20"/>
        <v>0</v>
      </c>
      <c r="AI40">
        <v>0</v>
      </c>
      <c r="AJ40">
        <v>0</v>
      </c>
      <c r="AK40">
        <v>0</v>
      </c>
      <c r="AL40" s="11">
        <f/>
        <v>-1.914822845899089</v>
      </c>
      <c r="AM40">
        <f/>
        <v>-0.96507706088431011</v>
      </c>
      <c r="AN40">
        <f/>
        <v>-0.73600695036684105</v>
      </c>
      <c r="AO40">
        <f/>
        <v>-1.2146668976505628</v>
      </c>
      <c r="AP40" s="12">
        <f/>
        <v>0.61213976054071273</v>
      </c>
      <c r="AQ40">
        <v>0</v>
      </c>
      <c r="AR40">
        <v>0</v>
      </c>
      <c r="AS40">
        <v>0</v>
      </c>
    </row>
    <row r="41">
      <c r="I41">
        <v>1</v>
      </c>
      <c r="J41">
        <v>2</v>
      </c>
      <c r="T41">
        <v>1</v>
      </c>
      <c r="U41" s="2" t="s">
        <v>75</v>
      </c>
      <c r="W41">
        <v>1</v>
      </c>
      <c r="X41">
        <v>2</v>
      </c>
      <c r="Z41">
        <v>6</v>
      </c>
      <c r="AA41" s="19">
        <f t="shared" si="19"/>
        <v>-0.31631312748131435</v>
      </c>
      <c r="AB41">
        <f>MATCH(MAX(FRONTEND!M33:Q33),FRONTEND!M33:Q33,0)</f>
        <v>5</v>
      </c>
      <c r="AC41">
        <f t="shared" si="20"/>
        <v>0</v>
      </c>
      <c r="AD41">
        <f t="shared" si="20"/>
        <v>0</v>
      </c>
      <c r="AE41">
        <f t="shared" si="20"/>
        <v>0</v>
      </c>
      <c r="AF41">
        <f t="shared" si="20"/>
        <v>0</v>
      </c>
      <c r="AG41">
        <f t="shared" si="20"/>
        <v>-0.31631312748131435</v>
      </c>
      <c r="AI41">
        <v>0</v>
      </c>
      <c r="AJ41">
        <v>0</v>
      </c>
      <c r="AK41">
        <v>0</v>
      </c>
      <c r="AL41" s="11">
        <f/>
        <v>0.61185767787065537</v>
      </c>
      <c r="AM41">
        <f/>
        <v>-1.6862564508613829</v>
      </c>
      <c r="AN41">
        <f/>
        <v>-0.39331255882270999</v>
      </c>
      <c r="AO41">
        <f/>
        <v>1.027314449369916</v>
      </c>
      <c r="AP41" s="12">
        <f/>
        <v>1.3115002107703582</v>
      </c>
      <c r="AQ41">
        <v>0</v>
      </c>
      <c r="AR41">
        <v>0</v>
      </c>
      <c r="AS41">
        <v>0</v>
      </c>
    </row>
    <row r="42" ht="15.75">
      <c r="H42">
        <v>1</v>
      </c>
      <c r="I42" s="23">
        <f>AVERAGE(I26:I31)</f>
        <v>2.0283400176616162</v>
      </c>
      <c r="J42" s="23">
        <f>AVERAGE(J26:J31)</f>
        <v>2.0931660549585884</v>
      </c>
      <c r="S42">
        <v>1</v>
      </c>
      <c r="T42">
        <f t="shared" ref="T42:T43" si="21">U35</f>
        <v>0.36850188721163674</v>
      </c>
      <c r="U42">
        <f>MATCH(MAX(I26:I31),I26:I31,0)</f>
        <v>5</v>
      </c>
      <c r="V42">
        <v>1</v>
      </c>
      <c r="W42">
        <f t="shared" ref="W42:W47" si="22">IF(V42=$U$42,$T$42,0)</f>
        <v>0</v>
      </c>
      <c r="X42">
        <f t="shared" ref="X42:X47" si="23">IF(V42=$U$43,$T$43,0)</f>
        <v>-0.1674423708033739</v>
      </c>
      <c r="AI42">
        <v>0</v>
      </c>
      <c r="AJ42">
        <v>0</v>
      </c>
      <c r="AK42">
        <v>0</v>
      </c>
      <c r="AL42" s="13">
        <f/>
        <v>-0.45094970136476858</v>
      </c>
      <c r="AM42" s="15">
        <f/>
        <v>0.098350911682930572</v>
      </c>
      <c r="AN42" s="15">
        <f/>
        <v>1.3402386975402607</v>
      </c>
      <c r="AO42" s="15">
        <f/>
        <v>0.52920667781247754</v>
      </c>
      <c r="AP42" s="14">
        <f/>
        <v>0.78585618911594302</v>
      </c>
      <c r="AQ42">
        <v>0</v>
      </c>
      <c r="AR42">
        <v>0</v>
      </c>
      <c r="AS42">
        <v>0</v>
      </c>
    </row>
    <row r="43">
      <c r="S43">
        <v>2</v>
      </c>
      <c r="T43">
        <f t="shared" si="21"/>
        <v>-0.1674423708033739</v>
      </c>
      <c r="U43">
        <f>MATCH(MAX(J26:J31),J26:J31,0)</f>
        <v>1</v>
      </c>
      <c r="V43">
        <v>2</v>
      </c>
      <c r="W43">
        <f t="shared" si="22"/>
        <v>0</v>
      </c>
      <c r="X43">
        <f t="shared" si="23"/>
        <v>0</v>
      </c>
      <c r="AA43" t="s">
        <v>43</v>
      </c>
      <c r="AB43" t="s">
        <v>78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ht="15.75">
      <c r="V44">
        <v>3</v>
      </c>
      <c r="W44">
        <f t="shared" si="22"/>
        <v>0</v>
      </c>
      <c r="X44">
        <f t="shared" si="23"/>
        <v>0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>
      <c r="H45" s="7"/>
      <c r="I45" s="18" t="s">
        <v>35</v>
      </c>
      <c r="J45" s="9" t="s">
        <v>71</v>
      </c>
      <c r="V45">
        <v>4</v>
      </c>
      <c r="W45">
        <f t="shared" si="22"/>
        <v>0</v>
      </c>
      <c r="X45">
        <f t="shared" si="23"/>
        <v>0</v>
      </c>
      <c r="Z45">
        <v>1</v>
      </c>
      <c r="AA45">
        <f t="shared" ref="AA45:AE50" si="24">AC36*IF(AC36&gt;0,1,0)</f>
        <v>0</v>
      </c>
      <c r="AB45">
        <f t="shared" si="24"/>
        <v>0</v>
      </c>
      <c r="AC45">
        <f t="shared" si="24"/>
        <v>0</v>
      </c>
      <c r="AD45">
        <f t="shared" si="24"/>
        <v>0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>
      <c r="H46" s="11"/>
      <c r="I46" s="22">
        <v>1</v>
      </c>
      <c r="J46" s="12"/>
      <c r="V46">
        <v>5</v>
      </c>
      <c r="W46">
        <f t="shared" si="22"/>
        <v>0.36850188721163674</v>
      </c>
      <c r="X46">
        <f t="shared" si="23"/>
        <v>0</v>
      </c>
      <c r="Z46">
        <v>2</v>
      </c>
      <c r="AA46">
        <f t="shared" si="24"/>
        <v>0</v>
      </c>
      <c r="AB46">
        <f t="shared" si="24"/>
        <v>0.0031224512531347003</v>
      </c>
      <c r="AC46">
        <f t="shared" si="24"/>
        <v>0</v>
      </c>
      <c r="AD46">
        <f t="shared" si="24"/>
        <v>0</v>
      </c>
      <c r="AE46">
        <f t="shared" si="24"/>
        <v>0</v>
      </c>
    </row>
    <row r="47">
      <c r="H47" s="11">
        <v>1</v>
      </c>
      <c r="I47" s="19" cm="1">
        <f t="array" ref="I47:I48">TRANSPOSE(I36:J36)</f>
        <v>3.9314647214855474</v>
      </c>
      <c r="J47" s="12"/>
      <c r="V47">
        <v>6</v>
      </c>
      <c r="W47">
        <f t="shared" si="22"/>
        <v>0</v>
      </c>
      <c r="X47">
        <f t="shared" si="23"/>
        <v>0</v>
      </c>
      <c r="Z47">
        <v>3</v>
      </c>
      <c r="AA47">
        <f t="shared" si="24"/>
        <v>0</v>
      </c>
      <c r="AB47">
        <f t="shared" si="24"/>
        <v>0</v>
      </c>
      <c r="AC47">
        <f t="shared" si="24"/>
        <v>0.0060808085642054992</v>
      </c>
      <c r="AD47">
        <f t="shared" si="24"/>
        <v>0</v>
      </c>
      <c r="AE47">
        <f t="shared" si="24"/>
        <v>0</v>
      </c>
    </row>
    <row r="48">
      <c r="H48" s="11">
        <v>2</v>
      </c>
      <c r="I48" s="19">
        <f/>
        <v>2.578660515266967</v>
      </c>
      <c r="J48" s="12"/>
      <c r="Z48">
        <v>4</v>
      </c>
      <c r="AA48">
        <f t="shared" si="24"/>
        <v>0</v>
      </c>
      <c r="AB48">
        <f t="shared" si="24"/>
        <v>0</v>
      </c>
      <c r="AC48">
        <f t="shared" si="24"/>
        <v>0</v>
      </c>
      <c r="AD48">
        <f t="shared" si="24"/>
        <v>0</v>
      </c>
      <c r="AE48">
        <f t="shared" si="24"/>
        <v>0</v>
      </c>
    </row>
    <row r="49">
      <c r="H49" s="11">
        <v>3</v>
      </c>
      <c r="I49" s="23" cm="1">
        <f t="array" ref="I49:I50">TRANSPOSE(I42:J42)</f>
        <v>2.0283400176616162</v>
      </c>
      <c r="J49" s="12"/>
      <c r="S49" t="s">
        <v>77</v>
      </c>
      <c r="T49" s="23" t="s">
        <v>76</v>
      </c>
      <c r="V49" s="2" t="s">
        <v>79</v>
      </c>
      <c r="Z49">
        <v>5</v>
      </c>
      <c r="AA49">
        <f t="shared" si="24"/>
        <v>0</v>
      </c>
      <c r="AB49">
        <f t="shared" si="24"/>
        <v>0</v>
      </c>
      <c r="AC49">
        <f t="shared" si="24"/>
        <v>0</v>
      </c>
      <c r="AD49">
        <f t="shared" si="24"/>
        <v>0</v>
      </c>
      <c r="AE49">
        <f t="shared" si="24"/>
        <v>0</v>
      </c>
    </row>
    <row r="50" ht="15.75">
      <c r="H50" s="13">
        <v>4</v>
      </c>
      <c r="I50" s="28">
        <f/>
        <v>2.0931660549585884</v>
      </c>
      <c r="J50" s="14"/>
      <c r="T50">
        <v>1</v>
      </c>
      <c r="U50">
        <v>2</v>
      </c>
      <c r="V50" s="2">
        <v>6</v>
      </c>
      <c r="Z50">
        <v>6</v>
      </c>
      <c r="AA50">
        <f t="shared" si="24"/>
        <v>0</v>
      </c>
      <c r="AB50">
        <f t="shared" si="24"/>
        <v>0</v>
      </c>
      <c r="AC50">
        <f t="shared" si="24"/>
        <v>0</v>
      </c>
      <c r="AD50">
        <f t="shared" si="24"/>
        <v>0</v>
      </c>
      <c r="AE50">
        <f t="shared" si="24"/>
        <v>0</v>
      </c>
    </row>
    <row r="51" ht="15.75">
      <c r="S51">
        <v>1</v>
      </c>
      <c r="T51">
        <f t="shared" ref="T51:T56" si="25">$U$37/$V$50</f>
        <v>-0.014140014643059388</v>
      </c>
      <c r="U51">
        <f t="shared" ref="U51:U56" si="26">$U$38/$V$50</f>
        <v>0.0057332506028503856</v>
      </c>
    </row>
    <row r="52">
      <c r="S52">
        <v>2</v>
      </c>
      <c r="T52">
        <f t="shared" si="25"/>
        <v>-0.014140014643059388</v>
      </c>
      <c r="U52">
        <f t="shared" si="26"/>
        <v>0.0057332506028503856</v>
      </c>
      <c r="Z52" s="7"/>
      <c r="AA52" s="18" t="s">
        <v>22</v>
      </c>
      <c r="AB52" s="8" t="s">
        <v>80</v>
      </c>
      <c r="AC52" s="9"/>
      <c r="AE52" s="7"/>
      <c r="AF52" s="10" t="s">
        <v>23</v>
      </c>
      <c r="AG52" t="s">
        <v>81</v>
      </c>
    </row>
    <row r="53">
      <c r="S53">
        <v>3</v>
      </c>
      <c r="T53">
        <f t="shared" si="25"/>
        <v>-0.014140014643059388</v>
      </c>
      <c r="U53">
        <f t="shared" si="26"/>
        <v>0.0057332506028503856</v>
      </c>
      <c r="Z53" s="11"/>
      <c r="AA53">
        <v>1</v>
      </c>
      <c r="AB53">
        <v>2</v>
      </c>
      <c r="AC53" s="12">
        <v>3</v>
      </c>
      <c r="AE53" s="11"/>
      <c r="AF53" s="12">
        <v>1</v>
      </c>
    </row>
    <row r="54" ht="15.75">
      <c r="S54">
        <v>4</v>
      </c>
      <c r="T54">
        <f t="shared" si="25"/>
        <v>-0.014140014643059388</v>
      </c>
      <c r="U54">
        <f t="shared" si="26"/>
        <v>0.0057332506028503856</v>
      </c>
      <c r="Z54" s="11">
        <v>1</v>
      </c>
      <c r="AA54" cm="1">
        <f t="array" ref="AA54">FRONTEND!$M7-$M$32*SUM($AA$45:$AE$50*AK35:AO40)</f>
        <v>-0.51246816046232446</v>
      </c>
      <c r="AB54" cm="1">
        <f t="array" ref="AB54">FRONTEND!$N7-$M$32*SUM($AA$45:$AE$50*AL35:AP40)</f>
        <v>0.8963378805007699</v>
      </c>
      <c r="AC54" s="12" cm="1">
        <f t="array" ref="AC54">FRONTEND!$O7-$M$32*SUM($AA$45:$AE$50*AM35:AQ40)</f>
        <v>-0.52325456777698243</v>
      </c>
      <c r="AE54" s="13">
        <v>1</v>
      </c>
      <c r="AF54" s="14">
        <f>FRONTEND!$W$7-$M$32*SUM(AA22:AA27)</f>
        <v>1.0904880401217971</v>
      </c>
    </row>
    <row r="55">
      <c r="S55">
        <v>5</v>
      </c>
      <c r="T55">
        <f t="shared" si="25"/>
        <v>-0.014140014643059388</v>
      </c>
      <c r="U55">
        <f t="shared" si="26"/>
        <v>0.0057332506028503856</v>
      </c>
      <c r="Z55" s="11">
        <v>2</v>
      </c>
      <c r="AA55" cm="1">
        <f t="array" ref="AA55">FRONTEND!$M8-$M$32*SUM($AA$45:$AE$50*AK36:AO41)</f>
        <v>0.1215054220982984</v>
      </c>
      <c r="AB55" cm="1">
        <f t="array" ref="AB55">FRONTEND!$N8-$M$32*SUM($AA$45:$AE$50*AL36:AP41)</f>
        <v>-0.20332264809639078</v>
      </c>
      <c r="AC55" s="12" cm="1">
        <f t="array" ref="AC55">FRONTEND!$O8-$M$32*SUM($AA$45:$AE$50*AM36:AQ41)</f>
        <v>-0.7408185242439379</v>
      </c>
    </row>
    <row r="56">
      <c r="S56">
        <v>6</v>
      </c>
      <c r="T56">
        <f t="shared" si="25"/>
        <v>-0.014140014643059388</v>
      </c>
      <c r="U56">
        <f t="shared" si="26"/>
        <v>0.0057332506028503856</v>
      </c>
      <c r="Z56" s="11">
        <v>3</v>
      </c>
      <c r="AA56" cm="1">
        <f t="array" ref="AA56">FRONTEND!$M9-$M$32*SUM($AA$45:$AE$50*AK37:AO42)</f>
        <v>0.74125642391523172</v>
      </c>
      <c r="AB56" cm="1">
        <f t="array" ref="AB56">FRONTEND!$N9-$M$32*SUM($AA$45:$AE$50*AL37:AP42)</f>
        <v>0.80463438845818192</v>
      </c>
      <c r="AC56" s="12" cm="1">
        <f t="array" ref="AC56">FRONTEND!$O9-$M$32*SUM($AA$45:$AE$50*AM37:AQ42)</f>
        <v>-0.97558776910739131</v>
      </c>
    </row>
    <row r="57" ht="15.75">
      <c r="U57" s="1"/>
      <c r="Z57" s="11">
        <v>4</v>
      </c>
      <c r="AA57" cm="1">
        <f t="array" ref="AA57">FRONTEND!$M10-$M$32*SUM($AA$45:$AE$50*AK38:AO43)</f>
        <v>0.78219308812043298</v>
      </c>
      <c r="AB57" cm="1">
        <f t="array" ref="AB57">FRONTEND!$N10-$M$32*SUM($AA$45:$AE$50*AL38:AP43)</f>
        <v>0.51612903042295766</v>
      </c>
      <c r="AC57" s="12" cm="1">
        <f t="array" ref="AC57">FRONTEND!$O10-$M$32*SUM($AA$45:$AE$50*AM38:AQ43)</f>
        <v>-0.91332678968323711</v>
      </c>
    </row>
    <row r="58" ht="15.75">
      <c r="T58" s="7"/>
      <c r="U58" s="18" t="s">
        <v>82</v>
      </c>
      <c r="V58" s="9"/>
      <c r="W58" t="s">
        <v>77</v>
      </c>
      <c r="Z58" s="13">
        <v>5</v>
      </c>
      <c r="AA58" s="15" cm="1">
        <f t="array" ref="AA58">FRONTEND!$M11-$M$32*SUM($AA$45:$AE$50*AK39:AO44)</f>
        <v>0.41062327436625529</v>
      </c>
      <c r="AB58" s="15" cm="1">
        <f t="array" ref="AB58">FRONTEND!$N11-$M$32*SUM($AA$45:$AE$50*AL39:AP44)</f>
        <v>-0.43745949355457714</v>
      </c>
      <c r="AC58" s="14" cm="1">
        <f t="array" ref="AC58">FRONTEND!$O11-$M$32*SUM($AA$45:$AE$50*AM39:AQ44)</f>
        <v>0.29260512433226282</v>
      </c>
    </row>
    <row r="59">
      <c r="T59" s="11"/>
      <c r="U59" s="22">
        <v>1</v>
      </c>
      <c r="V59" s="12">
        <v>2</v>
      </c>
    </row>
    <row r="60">
      <c r="T60" s="11">
        <v>1</v>
      </c>
      <c r="U60" s="19">
        <f t="shared" ref="U60:V65" si="27">W42+T51</f>
        <v>-0.014140014643059388</v>
      </c>
      <c r="V60" s="16">
        <f>X42+U51</f>
        <v>-0.16170912020052353</v>
      </c>
    </row>
    <row r="61" ht="26.25">
      <c r="T61" s="11">
        <v>2</v>
      </c>
      <c r="U61" s="19">
        <f t="shared" si="27"/>
        <v>-0.014140014643059388</v>
      </c>
      <c r="V61" s="16">
        <f t="shared" si="27"/>
        <v>0.0057332506028503856</v>
      </c>
      <c r="AA61" s="6" t="s">
        <v>68</v>
      </c>
    </row>
    <row r="62" ht="27">
      <c r="T62" s="11">
        <v>3</v>
      </c>
      <c r="U62" s="19">
        <f t="shared" si="27"/>
        <v>-0.014140014643059388</v>
      </c>
      <c r="V62" s="16">
        <f t="shared" si="27"/>
        <v>0.0057332506028503856</v>
      </c>
      <c r="AA62" s="6" t="s">
        <v>21</v>
      </c>
      <c r="AI62">
        <v>0</v>
      </c>
      <c r="AJ62">
        <v>0</v>
      </c>
      <c r="AK62">
        <v>0</v>
      </c>
    </row>
    <row r="63">
      <c r="T63" s="11">
        <v>4</v>
      </c>
      <c r="U63" s="19">
        <f t="shared" si="27"/>
        <v>-0.014140014643059388</v>
      </c>
      <c r="V63" s="16">
        <f t="shared" si="27"/>
        <v>0.0057332506028503856</v>
      </c>
      <c r="AA63" t="s">
        <v>43</v>
      </c>
      <c r="AB63" t="s">
        <v>83</v>
      </c>
      <c r="AI63">
        <v>0</v>
      </c>
      <c r="AJ63" s="29" cm="1">
        <f t="array" ref="AJ63:AJ68">FRONTEND!B26:B31</f>
        <v>0.36548104119790437</v>
      </c>
      <c r="AK63">
        <v>0</v>
      </c>
    </row>
    <row r="64">
      <c r="T64" s="11">
        <v>5</v>
      </c>
      <c r="U64" s="19">
        <f t="shared" si="27"/>
        <v>0.35436187256857737</v>
      </c>
      <c r="V64" s="16">
        <f t="shared" si="27"/>
        <v>0.0057332506028503856</v>
      </c>
      <c r="AA64">
        <v>1</v>
      </c>
      <c r="AI64">
        <v>0</v>
      </c>
      <c r="AJ64" s="30">
        <f/>
        <v>-0.24318936518565337</v>
      </c>
      <c r="AK64">
        <v>0</v>
      </c>
    </row>
    <row r="65" ht="15.75">
      <c r="T65" s="13">
        <v>6</v>
      </c>
      <c r="U65" s="20">
        <f t="shared" si="27"/>
        <v>-0.014140014643059388</v>
      </c>
      <c r="V65" s="17">
        <f t="shared" si="27"/>
        <v>0.0057332506028503856</v>
      </c>
      <c r="Z65">
        <v>1</v>
      </c>
      <c r="AA65" s="23">
        <f t="shared" ref="AA65:AA70" si="28">AB22*IF(AB22&gt;0,1,0)</f>
        <v>0</v>
      </c>
      <c r="AI65">
        <v>0</v>
      </c>
      <c r="AJ65" s="30">
        <f/>
        <v>0.086633902217030781</v>
      </c>
      <c r="AK65">
        <v>0</v>
      </c>
    </row>
    <row r="66">
      <c r="Z66">
        <v>2</v>
      </c>
      <c r="AA66" s="23">
        <f t="shared" si="28"/>
        <v>0</v>
      </c>
      <c r="AI66">
        <v>0</v>
      </c>
      <c r="AJ66" s="30">
        <f/>
        <v>-0.84368679885201792</v>
      </c>
      <c r="AK66">
        <v>0</v>
      </c>
    </row>
    <row r="67">
      <c r="Z67">
        <v>3</v>
      </c>
      <c r="AA67" s="23">
        <f t="shared" si="28"/>
        <v>0</v>
      </c>
      <c r="AI67">
        <v>0</v>
      </c>
      <c r="AJ67" s="30">
        <f/>
        <v>0.17422066566536737</v>
      </c>
      <c r="AK67">
        <v>0</v>
      </c>
    </row>
    <row r="68" ht="15.75">
      <c r="Z68">
        <v>4</v>
      </c>
      <c r="AA68" s="23">
        <f t="shared" si="28"/>
        <v>0</v>
      </c>
      <c r="AI68">
        <v>0</v>
      </c>
      <c r="AJ68" s="31">
        <f/>
        <v>0.46054055495736873</v>
      </c>
      <c r="AK68">
        <v>0</v>
      </c>
    </row>
    <row r="69">
      <c r="Z69">
        <v>5</v>
      </c>
      <c r="AA69" s="23">
        <f t="shared" si="28"/>
        <v>0</v>
      </c>
      <c r="AI69">
        <v>0</v>
      </c>
      <c r="AJ69">
        <v>0</v>
      </c>
      <c r="AK69">
        <v>0</v>
      </c>
    </row>
    <row r="70">
      <c r="Z70">
        <v>6</v>
      </c>
      <c r="AA70" s="23">
        <f t="shared" si="28"/>
        <v>0</v>
      </c>
    </row>
    <row r="71" ht="15.75"/>
    <row r="72">
      <c r="Z72" s="7"/>
      <c r="AA72" s="10" t="s">
        <v>22</v>
      </c>
      <c r="AB72" t="s">
        <v>84</v>
      </c>
      <c r="AC72" s="7"/>
      <c r="AD72" s="10" t="s">
        <v>23</v>
      </c>
      <c r="AE72" t="s">
        <v>85</v>
      </c>
    </row>
    <row r="73">
      <c r="Z73" s="11"/>
      <c r="AA73" s="12">
        <v>1</v>
      </c>
      <c r="AC73" s="11"/>
      <c r="AD73" s="12">
        <v>1</v>
      </c>
    </row>
    <row r="74" ht="15.75">
      <c r="Z74" s="11">
        <v>1</v>
      </c>
      <c r="AA74" s="12" cm="1">
        <f t="array" ref="AA74">FRONTEND!T7-$M32*SUM($AA$65:$AA$70*AJ62:AJ67)</f>
        <v>0.122</v>
      </c>
      <c r="AC74" s="13">
        <v>1</v>
      </c>
      <c r="AD74" s="14">
        <f>FRONTEND!$W$7-$M$32*SUM(AB22:AB27)</f>
        <v>1.0070180720629491</v>
      </c>
    </row>
    <row r="75">
      <c r="Z75" s="11">
        <v>2</v>
      </c>
      <c r="AA75" s="12" cm="1">
        <f t="array" ref="AA75">FRONTEND!T8-$M40*SUM($AA$65:$AA$70*AJ63:AJ68)</f>
        <v>0.51600000000000001</v>
      </c>
    </row>
    <row r="76" ht="15.75">
      <c r="Z76" s="13">
        <v>3</v>
      </c>
      <c r="AA76" s="14" cm="1">
        <f t="array" ref="AA76">FRONTEND!T9-$M41*SUM($AA$65:$AA$70*AJ64:AJ69)</f>
        <v>-0.97699999999999998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U1" zoomScale="100" workbookViewId="0">
      <selection activeCell="X29" activeCellId="0" sqref="X29"/>
    </sheetView>
  </sheetViews>
  <sheetFormatPr defaultRowHeight="14.25"/>
  <cols>
    <col customWidth="1" min="38" max="38" width="1.85546875"/>
    <col customWidth="1" min="39" max="39" width="9.5703125"/>
    <col bestFit="1" customWidth="1" min="40" max="40" width="13.140625"/>
    <col customWidth="1" min="42" max="42" width="12"/>
    <col bestFit="1" customWidth="1" min="43" max="44" width="13.85546875"/>
    <col customWidth="1" min="45" max="45" width="10.85546875"/>
    <col customWidth="1" min="46" max="46" width="1.85546875"/>
    <col bestFit="1" customWidth="1" min="47" max="47" width="13.140625"/>
    <col bestFit="1" customWidth="1" min="49" max="49" width="13.140625"/>
    <col bestFit="1" min="50" max="50" width="11.421875"/>
    <col bestFit="1" customWidth="1" min="51" max="51" width="13.140625"/>
    <col bestFit="1" min="52" max="53" width="10.8515625"/>
    <col bestFit="1" customWidth="1" min="54" max="54" width="13.85546875"/>
    <col bestFit="1" min="55" max="56" width="10.8515625"/>
    <col bestFit="1" customWidth="1" min="57" max="57" width="13.85546875"/>
    <col bestFit="1" customWidth="1" min="59" max="59" width="13.85546875"/>
    <col bestFit="1" customWidth="1" min="61" max="61" width="13.85546875"/>
  </cols>
  <sheetData>
    <row r="1" ht="15.75"/>
    <row r="2" ht="26.25">
      <c r="B2" s="7"/>
      <c r="C2" s="18" t="s">
        <v>35</v>
      </c>
      <c r="D2" s="9"/>
      <c r="L2" s="6" t="s">
        <v>19</v>
      </c>
      <c r="W2" s="6" t="s">
        <v>19</v>
      </c>
      <c r="AE2" s="6" t="s">
        <v>37</v>
      </c>
      <c r="AK2" s="6" t="s">
        <v>37</v>
      </c>
      <c r="BL2" s="6" t="s">
        <v>68</v>
      </c>
    </row>
    <row r="3" ht="26.25">
      <c r="B3" s="11"/>
      <c r="C3">
        <v>1</v>
      </c>
      <c r="D3" s="12">
        <v>2</v>
      </c>
      <c r="L3" s="6" t="s">
        <v>86</v>
      </c>
      <c r="W3" s="6" t="s">
        <v>38</v>
      </c>
      <c r="AE3" s="6" t="s">
        <v>38</v>
      </c>
      <c r="AK3" s="6" t="s">
        <v>86</v>
      </c>
      <c r="BL3" s="6" t="s">
        <v>20</v>
      </c>
    </row>
    <row r="4" ht="15.75">
      <c r="B4" s="11">
        <v>1</v>
      </c>
      <c r="C4" s="19" cm="1">
        <f t="array" ref="C4:D9">FRONTEND!M49:N54</f>
        <v>4.0296676785617889</v>
      </c>
      <c r="D4" s="16">
        <f/>
        <v>1.426184227044502</v>
      </c>
      <c r="K4" t="s">
        <v>87</v>
      </c>
      <c r="BL4" t="s">
        <v>73</v>
      </c>
      <c r="BN4" t="s">
        <v>25</v>
      </c>
      <c r="BO4" t="s">
        <v>74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ht="21">
      <c r="B5" s="11">
        <v>2</v>
      </c>
      <c r="C5" s="19">
        <f/>
        <v>3.1757752467270279</v>
      </c>
      <c r="D5" s="16">
        <f/>
        <v>0.83446165212430812</v>
      </c>
      <c r="K5" s="7"/>
      <c r="L5" s="9" t="s">
        <v>88</v>
      </c>
      <c r="N5" s="2" t="s">
        <v>89</v>
      </c>
      <c r="O5">
        <v>2</v>
      </c>
      <c r="P5" t="s">
        <v>90</v>
      </c>
      <c r="W5" t="s">
        <v>3</v>
      </c>
      <c r="Y5" s="7"/>
      <c r="Z5" s="18" t="s">
        <v>40</v>
      </c>
      <c r="AA5" s="8"/>
      <c r="AB5" s="9"/>
      <c r="AD5" s="7"/>
      <c r="AE5" s="8" t="s">
        <v>41</v>
      </c>
      <c r="AF5" s="9" t="s">
        <v>42</v>
      </c>
      <c r="AK5" s="32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32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75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ht="15.75">
      <c r="B6" s="11">
        <v>3</v>
      </c>
      <c r="C6" s="19">
        <f/>
        <v>3.3789276309323317</v>
      </c>
      <c r="D6" s="16">
        <f/>
        <v>1.8393159934697598</v>
      </c>
      <c r="K6" s="11"/>
      <c r="L6" s="12">
        <v>1</v>
      </c>
      <c r="N6" s="2" t="s">
        <v>102</v>
      </c>
      <c r="O6">
        <v>2</v>
      </c>
      <c r="P6" t="s">
        <v>103</v>
      </c>
      <c r="W6">
        <v>1</v>
      </c>
      <c r="Y6" s="11"/>
      <c r="Z6" s="22">
        <v>1</v>
      </c>
      <c r="AA6" s="22">
        <v>2</v>
      </c>
      <c r="AB6" s="12">
        <v>3</v>
      </c>
      <c r="AD6" s="11"/>
      <c r="AE6">
        <v>1</v>
      </c>
      <c r="AF6" s="12"/>
      <c r="AJ6" t="s">
        <v>104</v>
      </c>
      <c r="AK6" s="33" t="s">
        <v>105</v>
      </c>
      <c r="AL6" s="33"/>
      <c r="AM6" t="s">
        <v>106</v>
      </c>
      <c r="AN6" s="34" t="s">
        <v>107</v>
      </c>
      <c r="AO6" s="34" t="s">
        <v>108</v>
      </c>
      <c r="AP6" s="34" t="s">
        <v>109</v>
      </c>
      <c r="AQ6" s="34" t="s">
        <v>110</v>
      </c>
      <c r="AR6" s="34" t="s">
        <v>111</v>
      </c>
      <c r="AS6" s="34" t="s">
        <v>112</v>
      </c>
      <c r="AT6" s="33"/>
      <c r="AU6" t="s">
        <v>113</v>
      </c>
      <c r="AV6" t="s">
        <v>114</v>
      </c>
      <c r="AW6" s="35" t="s">
        <v>115</v>
      </c>
      <c r="AX6" s="36" t="s">
        <v>116</v>
      </c>
      <c r="AY6" t="s">
        <v>117</v>
      </c>
      <c r="AZ6" s="37" t="s">
        <v>118</v>
      </c>
      <c r="BA6" t="s">
        <v>119</v>
      </c>
      <c r="BB6" s="35" t="s">
        <v>120</v>
      </c>
      <c r="BC6" s="36" t="s">
        <v>121</v>
      </c>
      <c r="BD6" t="s">
        <v>122</v>
      </c>
      <c r="BE6" s="37" t="s">
        <v>123</v>
      </c>
      <c r="BF6" t="s">
        <v>124</v>
      </c>
      <c r="BG6" s="35" t="s">
        <v>125</v>
      </c>
      <c r="BH6" s="36" t="s">
        <v>126</v>
      </c>
      <c r="BI6" t="s">
        <v>127</v>
      </c>
      <c r="BK6">
        <v>1</v>
      </c>
      <c r="BL6" s="19" cm="1" vm="1">
        <f t="array" ref="BL6:BL11">AU56:AU61</f>
        <v>-0.0081871732181021534</v>
      </c>
      <c r="BM6">
        <f>MATCH(MAX(FRONTEND!$M28:$Q28),FRONTEND!$M28:$Q28,0)</f>
        <v>4</v>
      </c>
      <c r="BN6">
        <f t="shared" ref="BN6:BR11" si="29">IF($BM6=BN$5,$BL6,0)</f>
        <v>0</v>
      </c>
      <c r="BO6">
        <f t="shared" si="29"/>
        <v>0</v>
      </c>
      <c r="BP6">
        <f t="shared" si="29"/>
        <v>0</v>
      </c>
      <c r="BQ6">
        <f t="shared" si="29"/>
        <v>-0.0081871732181021534</v>
      </c>
      <c r="BR6">
        <f t="shared" si="29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K7" s="11">
        <v>1</v>
      </c>
      <c r="L7" s="12">
        <v>0.80500000000000005</v>
      </c>
      <c r="V7">
        <v>1</v>
      </c>
      <c r="W7" s="19">
        <f t="shared" ref="W7:W18" si="30">K74</f>
        <v>-0.17559011082000661</v>
      </c>
      <c r="Y7" s="11">
        <v>1</v>
      </c>
      <c r="Z7" s="38">
        <v>-0.13400000000000001</v>
      </c>
      <c r="AA7" s="38">
        <v>-0.67100000000000004</v>
      </c>
      <c r="AB7" s="39">
        <v>-0.77800000000000002</v>
      </c>
      <c r="AD7" s="11">
        <v>1</v>
      </c>
      <c r="AE7" s="1">
        <f>-1/3*((2/(1+DATA!$I$16))*X27/W21-((2*DATA!$I$16)/(1+DATA!$I$16))*(1-X27)*(1-W21))</f>
        <v>0.03384398534197329</v>
      </c>
      <c r="AF7" s="12"/>
      <c r="AK7" s="33">
        <v>1</v>
      </c>
      <c r="AL7" s="33"/>
      <c r="AM7">
        <v>1</v>
      </c>
      <c r="AN7" s="34">
        <v>1</v>
      </c>
      <c r="AO7" s="34">
        <v>1</v>
      </c>
      <c r="AP7" s="34">
        <v>1</v>
      </c>
      <c r="AQ7" s="34">
        <v>1</v>
      </c>
      <c r="AR7" s="34">
        <v>1</v>
      </c>
      <c r="AS7" s="34">
        <v>1</v>
      </c>
      <c r="AT7" s="33"/>
      <c r="AU7">
        <v>1</v>
      </c>
      <c r="AV7">
        <v>2</v>
      </c>
      <c r="AW7" s="35">
        <v>1</v>
      </c>
      <c r="AX7" s="36">
        <v>2</v>
      </c>
      <c r="AY7">
        <v>1</v>
      </c>
      <c r="AZ7" s="37">
        <v>1</v>
      </c>
      <c r="BA7">
        <v>2</v>
      </c>
      <c r="BB7" s="35">
        <v>1</v>
      </c>
      <c r="BC7" s="36">
        <v>2</v>
      </c>
      <c r="BD7">
        <v>1</v>
      </c>
      <c r="BE7" s="37">
        <v>1</v>
      </c>
      <c r="BF7">
        <v>2</v>
      </c>
      <c r="BG7" s="35">
        <v>1</v>
      </c>
      <c r="BH7" s="36">
        <v>2</v>
      </c>
      <c r="BI7">
        <v>1</v>
      </c>
      <c r="BK7">
        <v>2</v>
      </c>
      <c r="BL7" s="19"/>
      <c r="BM7">
        <f>MATCH(MAX(FRONTEND!$M29:$Q29),FRONTEND!$M29:$Q29,0)</f>
        <v>2</v>
      </c>
      <c r="BN7">
        <f t="shared" si="29"/>
        <v>0</v>
      </c>
      <c r="BO7">
        <f t="shared" si="29"/>
        <v>0</v>
      </c>
      <c r="BP7">
        <f t="shared" si="29"/>
        <v>0</v>
      </c>
      <c r="BQ7">
        <f t="shared" si="29"/>
        <v>0</v>
      </c>
      <c r="BR7">
        <f t="shared" si="29"/>
        <v>0</v>
      </c>
      <c r="BT7">
        <v>0</v>
      </c>
      <c r="BU7">
        <v>0</v>
      </c>
      <c r="BV7">
        <v>0</v>
      </c>
      <c r="BW7" s="7" cm="1">
        <f t="array" ref="BW7:CA12">FRONTEND!$B$4:$F$9</f>
        <v>0.098070127981472688</v>
      </c>
      <c r="BX7" s="8">
        <f/>
        <v>0.76989837351610546</v>
      </c>
      <c r="BY7" s="8">
        <f/>
        <v>1.0888675284528564</v>
      </c>
      <c r="BZ7" s="8">
        <f/>
        <v>0.41864132753818439</v>
      </c>
      <c r="CA7" s="9">
        <f/>
        <v>-0.54807215149909738</v>
      </c>
      <c r="CB7">
        <v>0</v>
      </c>
      <c r="CC7">
        <v>0</v>
      </c>
      <c r="CD7">
        <v>0</v>
      </c>
    </row>
    <row r="8" ht="15.75">
      <c r="B8" s="11">
        <v>5</v>
      </c>
      <c r="C8" s="19">
        <f/>
        <v>4.5198656803290973</v>
      </c>
      <c r="D8" s="16">
        <f/>
        <v>0.53701995183003415</v>
      </c>
      <c r="K8" s="13">
        <v>2</v>
      </c>
      <c r="L8" s="14">
        <v>-0.97699999999999998</v>
      </c>
      <c r="V8">
        <v>2</v>
      </c>
      <c r="W8" s="19">
        <f t="shared" si="30"/>
        <v>0.99897304396636466</v>
      </c>
      <c r="Y8" s="11">
        <v>2</v>
      </c>
      <c r="Z8" s="38">
        <v>-0.94499999999999995</v>
      </c>
      <c r="AA8" s="38">
        <v>-0.040000000000000001</v>
      </c>
      <c r="AB8" s="39">
        <v>0.99099999999999999</v>
      </c>
      <c r="AD8" s="11">
        <v>2</v>
      </c>
      <c r="AE8" s="1">
        <f>-1/3*((2/(1+DATA!$I$17))*X28/W22-((2*DATA!$I$17)/(1+DATA!$I$17))*(1-X28)*(1-W22))</f>
        <v>-0.60214799901675709</v>
      </c>
      <c r="AF8" s="12"/>
      <c r="AJ8">
        <v>1</v>
      </c>
      <c r="AK8" s="40" cm="1">
        <f t="array" ref="AK8:AK9">AE78:AE79</f>
        <v>-0.0094518868822338568</v>
      </c>
      <c r="AL8" s="33"/>
      <c r="AM8" cm="1">
        <f t="array" ref="AM8:AM9">_xlfn.ANCHORARRAY(AK8)*(1-$O$59:$O$60)</f>
      </c>
      <c r="AN8" s="34" cm="1">
        <f t="array" ref="AN8:AN9">_xlfn.ANCHORARRAY(AM8)*(1-$R$59:$R$60*$R$59:$R$60)</f>
      </c>
      <c r="AO8" s="34" cm="1">
        <f t="array" ref="AO8:AO9">_xlfn.ANCHORARRAY(AK8)*(_xlfn.ANCHORARRAY(T53)-$R$59:$R$60)</f>
      </c>
      <c r="AP8" s="34" cm="1">
        <f t="array" ref="AP8:AP9">_xlfn.ANCHORARRAY(AO8)*($O$59:$O$60*(1-$O$59:$O$60))</f>
      </c>
      <c r="AQ8" s="34" cm="1">
        <f t="array" ref="AQ8">MMULT(TRANSPOSE($P$23:$Q$24),_xlfn.ANCHORARRAY($AN$8))*_xlfn.ANCHORARRAY($T$53)</f>
      </c>
      <c r="AR8" s="34" cm="1">
        <f t="array" ref="AR8:AR9">_xlfn.ANCHORARRAY($AQ$8)*($L$59:$L$60*(1-$L$59:$L$60))</f>
      </c>
      <c r="AS8" s="34" cm="1">
        <f t="array" ref="AS8:AS9">_xlfn.ANCHORARRAY(AK8)*$O$59:$O$60+MMULT(TRANSPOSE($P$23:$Q$24),_xlfn.ANCHORARRAY(AN8))*$L$59:$L$60+MMULT(TRANSPOSE($P$18:$Q$19),_xlfn.ANCHORARRAY(AP8))+MMULT(TRANSPOSE($P$13:$Q$14),_xlfn.ANCHORARRAY(AR8))</f>
      </c>
      <c r="AT8" s="33"/>
      <c r="AU8" cm="1">
        <f t="array" ref="AU8">MMULT(_xlfn.ANCHORARRAY(AN8),TRANSPOSE($H$14:$H$15))</f>
      </c>
      <c r="AW8" s="35" cm="1">
        <f t="array" ref="AW8">MMULT(_xlfn.ANCHORARRAY(AN8),TRANSPOSE($L$59:$L$60*_xlfn.ANCHORARRAY($T$53)))</f>
      </c>
      <c r="AX8" s="36"/>
      <c r="AY8" cm="1">
        <f t="array" ref="AY8">_xlfn.ANCHORARRAY(AN8)</f>
      </c>
      <c r="AZ8" s="37" cm="1">
        <f t="array" ref="AZ8">MMULT(_xlfn.ANCHORARRAY(AP8),TRANSPOSE(H14:H15))</f>
      </c>
      <c r="BB8" s="35" cm="1">
        <f t="array" ref="BB8">MMULT(_xlfn.ANCHORARRAY(AP8),TRANSPOSE(_xlfn.ANCHORARRAY($T$53)))</f>
      </c>
      <c r="BC8" s="36"/>
      <c r="BD8" cm="1">
        <f t="array" ref="BD8">_xlfn.ANCHORARRAY(AP8)</f>
      </c>
      <c r="BE8" s="37" cm="1">
        <f t="array" ref="BE8">MMULT(_xlfn.ANCHORARRAY(AR8),TRANSPOSE($H$14:$H$15))</f>
      </c>
      <c r="BG8" s="35" cm="1">
        <f t="array" ref="BG8">MMULT(_xlfn.ANCHORARRAY(AR8),TRANSPOSE(_xlfn.ANCHORARRAY($T$53)))</f>
      </c>
      <c r="BH8" s="36"/>
      <c r="BI8" cm="1">
        <f t="array" ref="BI8">_xlfn.ANCHORARRAY(AR8)</f>
      </c>
      <c r="BK8">
        <v>3</v>
      </c>
      <c r="BL8" s="19"/>
      <c r="BM8">
        <f>MATCH(MAX(FRONTEND!$M30:$Q30),FRONTEND!$M30:$Q30,0)</f>
        <v>3</v>
      </c>
      <c r="BN8">
        <f t="shared" si="29"/>
        <v>0</v>
      </c>
      <c r="BO8">
        <f t="shared" si="29"/>
        <v>0</v>
      </c>
      <c r="BP8">
        <f t="shared" si="29"/>
        <v>0</v>
      </c>
      <c r="BQ8">
        <f t="shared" si="29"/>
        <v>0</v>
      </c>
      <c r="BR8">
        <f t="shared" si="29"/>
        <v>0</v>
      </c>
      <c r="BT8">
        <v>0</v>
      </c>
      <c r="BU8">
        <v>0</v>
      </c>
      <c r="BV8">
        <v>0</v>
      </c>
      <c r="BW8" s="11">
        <f/>
        <v>0.3947945813296071</v>
      </c>
      <c r="BX8">
        <f/>
        <v>0.76298402984034686</v>
      </c>
      <c r="BY8">
        <f/>
        <v>-1.5092547447204521</v>
      </c>
      <c r="BZ8">
        <f/>
        <v>0.78695236170270555</v>
      </c>
      <c r="CA8" s="12">
        <f/>
        <v>-1.6514230540804744</v>
      </c>
      <c r="CB8">
        <v>0</v>
      </c>
      <c r="CC8">
        <v>0</v>
      </c>
      <c r="CD8">
        <v>0</v>
      </c>
    </row>
    <row r="9" ht="15.75">
      <c r="B9" s="13">
        <v>6</v>
      </c>
      <c r="C9" s="20">
        <f/>
        <v>3.0540707238032767</v>
      </c>
      <c r="D9" s="17">
        <f/>
        <v>1.2588938475691771</v>
      </c>
      <c r="V9">
        <v>3</v>
      </c>
      <c r="W9" s="23">
        <f t="shared" si="30"/>
        <v>-0.36343123147621209</v>
      </c>
      <c r="Y9" s="11">
        <v>3</v>
      </c>
      <c r="Z9" s="38">
        <v>-0.62</v>
      </c>
      <c r="AA9" s="38">
        <v>0.312</v>
      </c>
      <c r="AB9" s="39">
        <v>-0.121</v>
      </c>
      <c r="AD9" s="13">
        <v>3</v>
      </c>
      <c r="AE9" s="24">
        <f>-1/3*((2/(1+DATA!$I$18))*X29/W23-((2*DATA!$I$18)/(1+DATA!$I$18))*(1-X29)*(1-W23))</f>
        <v>-0.57576186038625099</v>
      </c>
      <c r="AF9" s="14"/>
      <c r="AJ9">
        <v>2</v>
      </c>
      <c r="AK9" s="41">
        <f/>
        <v>-0.072420110535812973</v>
      </c>
      <c r="AL9" s="33"/>
      <c r="AM9">
        <f/>
      </c>
      <c r="AN9" s="34">
        <f/>
      </c>
      <c r="AO9" s="34">
        <f/>
      </c>
      <c r="AP9" s="34">
        <f/>
      </c>
      <c r="AQ9" s="34"/>
      <c r="AR9" s="34">
        <f/>
      </c>
      <c r="AS9" s="34">
        <f/>
      </c>
      <c r="AT9" s="33"/>
      <c r="AW9" s="35"/>
      <c r="AX9" s="36"/>
      <c r="AZ9" s="37"/>
      <c r="BB9" s="35"/>
      <c r="BC9" s="36"/>
      <c r="BE9" s="37"/>
      <c r="BG9" s="35"/>
      <c r="BH9" s="36"/>
      <c r="BK9">
        <v>4</v>
      </c>
      <c r="BL9" s="19"/>
      <c r="BM9">
        <f>MATCH(MAX(FRONTEND!$M31:$Q31),FRONTEND!$M31:$Q31,0)</f>
        <v>4</v>
      </c>
      <c r="BN9">
        <f t="shared" si="29"/>
        <v>0</v>
      </c>
      <c r="BO9">
        <f t="shared" si="29"/>
        <v>0</v>
      </c>
      <c r="BP9">
        <f t="shared" si="29"/>
        <v>0</v>
      </c>
      <c r="BQ9">
        <f t="shared" si="29"/>
        <v>0</v>
      </c>
      <c r="BR9">
        <f t="shared" si="29"/>
        <v>0</v>
      </c>
      <c r="BT9">
        <v>0</v>
      </c>
      <c r="BU9">
        <v>0</v>
      </c>
      <c r="BV9">
        <v>0</v>
      </c>
      <c r="BW9" s="11">
        <f/>
        <v>1.2610501600821225</v>
      </c>
      <c r="BX9">
        <f/>
        <v>1.0201001967063095</v>
      </c>
      <c r="BY9">
        <f/>
        <v>0.20946802791688546</v>
      </c>
      <c r="BZ9">
        <f/>
        <v>-1.5474479187727208</v>
      </c>
      <c r="CA9" s="12">
        <f/>
        <v>-0.51000095484744268</v>
      </c>
      <c r="CB9">
        <v>0</v>
      </c>
      <c r="CC9">
        <v>0</v>
      </c>
      <c r="CD9">
        <v>0</v>
      </c>
    </row>
    <row r="10" ht="15.7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23">
        <f t="shared" si="30"/>
        <v>0.92018495860560989</v>
      </c>
      <c r="Y10" s="13">
        <v>4</v>
      </c>
      <c r="Z10" s="42">
        <v>-0.29099999999999998</v>
      </c>
      <c r="AA10" s="42">
        <v>-0.20200000000000001</v>
      </c>
      <c r="AB10" s="43">
        <v>0.186</v>
      </c>
      <c r="AK10" s="33"/>
      <c r="AL10" s="33"/>
      <c r="AN10" s="34"/>
      <c r="AO10" s="34"/>
      <c r="AP10" s="34"/>
      <c r="AQ10" s="34"/>
      <c r="AR10" s="34"/>
      <c r="AS10" s="34"/>
      <c r="AT10" s="33"/>
      <c r="AW10" s="35"/>
      <c r="AX10" s="36"/>
      <c r="AZ10" s="37"/>
      <c r="BB10" s="35"/>
      <c r="BC10" s="36"/>
      <c r="BE10" s="37"/>
      <c r="BG10" s="35"/>
      <c r="BH10" s="36"/>
      <c r="BK10">
        <v>5</v>
      </c>
      <c r="BL10" s="19"/>
      <c r="BM10">
        <f>MATCH(MAX(FRONTEND!$M32:$Q32),FRONTEND!$M32:$Q32,0)</f>
        <v>1</v>
      </c>
      <c r="BN10">
        <f t="shared" si="29"/>
        <v>0</v>
      </c>
      <c r="BO10">
        <f t="shared" si="29"/>
        <v>0</v>
      </c>
      <c r="BP10">
        <f t="shared" si="29"/>
        <v>0</v>
      </c>
      <c r="BQ10">
        <f t="shared" si="29"/>
        <v>0</v>
      </c>
      <c r="BR10">
        <f t="shared" si="29"/>
        <v>0</v>
      </c>
      <c r="BT10">
        <v>0</v>
      </c>
      <c r="BU10">
        <v>0</v>
      </c>
      <c r="BV10">
        <v>0</v>
      </c>
      <c r="BW10" s="11">
        <f/>
        <v>-1.914822845899089</v>
      </c>
      <c r="BX10">
        <f/>
        <v>-0.96507706088431011</v>
      </c>
      <c r="BY10">
        <f/>
        <v>-0.73600695036684105</v>
      </c>
      <c r="BZ10">
        <f/>
        <v>-1.2146668976505628</v>
      </c>
      <c r="CA10" s="12">
        <f/>
        <v>0.61213976054071273</v>
      </c>
      <c r="CB10">
        <v>0</v>
      </c>
      <c r="CC10">
        <v>0</v>
      </c>
      <c r="CD10">
        <v>0</v>
      </c>
    </row>
    <row r="11" ht="21">
      <c r="K11" s="7"/>
      <c r="L11" s="8" t="s">
        <v>130</v>
      </c>
      <c r="M11" s="9"/>
      <c r="O11" s="7"/>
      <c r="P11" s="8" t="s">
        <v>131</v>
      </c>
      <c r="Q11" s="9"/>
      <c r="S11" s="7"/>
      <c r="T11" s="9" t="s">
        <v>132</v>
      </c>
      <c r="AK11" s="44" t="s">
        <v>133</v>
      </c>
      <c r="AL11" s="33"/>
      <c r="AN11" s="34"/>
      <c r="AO11" s="34"/>
      <c r="AP11" s="34"/>
      <c r="AQ11" s="34"/>
      <c r="AR11" s="34"/>
      <c r="AS11" s="34"/>
      <c r="AT11" s="33"/>
      <c r="AU11" s="32" t="s">
        <v>133</v>
      </c>
      <c r="AW11" s="35"/>
      <c r="AX11" s="36"/>
      <c r="AZ11" s="37"/>
      <c r="BB11" s="35"/>
      <c r="BC11" s="36"/>
      <c r="BE11" s="37"/>
      <c r="BG11" s="35"/>
      <c r="BH11" s="36"/>
      <c r="BK11">
        <v>6</v>
      </c>
      <c r="BL11" s="19"/>
      <c r="BM11">
        <f>MATCH(MAX(FRONTEND!$M33:$Q33),FRONTEND!$M33:$Q33,0)</f>
        <v>5</v>
      </c>
      <c r="BN11">
        <f t="shared" si="29"/>
        <v>0</v>
      </c>
      <c r="BO11">
        <f t="shared" si="29"/>
        <v>0</v>
      </c>
      <c r="BP11">
        <f t="shared" si="29"/>
        <v>0</v>
      </c>
      <c r="BQ11">
        <f t="shared" si="29"/>
        <v>0</v>
      </c>
      <c r="BR11">
        <f t="shared" si="29"/>
        <v>0</v>
      </c>
      <c r="BT11">
        <v>0</v>
      </c>
      <c r="BU11">
        <v>0</v>
      </c>
      <c r="BV11">
        <v>0</v>
      </c>
      <c r="BW11" s="11">
        <f/>
        <v>0.61185767787065537</v>
      </c>
      <c r="BX11">
        <f/>
        <v>-1.6862564508613829</v>
      </c>
      <c r="BY11">
        <f/>
        <v>-0.39331255882270999</v>
      </c>
      <c r="BZ11">
        <f/>
        <v>1.027314449369916</v>
      </c>
      <c r="CA11" s="12">
        <f/>
        <v>1.3115002107703582</v>
      </c>
      <c r="CB11">
        <v>0</v>
      </c>
      <c r="CC11">
        <v>0</v>
      </c>
      <c r="CD11">
        <v>0</v>
      </c>
    </row>
    <row r="12" ht="15.75">
      <c r="C12" t="s">
        <v>134</v>
      </c>
      <c r="K12" s="11"/>
      <c r="L12">
        <v>1</v>
      </c>
      <c r="M12" s="12">
        <v>2</v>
      </c>
      <c r="O12" s="11"/>
      <c r="P12">
        <v>1</v>
      </c>
      <c r="Q12" s="12">
        <v>2</v>
      </c>
      <c r="S12" s="11"/>
      <c r="T12" s="12">
        <v>1</v>
      </c>
      <c r="AD12" s="7" t="s">
        <v>47</v>
      </c>
      <c r="AE12" s="8" t="s">
        <v>48</v>
      </c>
      <c r="AF12" s="9"/>
      <c r="AJ12" t="s">
        <v>104</v>
      </c>
      <c r="AK12" s="33" t="s">
        <v>105</v>
      </c>
      <c r="AL12" s="33"/>
      <c r="AM12" t="s">
        <v>106</v>
      </c>
      <c r="AN12" s="34" t="s">
        <v>107</v>
      </c>
      <c r="AO12" s="34" t="s">
        <v>108</v>
      </c>
      <c r="AP12" s="34" t="s">
        <v>109</v>
      </c>
      <c r="AQ12" s="34" t="s">
        <v>110</v>
      </c>
      <c r="AR12" s="34" t="s">
        <v>111</v>
      </c>
      <c r="AS12" s="34" t="s">
        <v>112</v>
      </c>
      <c r="AT12" s="33"/>
      <c r="AU12" t="s">
        <v>113</v>
      </c>
      <c r="AW12" s="35" t="s">
        <v>115</v>
      </c>
      <c r="AX12" s="36"/>
      <c r="AY12" t="s">
        <v>117</v>
      </c>
      <c r="AZ12" s="37" t="s">
        <v>118</v>
      </c>
      <c r="BB12" s="35" t="s">
        <v>120</v>
      </c>
      <c r="BC12" s="36"/>
      <c r="BD12" t="s">
        <v>122</v>
      </c>
      <c r="BE12" s="37" t="s">
        <v>123</v>
      </c>
      <c r="BG12" s="35" t="s">
        <v>125</v>
      </c>
      <c r="BH12" s="36"/>
      <c r="BI12" t="s">
        <v>127</v>
      </c>
      <c r="BT12">
        <v>0</v>
      </c>
      <c r="BU12">
        <v>0</v>
      </c>
      <c r="BV12">
        <v>0</v>
      </c>
      <c r="BW12" s="13">
        <f/>
        <v>-0.45094970136476858</v>
      </c>
      <c r="BX12" s="15">
        <f/>
        <v>0.098350911682930572</v>
      </c>
      <c r="BY12" s="15">
        <f/>
        <v>1.3402386975402607</v>
      </c>
      <c r="BZ12" s="15">
        <f/>
        <v>0.52920667781247754</v>
      </c>
      <c r="CA12" s="14">
        <f/>
        <v>0.78585618911594302</v>
      </c>
      <c r="CB12">
        <v>0</v>
      </c>
      <c r="CC12">
        <v>0</v>
      </c>
      <c r="CD12">
        <v>0</v>
      </c>
    </row>
    <row r="13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11">
        <v>1</v>
      </c>
      <c r="L13">
        <v>0.878</v>
      </c>
      <c r="M13" s="12">
        <v>-0.13900000000000001</v>
      </c>
      <c r="O13" s="11">
        <v>1</v>
      </c>
      <c r="P13">
        <v>-0.253</v>
      </c>
      <c r="Q13" s="12">
        <v>-0.872</v>
      </c>
      <c r="S13" s="11">
        <v>1</v>
      </c>
      <c r="T13" s="12">
        <v>0</v>
      </c>
      <c r="W13" t="s">
        <v>49</v>
      </c>
      <c r="X13" t="s">
        <v>50</v>
      </c>
      <c r="Y13" s="7"/>
      <c r="Z13" s="10" t="s">
        <v>23</v>
      </c>
      <c r="AD13" s="11"/>
      <c r="AE13">
        <v>1</v>
      </c>
      <c r="AF13" s="12"/>
      <c r="AK13" s="33">
        <v>1</v>
      </c>
      <c r="AL13" s="33"/>
      <c r="AM13">
        <v>1</v>
      </c>
      <c r="AN13" s="34">
        <v>1</v>
      </c>
      <c r="AO13" s="34">
        <v>1</v>
      </c>
      <c r="AP13" s="34">
        <v>1</v>
      </c>
      <c r="AQ13" s="34">
        <v>1</v>
      </c>
      <c r="AR13" s="34">
        <v>1</v>
      </c>
      <c r="AS13" s="34">
        <v>1</v>
      </c>
      <c r="AT13" s="33"/>
      <c r="AU13">
        <v>1</v>
      </c>
      <c r="AV13">
        <v>2</v>
      </c>
      <c r="AW13" s="35">
        <v>1</v>
      </c>
      <c r="AX13" s="36">
        <v>2</v>
      </c>
      <c r="AY13">
        <v>1</v>
      </c>
      <c r="AZ13" s="37">
        <v>1</v>
      </c>
      <c r="BA13">
        <v>2</v>
      </c>
      <c r="BB13" s="35">
        <v>1</v>
      </c>
      <c r="BC13" s="36">
        <v>2</v>
      </c>
      <c r="BD13">
        <v>1</v>
      </c>
      <c r="BE13" s="37">
        <v>1</v>
      </c>
      <c r="BF13">
        <v>2</v>
      </c>
      <c r="BG13" s="35">
        <v>1</v>
      </c>
      <c r="BH13" s="36">
        <v>2</v>
      </c>
      <c r="BI13">
        <v>1</v>
      </c>
      <c r="BL13" t="s">
        <v>43</v>
      </c>
      <c r="BM13" t="s">
        <v>78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ht="15.75">
      <c r="B14">
        <v>1</v>
      </c>
      <c r="C14" s="19" cm="1">
        <f t="array" ref="C14:H15">TRANSPOSE(_xlfn.ANCHORARRAY(C4))</f>
        <v>4.0296676785617889</v>
      </c>
      <c r="D14" s="19">
        <f/>
        <v>3.1757752467270279</v>
      </c>
      <c r="E14" s="19">
        <f/>
        <v>3.3789276309323317</v>
      </c>
      <c r="F14" s="19">
        <f/>
        <v>1.5094131886761968</v>
      </c>
      <c r="G14" s="19">
        <f/>
        <v>4.5198656803290973</v>
      </c>
      <c r="H14" s="19">
        <f/>
        <v>3.0540707238032767</v>
      </c>
      <c r="K14" s="13">
        <v>2</v>
      </c>
      <c r="L14" s="15">
        <v>-0.012999999999999999</v>
      </c>
      <c r="M14" s="14">
        <v>0.997</v>
      </c>
      <c r="O14" s="13">
        <v>2</v>
      </c>
      <c r="P14" s="15">
        <v>-0.21199999999999999</v>
      </c>
      <c r="Q14" s="14">
        <v>0.248</v>
      </c>
      <c r="S14" s="13">
        <v>2</v>
      </c>
      <c r="T14" s="14">
        <v>0</v>
      </c>
      <c r="W14">
        <v>1</v>
      </c>
      <c r="Y14" s="11"/>
      <c r="Z14" s="12">
        <v>1</v>
      </c>
      <c r="AD14" s="11">
        <v>1</v>
      </c>
      <c r="AE14">
        <f>-1/3*((2/(1+DATA!$I$16))*X27*(1-W21)-((2*DATA!$I$16)/(1+DATA!$I$16))*(1-X27)*W21)</f>
        <v>0.035121531899406019</v>
      </c>
      <c r="AF14" s="12"/>
      <c r="AJ14">
        <v>1</v>
      </c>
      <c r="AK14" s="40" cm="1">
        <f t="array" ref="AK14:AK15">AF78:AF79+_xlfn.ANCHORARRAY(AS8)</f>
      </c>
      <c r="AL14" s="33"/>
      <c r="AM14" cm="1">
        <f t="array" ref="AM14:AM15">_xlfn.ANCHORARRAY(AK14)*(1-$O$53:$O$54)</f>
      </c>
      <c r="AN14" s="34" cm="1">
        <f t="array" ref="AN14:AN15">_xlfn.ANCHORARRAY(AM14)*(1-$R$53:$R$54*$R$53:$R$54)</f>
      </c>
      <c r="AO14" s="34" cm="1">
        <f t="array" ref="AO14:AO15">_xlfn.ANCHORARRAY(AK14)*(_xlfn.ANCHORARRAY(T53)-$R$53:$R$54)</f>
      </c>
      <c r="AP14" s="34" cm="1">
        <f t="array" ref="AP14:AP15">_xlfn.ANCHORARRAY(AO14)*($O$53:$O$54*(1-$O$53:$O$54))</f>
      </c>
      <c r="AQ14" s="34" cm="1">
        <f t="array" ref="AQ14">MMULT(TRANSPOSE($P$23:$Q$24),_xlfn.ANCHORARRAY(AN14))*_xlfn.ANCHORARRAY(T47)</f>
      </c>
      <c r="AR14" s="34" cm="1">
        <f t="array" ref="AR14:AR15">_xlfn.ANCHORARRAY(AQ14)*($L$53:$L$54*(1-$L$53:$L$54))</f>
      </c>
      <c r="AS14" s="34" cm="1">
        <f t="array" ref="AS14:AS15">_xlfn.ANCHORARRAY(AK14)*$O$53:$O$54+MMULT(TRANSPOSE($P$23:$Q$24),_xlfn.ANCHORARRAY(AN14))*$L$53:$L$54+MMULT(TRANSPOSE($P$18:$Q$19),_xlfn.ANCHORARRAY(AP14))+MMULT(TRANSPOSE($P$13:$Q$14),_xlfn.ANCHORARRAY(AR14))</f>
      </c>
      <c r="AT14" s="33"/>
      <c r="AU14" cm="1">
        <f t="array" ref="AU14">MMULT(_xlfn.ANCHORARRAY(AN14),TRANSPOSE($G$14:$G$15))</f>
      </c>
      <c r="AW14" s="35" cm="1">
        <f t="array" ref="AW14">MMULT(_xlfn.ANCHORARRAY(AN14),TRANSPOSE($L$53:$L$54*_xlfn.ANCHORARRAY(T47)))</f>
      </c>
      <c r="AX14" s="36"/>
      <c r="AY14" cm="1">
        <f t="array" ref="AY14">_xlfn.ANCHORARRAY(AN14)</f>
      </c>
      <c r="AZ14" s="37" cm="1">
        <f t="array" ref="AZ14">MMULT(_xlfn.ANCHORARRAY(AP14),TRANSPOSE($G$14:$G$15))</f>
      </c>
      <c r="BB14" s="35" cm="1">
        <f t="array" ref="BB14">MMULT(_xlfn.ANCHORARRAY(AP14),TRANSPOSE(_xlfn.ANCHORARRAY(T47)))</f>
      </c>
      <c r="BC14" s="36"/>
      <c r="BD14" cm="1">
        <f t="array" ref="BD14">_xlfn.ANCHORARRAY(AP14)</f>
      </c>
      <c r="BE14" s="37" cm="1">
        <f t="array" ref="BE14">MMULT(_xlfn.ANCHORARRAY(AR14),TRANSPOSE($G$14:$G$15))</f>
      </c>
      <c r="BG14" s="35" cm="1">
        <f t="array" ref="BG14">MMULT(_xlfn.ANCHORARRAY(AR14),TRANSPOSE(_xlfn.ANCHORARRAY(T47)))</f>
      </c>
      <c r="BH14" s="36"/>
      <c r="BI14" cm="1">
        <f t="array" ref="BI14">_xlfn.ANCHORARRAY(AR14)</f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ht="15.75">
      <c r="B15">
        <v>2</v>
      </c>
      <c r="C15" s="23">
        <f/>
        <v>1.426184227044502</v>
      </c>
      <c r="D15" s="23">
        <f/>
        <v>0.83446165212430812</v>
      </c>
      <c r="E15" s="23">
        <f/>
        <v>1.8393159934697598</v>
      </c>
      <c r="F15" s="23">
        <f/>
        <v>0.40501335750777256</v>
      </c>
      <c r="G15" s="23">
        <f/>
        <v>0.53701995183003415</v>
      </c>
      <c r="H15" s="23">
        <f/>
        <v>1.2588938475691771</v>
      </c>
      <c r="V15">
        <v>1</v>
      </c>
      <c r="W15" cm="1">
        <f t="array" ref="W15:W17">TRANSPOSE(MMULT(TRANSPOSE(W7:W10),Z7:AB10)+TRANSPOSE(Z15:Z17))</f>
        <v>0.037053088862685324</v>
      </c>
      <c r="Y15" s="11">
        <v>1</v>
      </c>
      <c r="Z15" s="12">
        <v>1</v>
      </c>
      <c r="AD15" s="11">
        <v>2</v>
      </c>
      <c r="AE15">
        <f>-1/3*((2/(1+DATA!$I$17))*X28*(1-W22)-((2*DATA!$I$17)/(1+DATA!$I$17))*(1-X28)*W22)</f>
        <v>-0.12984439653975474</v>
      </c>
      <c r="AF15" s="12"/>
      <c r="AJ15">
        <v>2</v>
      </c>
      <c r="AK15" s="41">
        <f/>
      </c>
      <c r="AL15" s="33"/>
      <c r="AM15">
        <f/>
      </c>
      <c r="AN15" s="34">
        <f/>
      </c>
      <c r="AO15" s="34">
        <f/>
      </c>
      <c r="AP15" s="34">
        <f/>
      </c>
      <c r="AQ15" s="34"/>
      <c r="AR15" s="34">
        <f/>
      </c>
      <c r="AS15" s="34">
        <f/>
      </c>
      <c r="AT15" s="33"/>
      <c r="AW15" s="35"/>
      <c r="AX15" s="36"/>
      <c r="AZ15" s="37"/>
      <c r="BB15" s="35"/>
      <c r="BC15" s="36"/>
      <c r="BE15" s="37"/>
      <c r="BG15" s="35"/>
      <c r="BH15" s="36"/>
      <c r="BK15">
        <v>1</v>
      </c>
      <c r="BL15">
        <f t="shared" ref="BL15:BP20" si="31">BN6*IF(BN6&gt;0,1,0)</f>
        <v>0</v>
      </c>
      <c r="BM15">
        <f t="shared" si="31"/>
        <v>0</v>
      </c>
      <c r="BN15">
        <f t="shared" si="31"/>
        <v>0</v>
      </c>
      <c r="BO15">
        <f t="shared" si="31"/>
        <v>0</v>
      </c>
      <c r="BP15">
        <f t="shared" si="31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ht="15.75">
      <c r="K16" s="7"/>
      <c r="L16" s="8" t="s">
        <v>136</v>
      </c>
      <c r="M16" s="9"/>
      <c r="O16" s="7"/>
      <c r="P16" s="8" t="s">
        <v>137</v>
      </c>
      <c r="Q16" s="9"/>
      <c r="S16" s="7"/>
      <c r="T16" s="9" t="s">
        <v>138</v>
      </c>
      <c r="V16">
        <v>2</v>
      </c>
      <c r="W16">
        <f/>
        <v>0.77859413674265854</v>
      </c>
      <c r="Y16" s="11">
        <v>2</v>
      </c>
      <c r="Z16" s="12">
        <v>1</v>
      </c>
      <c r="AD16" s="13">
        <v>3</v>
      </c>
      <c r="AE16" s="15">
        <f>-1/3*((2/(1+DATA!$I$18))*X29*(1-W23)-((2*DATA!$I$18)/(1+DATA!$I$18))*(1-X29)*W23)</f>
        <v>-0.046078348798612223</v>
      </c>
      <c r="AF16" s="14"/>
      <c r="AK16" s="33"/>
      <c r="AL16" s="33"/>
      <c r="AN16" s="34"/>
      <c r="AO16" s="34"/>
      <c r="AP16" s="34"/>
      <c r="AQ16" s="34"/>
      <c r="AR16" s="34"/>
      <c r="AS16" s="34"/>
      <c r="AT16" s="33"/>
      <c r="AW16" s="35"/>
      <c r="AX16" s="36"/>
      <c r="AZ16" s="37"/>
      <c r="BB16" s="35"/>
      <c r="BC16" s="36"/>
      <c r="BE16" s="37"/>
      <c r="BG16" s="35"/>
      <c r="BH16" s="36"/>
      <c r="BK16">
        <v>2</v>
      </c>
      <c r="BL16">
        <f t="shared" si="31"/>
        <v>0</v>
      </c>
      <c r="BM16">
        <f t="shared" si="31"/>
        <v>0</v>
      </c>
      <c r="BN16">
        <f t="shared" si="31"/>
        <v>0</v>
      </c>
      <c r="BO16">
        <f t="shared" si="31"/>
        <v>0</v>
      </c>
      <c r="BP16">
        <f t="shared" si="31"/>
        <v>0</v>
      </c>
    </row>
    <row r="17" ht="21">
      <c r="K17" s="11"/>
      <c r="L17">
        <v>1</v>
      </c>
      <c r="M17" s="12">
        <v>2</v>
      </c>
      <c r="O17" s="11"/>
      <c r="P17">
        <v>1</v>
      </c>
      <c r="Q17" s="12">
        <v>2</v>
      </c>
      <c r="S17" s="11"/>
      <c r="T17" s="12">
        <v>1</v>
      </c>
      <c r="V17">
        <v>3</v>
      </c>
      <c r="W17">
        <f/>
        <v>2.3417209740978975</v>
      </c>
      <c r="Y17" s="13">
        <v>3</v>
      </c>
      <c r="Z17" s="14">
        <v>1</v>
      </c>
      <c r="AK17" s="44" t="s">
        <v>139</v>
      </c>
      <c r="AL17" s="33"/>
      <c r="AN17" s="34"/>
      <c r="AO17" s="34"/>
      <c r="AP17" s="34"/>
      <c r="AQ17" s="34"/>
      <c r="AR17" s="34"/>
      <c r="AS17" s="34"/>
      <c r="AT17" s="33"/>
      <c r="AU17" s="32" t="s">
        <v>139</v>
      </c>
      <c r="AW17" s="35"/>
      <c r="AX17" s="36"/>
      <c r="AZ17" s="37"/>
      <c r="BB17" s="35"/>
      <c r="BC17" s="36"/>
      <c r="BE17" s="37"/>
      <c r="BG17" s="35"/>
      <c r="BH17" s="36"/>
      <c r="BK17">
        <v>3</v>
      </c>
      <c r="BL17">
        <f t="shared" si="31"/>
        <v>0</v>
      </c>
      <c r="BM17">
        <f t="shared" si="31"/>
        <v>0</v>
      </c>
      <c r="BN17">
        <f t="shared" si="31"/>
        <v>0</v>
      </c>
      <c r="BO17">
        <f t="shared" si="31"/>
        <v>0</v>
      </c>
      <c r="BP17">
        <f t="shared" si="31"/>
        <v>0</v>
      </c>
    </row>
    <row r="18" ht="15.75">
      <c r="K18" s="11">
        <v>1</v>
      </c>
      <c r="L18">
        <v>-0.21199999999999999</v>
      </c>
      <c r="M18" s="12">
        <v>0.248</v>
      </c>
      <c r="O18" s="11">
        <v>1</v>
      </c>
      <c r="P18">
        <v>-0.012999999999999999</v>
      </c>
      <c r="Q18" s="12">
        <v>0.997</v>
      </c>
      <c r="S18" s="11">
        <v>1</v>
      </c>
      <c r="T18" s="12">
        <v>0</v>
      </c>
      <c r="AJ18" t="s">
        <v>104</v>
      </c>
      <c r="AK18" s="33" t="s">
        <v>105</v>
      </c>
      <c r="AL18" s="33"/>
      <c r="AM18" t="s">
        <v>106</v>
      </c>
      <c r="AN18" s="34" t="s">
        <v>107</v>
      </c>
      <c r="AO18" s="34" t="s">
        <v>108</v>
      </c>
      <c r="AP18" s="34" t="s">
        <v>109</v>
      </c>
      <c r="AQ18" s="34" t="s">
        <v>110</v>
      </c>
      <c r="AR18" s="34" t="s">
        <v>111</v>
      </c>
      <c r="AS18" s="34" t="s">
        <v>112</v>
      </c>
      <c r="AT18" s="33"/>
      <c r="AU18" t="s">
        <v>113</v>
      </c>
      <c r="AW18" s="35" t="s">
        <v>115</v>
      </c>
      <c r="AX18" s="36"/>
      <c r="AY18" t="s">
        <v>117</v>
      </c>
      <c r="AZ18" s="37" t="s">
        <v>118</v>
      </c>
      <c r="BB18" s="35" t="s">
        <v>120</v>
      </c>
      <c r="BC18" s="36"/>
      <c r="BD18" t="s">
        <v>122</v>
      </c>
      <c r="BE18" s="37" t="s">
        <v>123</v>
      </c>
      <c r="BG18" s="35" t="s">
        <v>125</v>
      </c>
      <c r="BH18" s="36"/>
      <c r="BI18" t="s">
        <v>127</v>
      </c>
      <c r="BK18">
        <v>4</v>
      </c>
      <c r="BL18">
        <f t="shared" si="31"/>
        <v>0</v>
      </c>
      <c r="BM18">
        <f t="shared" si="31"/>
        <v>0</v>
      </c>
      <c r="BN18">
        <f t="shared" si="31"/>
        <v>0</v>
      </c>
      <c r="BO18">
        <f t="shared" si="31"/>
        <v>0</v>
      </c>
      <c r="BP18">
        <f t="shared" si="31"/>
        <v>0</v>
      </c>
    </row>
    <row r="19" ht="15.75">
      <c r="K19" s="13">
        <v>2</v>
      </c>
      <c r="L19" s="15">
        <v>-0.253</v>
      </c>
      <c r="M19" s="14">
        <v>-0.872</v>
      </c>
      <c r="O19" s="13">
        <v>2</v>
      </c>
      <c r="P19" s="15">
        <v>0.878</v>
      </c>
      <c r="Q19" s="14">
        <v>-0.13900000000000001</v>
      </c>
      <c r="S19" s="13">
        <v>2</v>
      </c>
      <c r="T19" s="14">
        <v>0</v>
      </c>
      <c r="V19" s="7"/>
      <c r="W19" s="18" t="s">
        <v>55</v>
      </c>
      <c r="X19" s="9"/>
      <c r="Y19" t="s">
        <v>56</v>
      </c>
      <c r="AD19" s="7"/>
      <c r="AE19" s="18" t="s">
        <v>40</v>
      </c>
      <c r="AF19" s="8" t="s">
        <v>57</v>
      </c>
      <c r="AG19" s="9"/>
      <c r="AK19" s="33">
        <v>1</v>
      </c>
      <c r="AL19" s="33"/>
      <c r="AM19">
        <v>1</v>
      </c>
      <c r="AN19" s="34">
        <v>1</v>
      </c>
      <c r="AO19" s="34">
        <v>1</v>
      </c>
      <c r="AP19" s="34">
        <v>1</v>
      </c>
      <c r="AQ19" s="34">
        <v>1</v>
      </c>
      <c r="AR19" s="34">
        <v>1</v>
      </c>
      <c r="AS19" s="34">
        <v>1</v>
      </c>
      <c r="AT19" s="33"/>
      <c r="AU19">
        <v>1</v>
      </c>
      <c r="AV19">
        <v>2</v>
      </c>
      <c r="AW19" s="35">
        <v>1</v>
      </c>
      <c r="AX19" s="36">
        <v>2</v>
      </c>
      <c r="AY19">
        <v>1</v>
      </c>
      <c r="AZ19" s="37">
        <v>1</v>
      </c>
      <c r="BA19">
        <v>2</v>
      </c>
      <c r="BB19" s="35">
        <v>1</v>
      </c>
      <c r="BC19" s="36">
        <v>2</v>
      </c>
      <c r="BD19">
        <v>1</v>
      </c>
      <c r="BE19" s="37">
        <v>1</v>
      </c>
      <c r="BF19">
        <v>2</v>
      </c>
      <c r="BG19" s="35">
        <v>1</v>
      </c>
      <c r="BH19" s="36">
        <v>2</v>
      </c>
      <c r="BI19">
        <v>1</v>
      </c>
      <c r="BK19">
        <v>5</v>
      </c>
      <c r="BL19">
        <f t="shared" si="31"/>
        <v>0</v>
      </c>
      <c r="BM19">
        <f t="shared" si="31"/>
        <v>0</v>
      </c>
      <c r="BN19">
        <f t="shared" si="31"/>
        <v>0</v>
      </c>
      <c r="BO19">
        <f t="shared" si="31"/>
        <v>0</v>
      </c>
      <c r="BP19">
        <f t="shared" si="31"/>
        <v>0</v>
      </c>
    </row>
    <row r="20" ht="15.75">
      <c r="V20" s="11"/>
      <c r="W20">
        <v>1</v>
      </c>
      <c r="X20" s="12"/>
      <c r="AD20" s="11"/>
      <c r="AE20" s="22">
        <v>1</v>
      </c>
      <c r="AF20" s="22">
        <v>2</v>
      </c>
      <c r="AG20" s="12">
        <v>3</v>
      </c>
      <c r="AJ20">
        <v>1</v>
      </c>
      <c r="AK20" s="40" cm="1">
        <f t="array" ref="AK20:AK21">AG78:AG79+_xlfn.ANCHORARRAY(AS14)</f>
      </c>
      <c r="AL20" s="33"/>
      <c r="AM20" cm="1">
        <f t="array" ref="AM20:AM21">_xlfn.ANCHORARRAY(AK20)*(1-$O$47:$O$48)</f>
      </c>
      <c r="AN20" s="34" cm="1">
        <f t="array" ref="AN20:AN21">_xlfn.ANCHORARRAY(AM20)*(1-$R$47:$R$48*$R$47:$R$48)</f>
      </c>
      <c r="AO20" s="34" cm="1">
        <f t="array" ref="AO20:AO21">_xlfn.ANCHORARRAY(AK20)*(_xlfn.ANCHORARRAY(T41)-$R$47:$R$48)</f>
      </c>
      <c r="AP20" s="34" cm="1">
        <f t="array" ref="AP20:AP21">_xlfn.ANCHORARRAY(AO20)*($O$47:$O$48*(1-$O$47:$O$48))</f>
      </c>
      <c r="AQ20" s="34" cm="1">
        <f t="array" ref="AQ20">MMULT(TRANSPOSE($P$23:$Q$24),_xlfn.ANCHORARRAY(AN20))*_xlfn.ANCHORARRAY(T47)</f>
      </c>
      <c r="AR20" s="34" cm="1">
        <f t="array" ref="AR20:AR21">_xlfn.ANCHORARRAY(AQ20)*($L$47:$L$48*(1-$L$47:$L$48))</f>
      </c>
      <c r="AS20" s="34" cm="1">
        <f t="array" ref="AS20:AS21">_xlfn.ANCHORARRAY(AK20)*$O$47:$O$48+MMULT(TRANSPOSE($P$23:$Q$24),_xlfn.ANCHORARRAY(AN20))*$L$47:$L$48+MMULT(TRANSPOSE($P$18:$Q$19),_xlfn.ANCHORARRAY(AP20))+MMULT(TRANSPOSE($P$13:$Q$14),_xlfn.ANCHORARRAY(AR20))</f>
      </c>
      <c r="AT20" s="33"/>
      <c r="AU20" cm="1">
        <f t="array" ref="AU20">MMULT(_xlfn.ANCHORARRAY(AN20),TRANSPOSE($F$14:$F$15))</f>
      </c>
      <c r="AW20" s="35" cm="1">
        <f t="array" ref="AW20">MMULT(_xlfn.ANCHORARRAY(AN20),TRANSPOSE($L$47:$L$48*_xlfn.ANCHORARRAY($T$41)))</f>
      </c>
      <c r="AX20" s="36"/>
      <c r="AY20" cm="1">
        <f t="array" ref="AY20">_xlfn.ANCHORARRAY(AN20)</f>
      </c>
      <c r="AZ20" s="37" cm="1">
        <f t="array" ref="AZ20">MMULT(_xlfn.ANCHORARRAY(AP20),TRANSPOSE($F$14:$F$15))</f>
      </c>
      <c r="BB20" s="35" cm="1">
        <f t="array" ref="BB20">MMULT(_xlfn.ANCHORARRAY(AP20),TRANSPOSE(_xlfn.ANCHORARRAY(T47)))</f>
      </c>
      <c r="BC20" s="36"/>
      <c r="BD20" cm="1">
        <f t="array" ref="BD20">_xlfn.ANCHORARRAY(AP20)</f>
      </c>
      <c r="BE20" s="37" cm="1">
        <f t="array" ref="BE20">MMULT(_xlfn.ANCHORARRAY(AR20),TRANSPOSE($F$14:$F$15))</f>
      </c>
      <c r="BG20" s="35" cm="1">
        <f t="array" ref="BG20">MMULT(_xlfn.ANCHORARRAY(AR20),TRANSPOSE(_xlfn.ANCHORARRAY(T41)))</f>
      </c>
      <c r="BH20" s="36"/>
      <c r="BI20" cm="1">
        <f t="array" ref="BI20">_xlfn.ANCHORARRAY(AR20)</f>
      </c>
      <c r="BK20">
        <v>6</v>
      </c>
      <c r="BL20">
        <f t="shared" si="31"/>
        <v>0</v>
      </c>
      <c r="BM20">
        <f t="shared" si="31"/>
        <v>0</v>
      </c>
      <c r="BN20">
        <f t="shared" si="31"/>
        <v>0</v>
      </c>
      <c r="BO20">
        <f t="shared" si="31"/>
        <v>0</v>
      </c>
      <c r="BP20">
        <f t="shared" si="31"/>
        <v>0</v>
      </c>
    </row>
    <row r="21" ht="15.75">
      <c r="K21" s="7"/>
      <c r="L21" s="8" t="s">
        <v>140</v>
      </c>
      <c r="M21" s="9"/>
      <c r="O21" s="7"/>
      <c r="P21" s="8" t="s">
        <v>141</v>
      </c>
      <c r="Q21" s="9"/>
      <c r="S21" s="7"/>
      <c r="T21" s="9" t="s">
        <v>142</v>
      </c>
      <c r="V21" s="11">
        <v>1</v>
      </c>
      <c r="W21">
        <f t="shared" ref="W21:W23" si="32">1/(1+EXP(-W15))</f>
        <v>0.50926221254138726</v>
      </c>
      <c r="X21" s="12" t="s">
        <v>10</v>
      </c>
      <c r="AD21" s="11">
        <v>1</v>
      </c>
      <c r="AE21" s="22" cm="1">
        <f t="array" ref="AE21:AE24">Z7:Z10-$W$32*$AE14*$W$7:$W$10</f>
        <v>-0.1333833006321615</v>
      </c>
      <c r="AF21" s="22" cm="1">
        <f t="array" ref="AF21:AF24">AA7:AA10-$W$32*$AE15*$W$7:$W$10</f>
        <v>-0.67327993919777729</v>
      </c>
      <c r="AG21" s="12" cm="1">
        <f t="array" ref="AG21:AG24">AB7:AB10-$W$32*$AE16*$W$7:$W$10</f>
        <v>-0.77880909023719513</v>
      </c>
      <c r="AJ21">
        <v>2</v>
      </c>
      <c r="AK21" s="41">
        <f/>
      </c>
      <c r="AL21" s="33"/>
      <c r="AM21">
        <f/>
      </c>
      <c r="AN21" s="34">
        <f/>
      </c>
      <c r="AO21" s="34">
        <f/>
      </c>
      <c r="AP21" s="34">
        <f/>
      </c>
      <c r="AQ21" s="34"/>
      <c r="AR21" s="34">
        <f/>
      </c>
      <c r="AS21" s="34">
        <f/>
      </c>
      <c r="AT21" s="33"/>
      <c r="AW21" s="35"/>
      <c r="AX21" s="36"/>
      <c r="AZ21" s="37"/>
      <c r="BB21" s="35"/>
      <c r="BC21" s="36"/>
      <c r="BE21" s="37"/>
      <c r="BG21" s="35"/>
      <c r="BH21" s="36"/>
    </row>
    <row r="22">
      <c r="K22" s="11"/>
      <c r="L22">
        <v>1</v>
      </c>
      <c r="M22" s="12">
        <v>2</v>
      </c>
      <c r="O22" s="11"/>
      <c r="P22">
        <v>1</v>
      </c>
      <c r="Q22" s="12">
        <v>2</v>
      </c>
      <c r="S22" s="11"/>
      <c r="T22" s="12">
        <v>1</v>
      </c>
      <c r="V22" s="11">
        <v>2</v>
      </c>
      <c r="W22">
        <f t="shared" si="32"/>
        <v>0.68537703915367121</v>
      </c>
      <c r="X22" s="12" t="s">
        <v>11</v>
      </c>
      <c r="AD22" s="11">
        <v>2</v>
      </c>
      <c r="AE22" s="22">
        <f/>
        <v>-0.94850854636303106</v>
      </c>
      <c r="AF22" s="22">
        <f/>
        <v>-0.027028894794670549</v>
      </c>
      <c r="AG22" s="12">
        <f/>
        <v>0.99560310283602937</v>
      </c>
      <c r="AK22" s="33"/>
      <c r="AL22" s="33"/>
      <c r="AN22" s="34"/>
      <c r="AO22" s="34"/>
      <c r="AP22" s="34"/>
      <c r="AQ22" s="34"/>
      <c r="AR22" s="34"/>
      <c r="AS22" s="34"/>
      <c r="AT22" s="33"/>
      <c r="AW22" s="35"/>
      <c r="AX22" s="36"/>
      <c r="AZ22" s="37"/>
      <c r="BB22" s="35"/>
      <c r="BC22" s="36"/>
      <c r="BE22" s="37"/>
      <c r="BG22" s="35"/>
      <c r="BH22" s="36"/>
      <c r="BK22" s="7"/>
      <c r="BL22" s="18" t="s">
        <v>22</v>
      </c>
      <c r="BM22" s="8" t="s">
        <v>80</v>
      </c>
      <c r="BN22" s="9"/>
      <c r="BP22" s="7"/>
      <c r="BQ22" s="10" t="s">
        <v>23</v>
      </c>
      <c r="BR22" t="s">
        <v>81</v>
      </c>
    </row>
    <row r="23" ht="21">
      <c r="K23" s="11">
        <v>1</v>
      </c>
      <c r="L23">
        <v>-0.50700000000000001</v>
      </c>
      <c r="M23" s="12">
        <v>0.89100000000000001</v>
      </c>
      <c r="O23" s="11">
        <v>1</v>
      </c>
      <c r="P23">
        <v>0.67200000000000004</v>
      </c>
      <c r="Q23" s="12">
        <v>0.74099999999999999</v>
      </c>
      <c r="S23" s="11">
        <v>1</v>
      </c>
      <c r="T23" s="12">
        <v>0</v>
      </c>
      <c r="V23" s="13">
        <v>3</v>
      </c>
      <c r="W23" s="15">
        <f t="shared" si="32"/>
        <v>0.91227391286418058</v>
      </c>
      <c r="X23" s="14" t="s">
        <v>12</v>
      </c>
      <c r="AD23" s="11">
        <v>3</v>
      </c>
      <c r="AE23" s="22">
        <f/>
        <v>-0.61872357384104681</v>
      </c>
      <c r="AF23" s="22">
        <f/>
        <v>0.30728104910652715</v>
      </c>
      <c r="AG23" s="12">
        <f/>
        <v>-0.122674631104827</v>
      </c>
      <c r="AK23" s="44" t="s">
        <v>143</v>
      </c>
      <c r="AL23" s="33"/>
      <c r="AN23" s="34"/>
      <c r="AO23" s="34"/>
      <c r="AP23" s="34"/>
      <c r="AQ23" s="34"/>
      <c r="AR23" s="34"/>
      <c r="AS23" s="34"/>
      <c r="AT23" s="33"/>
      <c r="AU23" s="32" t="s">
        <v>143</v>
      </c>
      <c r="AW23" s="35"/>
      <c r="AX23" s="36"/>
      <c r="AZ23" s="37"/>
      <c r="BB23" s="35"/>
      <c r="BC23" s="36"/>
      <c r="BE23" s="37"/>
      <c r="BG23" s="35"/>
      <c r="BH23" s="36"/>
      <c r="BK23" s="11"/>
      <c r="BL23">
        <v>1</v>
      </c>
      <c r="BM23">
        <v>2</v>
      </c>
      <c r="BN23" s="12">
        <v>3</v>
      </c>
      <c r="BP23" s="11"/>
      <c r="BQ23" s="12">
        <v>1</v>
      </c>
    </row>
    <row r="24" ht="15.75">
      <c r="K24" s="13">
        <v>2</v>
      </c>
      <c r="L24" s="15">
        <v>0.67200000000000004</v>
      </c>
      <c r="M24" s="14">
        <v>0.74099999999999999</v>
      </c>
      <c r="O24" s="13">
        <v>2</v>
      </c>
      <c r="P24" s="15">
        <v>-0.50700000000000001</v>
      </c>
      <c r="Q24" s="14">
        <v>0.89100000000000001</v>
      </c>
      <c r="S24" s="13">
        <v>2</v>
      </c>
      <c r="T24" s="14">
        <v>0</v>
      </c>
      <c r="AD24" s="13">
        <v>4</v>
      </c>
      <c r="AE24" s="15">
        <f/>
        <v>-0.29423183053770202</v>
      </c>
      <c r="AF24" s="15">
        <f/>
        <v>-0.19005191393448956</v>
      </c>
      <c r="AG24" s="14">
        <f/>
        <v>0.19024006034818658</v>
      </c>
      <c r="AJ24" t="s">
        <v>104</v>
      </c>
      <c r="AK24" s="33" t="s">
        <v>105</v>
      </c>
      <c r="AL24" s="33"/>
      <c r="AM24" t="s">
        <v>106</v>
      </c>
      <c r="AN24" s="34" t="s">
        <v>107</v>
      </c>
      <c r="AO24" s="34" t="s">
        <v>108</v>
      </c>
      <c r="AP24" s="34" t="s">
        <v>109</v>
      </c>
      <c r="AQ24" s="34" t="s">
        <v>110</v>
      </c>
      <c r="AR24" s="34" t="s">
        <v>111</v>
      </c>
      <c r="AS24" s="34" t="s">
        <v>112</v>
      </c>
      <c r="AT24" s="33"/>
      <c r="AU24" t="s">
        <v>113</v>
      </c>
      <c r="AW24" s="35" t="s">
        <v>115</v>
      </c>
      <c r="AX24" s="36"/>
      <c r="AY24" t="s">
        <v>117</v>
      </c>
      <c r="AZ24" s="37" t="s">
        <v>118</v>
      </c>
      <c r="BB24" s="35" t="s">
        <v>120</v>
      </c>
      <c r="BC24" s="36"/>
      <c r="BD24" t="s">
        <v>122</v>
      </c>
      <c r="BE24" s="37" t="s">
        <v>123</v>
      </c>
      <c r="BG24" s="35" t="s">
        <v>125</v>
      </c>
      <c r="BH24" s="36"/>
      <c r="BI24" t="s">
        <v>127</v>
      </c>
      <c r="BK24" s="11">
        <v>1</v>
      </c>
      <c r="BL24" cm="1">
        <f t="array" ref="BL24">FRONTEND!$M7-$W$32*SUM($BL$15:$BP$20*BV5:BZ10)</f>
        <v>-0.51200000000000001</v>
      </c>
      <c r="BM24" cm="1">
        <f t="array" ref="BM24">FRONTEND!$N7-$W$32*SUM($BL$15:$BP$20*BW5:CA10)</f>
        <v>0.89700000000000002</v>
      </c>
      <c r="BN24" s="12" cm="1">
        <f t="array" ref="BN24">FRONTEND!$O7-$W$32*SUM($BL$15:$BP$20*BX5:CB10)</f>
        <v>-0.52300000000000002</v>
      </c>
      <c r="BP24" s="13">
        <v>1</v>
      </c>
      <c r="BQ24" s="14" t="e">
        <f>FRONTEND!$W$7-$W$32*SUM(AU56:AU61)</f>
        <v>#NUM!</v>
      </c>
    </row>
    <row r="25" ht="15.75">
      <c r="V25" s="7"/>
      <c r="W25" s="18" t="s">
        <v>61</v>
      </c>
      <c r="X25" s="9"/>
      <c r="Y25" t="s">
        <v>62</v>
      </c>
      <c r="AK25" s="33">
        <v>1</v>
      </c>
      <c r="AL25" s="33"/>
      <c r="AM25">
        <v>1</v>
      </c>
      <c r="AN25" s="34">
        <v>1</v>
      </c>
      <c r="AO25" s="34">
        <v>1</v>
      </c>
      <c r="AP25" s="34">
        <v>1</v>
      </c>
      <c r="AQ25" s="34">
        <v>1</v>
      </c>
      <c r="AR25" s="34">
        <v>1</v>
      </c>
      <c r="AS25" s="34">
        <v>1</v>
      </c>
      <c r="AT25" s="33"/>
      <c r="AU25">
        <v>1</v>
      </c>
      <c r="AV25">
        <v>2</v>
      </c>
      <c r="AW25" s="35">
        <v>1</v>
      </c>
      <c r="AX25" s="36">
        <v>2</v>
      </c>
      <c r="AY25">
        <v>1</v>
      </c>
      <c r="AZ25" s="37">
        <v>1</v>
      </c>
      <c r="BA25">
        <v>2</v>
      </c>
      <c r="BB25" s="35">
        <v>1</v>
      </c>
      <c r="BC25" s="36">
        <v>2</v>
      </c>
      <c r="BD25">
        <v>1</v>
      </c>
      <c r="BE25" s="37">
        <v>1</v>
      </c>
      <c r="BF25">
        <v>2</v>
      </c>
      <c r="BG25" s="35">
        <v>1</v>
      </c>
      <c r="BH25" s="36">
        <v>2</v>
      </c>
      <c r="BI25">
        <v>1</v>
      </c>
      <c r="BK25" s="11">
        <v>2</v>
      </c>
      <c r="BL25" cm="1">
        <f t="array" ref="BL25">FRONTEND!$M8-$W$32*SUM($BL$15:$BP$20*BV6:BZ11)</f>
        <v>0.122</v>
      </c>
      <c r="BM25" cm="1">
        <f t="array" ref="BM25">FRONTEND!$N8-$W$32*SUM($BL$15:$BP$20*BW6:CA11)</f>
        <v>-0.20399999999999999</v>
      </c>
      <c r="BN25" s="12" cm="1">
        <f t="array" ref="BN25">FRONTEND!$O8-$W$32*SUM($BL$15:$BP$20*BX6:CB11)</f>
        <v>-0.73999999999999999</v>
      </c>
    </row>
    <row r="26" ht="21">
      <c r="C26" s="45" t="s">
        <v>144</v>
      </c>
      <c r="D26" s="45"/>
      <c r="E26" s="45"/>
      <c r="F26" s="45"/>
      <c r="K26" s="32" t="s">
        <v>135</v>
      </c>
      <c r="V26" s="11"/>
      <c r="W26">
        <v>1</v>
      </c>
      <c r="X26" s="25" t="s">
        <v>63</v>
      </c>
      <c r="AD26" s="7"/>
      <c r="AE26" s="10" t="s">
        <v>23</v>
      </c>
      <c r="AF26" t="s">
        <v>64</v>
      </c>
      <c r="AJ26">
        <v>1</v>
      </c>
      <c r="AK26" s="40" cm="1">
        <f t="array" ref="AK26:AK27">AH78:AH79+_xlfn.ANCHORARRAY(AS20)</f>
      </c>
      <c r="AL26" s="33"/>
      <c r="AM26" cm="1">
        <f t="array" ref="AM26:AM27">_xlfn.ANCHORARRAY(AK26)*(1-$O$41:$O$42)</f>
      </c>
      <c r="AN26" s="34" cm="1">
        <f t="array" ref="AN26:AN27">_xlfn.ANCHORARRAY(AM26)*(1-$R$41:$R$42*$R$41:$R$42)</f>
      </c>
      <c r="AO26" s="34" cm="1">
        <f t="array" ref="AO26:AO27">_xlfn.ANCHORARRAY(AK26)*(_xlfn.ANCHORARRAY(T35)-$R$41:$R$42)</f>
      </c>
      <c r="AP26" s="34" cm="1">
        <f t="array" ref="AP26:AP27">_xlfn.ANCHORARRAY(AO26)*($O$41:$O$42*(1-$O$41:$O$42))</f>
      </c>
      <c r="AQ26" s="34" cm="1">
        <f t="array" ref="AQ26">MMULT(TRANSPOSE($P$23:$Q$24),_xlfn.ANCHORARRAY(AN26))*_xlfn.ANCHORARRAY(T41)</f>
      </c>
      <c r="AR26" s="34" cm="1">
        <f t="array" ref="AR26:AR27">_xlfn.ANCHORARRAY(AQ26)*($L$41:$L$42*(1-$L$41:$L$42))</f>
      </c>
      <c r="AS26" s="34" cm="1">
        <f t="array" ref="AS26:AS27">_xlfn.ANCHORARRAY(AK26)*$O$41:$O$42+MMULT(TRANSPOSE($P$23:$Q$24),_xlfn.ANCHORARRAY(AN26))*$L$41:$L$42+MMULT(TRANSPOSE($P$18:$Q$19),_xlfn.ANCHORARRAY(AP26))+MMULT(TRANSPOSE($P$13:$Q$14),_xlfn.ANCHORARRAY(AR26))</f>
      </c>
      <c r="AT26" s="33"/>
      <c r="AU26" cm="1">
        <f t="array" ref="AU26">MMULT(_xlfn.ANCHORARRAY(AN26),TRANSPOSE($E$14:$E$15))</f>
      </c>
      <c r="AW26" s="35" cm="1">
        <f t="array" ref="AW26">MMULT(_xlfn.ANCHORARRAY(AN26),TRANSPOSE($L$41:$L$42*_xlfn.ANCHORARRAY(T35)))</f>
      </c>
      <c r="AX26" s="36"/>
      <c r="AY26" cm="1">
        <f t="array" ref="AY26">_xlfn.ANCHORARRAY(AN26)</f>
      </c>
      <c r="AZ26" s="37" cm="1">
        <f t="array" ref="AZ26">MMULT(_xlfn.ANCHORARRAY(AP26),TRANSPOSE($E$14:$E$15))</f>
      </c>
      <c r="BB26" s="35" cm="1">
        <f t="array" ref="BB26">MMULT(_xlfn.ANCHORARRAY(AP26),TRANSPOSE(_xlfn.ANCHORARRAY(T35)))</f>
      </c>
      <c r="BC26" s="36"/>
      <c r="BD26" cm="1">
        <f t="array" ref="BD26">_xlfn.ANCHORARRAY(AP26)</f>
      </c>
      <c r="BE26" s="37" cm="1">
        <f t="array" ref="BE26">MMULT(_xlfn.ANCHORARRAY(AR26),TRANSPOSE($E$14:$E$15))</f>
      </c>
      <c r="BG26" s="35" cm="1">
        <f t="array" ref="BG26">MMULT(_xlfn.ANCHORARRAY(AR26),TRANSPOSE(_xlfn.ANCHORARRAY(T35)))</f>
      </c>
      <c r="BH26" s="36"/>
      <c r="BI26" cm="1">
        <f t="array" ref="BI26">_xlfn.ANCHORARRAY(AR26)</f>
      </c>
      <c r="BK26" s="11">
        <v>3</v>
      </c>
      <c r="BL26" cm="1">
        <f t="array" ref="BL26">FRONTEND!$M9-$W$32*SUM($BL$15:$BP$20*BV7:BZ12)</f>
        <v>0.74199999999999999</v>
      </c>
      <c r="BM26" cm="1">
        <f t="array" ref="BM26">FRONTEND!$N9-$W$32*SUM($BL$15:$BP$20*BW7:CA12)</f>
        <v>0.80500000000000005</v>
      </c>
      <c r="BN26" s="12" cm="1">
        <f t="array" ref="BN26">FRONTEND!$O9-$W$32*SUM($BL$15:$BP$20*BX7:CB12)</f>
        <v>-0.97699999999999998</v>
      </c>
    </row>
    <row r="27">
      <c r="C27" t="s">
        <v>145</v>
      </c>
      <c r="D27" s="29" t="s">
        <v>146</v>
      </c>
      <c r="E27" s="29" t="s">
        <v>147</v>
      </c>
      <c r="H27" t="s">
        <v>148</v>
      </c>
      <c r="I27" t="s">
        <v>149</v>
      </c>
      <c r="K27" t="s">
        <v>148</v>
      </c>
      <c r="L27" s="29" t="s">
        <v>150</v>
      </c>
      <c r="N27" t="s">
        <v>151</v>
      </c>
      <c r="O27" s="29" t="s">
        <v>150</v>
      </c>
      <c r="Q27" t="s">
        <v>145</v>
      </c>
      <c r="R27" s="29" t="s">
        <v>146</v>
      </c>
      <c r="T27" s="29" t="s">
        <v>147</v>
      </c>
      <c r="V27" s="26" t="s">
        <v>65</v>
      </c>
      <c r="W27" s="1">
        <f>((2/(1+DATA!$I$16))*X27*LN(W21)+((2*DATA!$I$16)/(1+DATA!$I$16))*(1-X27)*LN(1-W21))</f>
        <v>-0.14727834446877325</v>
      </c>
      <c r="X27" s="12">
        <v>0</v>
      </c>
      <c r="AD27" s="11"/>
      <c r="AE27" s="12">
        <v>1</v>
      </c>
      <c r="AJ27">
        <v>2</v>
      </c>
      <c r="AK27" s="41">
        <f/>
      </c>
      <c r="AL27" s="33"/>
      <c r="AM27">
        <f/>
      </c>
      <c r="AN27" s="34">
        <f/>
      </c>
      <c r="AO27" s="34">
        <f/>
      </c>
      <c r="AP27" s="34">
        <f/>
      </c>
      <c r="AQ27" s="34"/>
      <c r="AR27" s="34">
        <f/>
      </c>
      <c r="AS27" s="34">
        <f/>
      </c>
      <c r="AT27" s="33"/>
      <c r="AW27" s="35"/>
      <c r="AX27" s="36"/>
      <c r="AZ27" s="37"/>
      <c r="BB27" s="35"/>
      <c r="BC27" s="36"/>
      <c r="BE27" s="37"/>
      <c r="BG27" s="35"/>
      <c r="BH27" s="36"/>
      <c r="BK27" s="11">
        <v>4</v>
      </c>
      <c r="BL27" cm="1">
        <f t="array" ref="BL27">FRONTEND!$M10-$W$32*SUM($BL$15:$BP$20*BV8:BZ13)</f>
        <v>0.78200000000000003</v>
      </c>
      <c r="BM27" cm="1">
        <f t="array" ref="BM27">FRONTEND!$N10-$W$32*SUM($BL$15:$BP$20*BW8:CA13)</f>
        <v>0.51600000000000001</v>
      </c>
      <c r="BN27" s="12" cm="1">
        <f t="array" ref="BN27">FRONTEND!$O10-$W$32*SUM($BL$15:$BP$20*BX8:CB13)</f>
        <v>-0.91400000000000003</v>
      </c>
    </row>
    <row r="28" ht="15.75">
      <c r="C28">
        <v>1</v>
      </c>
      <c r="D28" s="30">
        <v>1</v>
      </c>
      <c r="E28" s="30">
        <v>1</v>
      </c>
      <c r="H28" t="s">
        <v>151</v>
      </c>
      <c r="I28" t="s">
        <v>152</v>
      </c>
      <c r="K28">
        <v>1</v>
      </c>
      <c r="L28" s="30">
        <v>1</v>
      </c>
      <c r="N28">
        <v>1</v>
      </c>
      <c r="O28" s="30">
        <v>1</v>
      </c>
      <c r="Q28">
        <v>1</v>
      </c>
      <c r="R28" s="30">
        <v>1</v>
      </c>
      <c r="T28" s="30">
        <v>1</v>
      </c>
      <c r="V28" s="11">
        <v>2</v>
      </c>
      <c r="W28" s="1">
        <f>((2/(1+DATA!$I$17))*X28*LN(W22)+((2*DATA!$I$17)/(1+DATA!$I$17))*(1-X28)*LN(1-W22))</f>
        <v>-0.46773525812551831</v>
      </c>
      <c r="X28" s="12">
        <v>1</v>
      </c>
      <c r="AD28" s="11">
        <v>1</v>
      </c>
      <c r="AE28" s="12">
        <f t="shared" ref="AE28:AE30" si="33">Z15-$W$32*$AE14</f>
        <v>0.99648784681005942</v>
      </c>
      <c r="AK28" s="33"/>
      <c r="AL28" s="33"/>
      <c r="AN28" s="34"/>
      <c r="AO28" s="34"/>
      <c r="AP28" s="34"/>
      <c r="AQ28" s="34"/>
      <c r="AR28" s="34"/>
      <c r="AS28" s="34"/>
      <c r="AT28" s="33"/>
      <c r="AW28" s="35"/>
      <c r="AX28" s="36"/>
      <c r="AZ28" s="37"/>
      <c r="BB28" s="35"/>
      <c r="BC28" s="36"/>
      <c r="BE28" s="37"/>
      <c r="BG28" s="35"/>
      <c r="BH28" s="36"/>
      <c r="BK28" s="13">
        <v>5</v>
      </c>
      <c r="BL28" s="15" cm="1">
        <f t="array" ref="BL28">FRONTEND!$M11-$W$32*SUM($BL$15:$BP$20*BV9:BZ14)</f>
        <v>0.40899999999999997</v>
      </c>
      <c r="BM28" s="15" cm="1">
        <f t="array" ref="BM28">FRONTEND!$N11-$W$32*SUM($BL$15:$BP$20*BW9:CA14)</f>
        <v>-0.438</v>
      </c>
      <c r="BN28" s="14" cm="1">
        <f t="array" ref="BN28">FRONTEND!$O11-$W$32*SUM($BL$15:$BP$20*BX9:CB14)</f>
        <v>0.29299999999999998</v>
      </c>
    </row>
    <row r="29" ht="21">
      <c r="C29" cm="1">
        <f t="array" ref="C29:C30">MMULT($L$23:$M$24,$C$14:$C$15)+$L$29:$L$30*MMULT($P$23:$Q$24,$L$7:$L$8)+$T$23:$T$24</f>
        <v>-0.95197821889074408</v>
      </c>
      <c r="D29" s="30">
        <f t="shared" ref="D29:D60" si="34">(EXP(C29)-EXP(-C29))/(EXP(C29)+EXP(-C29))</f>
        <v>-0.74067732269118158</v>
      </c>
      <c r="E29" s="30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30">
        <f t="shared" ref="L29:L60" si="35">1/(1+EXP(-K29))</f>
        <v>0.98180217247588075</v>
      </c>
      <c r="N29" cm="1">
        <f t="array" ref="N29:N30">MMULT($L$18:$M$19,$C$14:$C$15)+MMULT($P$18:$Q$19,$L$7:$L$8)+$T$18:$T$19</f>
        <v>-1.4851298595480626</v>
      </c>
      <c r="O29" s="30">
        <f t="shared" ref="O29:O60" si="36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30">
        <f t="shared" ref="R29:R60" si="37">(EXP(Q29)-EXP(-Q29))/(EXP(Q29)+EXP(-Q29))</f>
        <v>-0.64354789833668269</v>
      </c>
      <c r="T29" s="46" cm="1">
        <f t="array" ref="T29:T30">O29:O30*L7:L8+(1-O29:O30)*R29:R30</f>
        <v>-0.37606797465641517</v>
      </c>
      <c r="V29" s="11">
        <v>3</v>
      </c>
      <c r="W29" s="1">
        <f>((2/(1+DATA!$I$18))*X29*LN(W23)+((2*DATA!$I$18)/(1+DATA!$I$18))*(1-X29)*LN(1-W23))</f>
        <v>-0.14467816755587695</v>
      </c>
      <c r="X29" s="12">
        <v>1</v>
      </c>
      <c r="AD29" s="11">
        <v>2</v>
      </c>
      <c r="AE29" s="12">
        <f t="shared" si="33"/>
        <v>1.0129844396539756</v>
      </c>
      <c r="AK29" s="44" t="s">
        <v>154</v>
      </c>
      <c r="AL29" s="33"/>
      <c r="AN29" s="34"/>
      <c r="AO29" s="34"/>
      <c r="AP29" s="34"/>
      <c r="AQ29" s="34"/>
      <c r="AR29" s="34"/>
      <c r="AS29" s="34"/>
      <c r="AT29" s="33"/>
      <c r="AU29" s="32" t="s">
        <v>154</v>
      </c>
      <c r="AW29" s="35"/>
      <c r="AX29" s="36"/>
      <c r="AZ29" s="37"/>
      <c r="BB29" s="35"/>
      <c r="BC29" s="36"/>
      <c r="BE29" s="37"/>
      <c r="BG29" s="35"/>
      <c r="BH29" s="36"/>
    </row>
    <row r="30" ht="15.75">
      <c r="C30">
        <f/>
        <v>2.8410055911643446</v>
      </c>
      <c r="D30" s="31">
        <f t="shared" si="34"/>
        <v>0.99320973229730214</v>
      </c>
      <c r="E30" s="31">
        <f/>
        <v>0.60985406573770518</v>
      </c>
      <c r="H30" t="s">
        <v>155</v>
      </c>
      <c r="I30" t="s">
        <v>156</v>
      </c>
      <c r="J30">
        <v>2</v>
      </c>
      <c r="K30">
        <f/>
        <v>0.95656399454206531</v>
      </c>
      <c r="L30" s="31">
        <f t="shared" si="35"/>
        <v>0.72243333244892138</v>
      </c>
      <c r="N30">
        <f/>
        <v>-1.4205455686589383</v>
      </c>
      <c r="O30" s="31">
        <f t="shared" si="36"/>
        <v>0.19457606988500506</v>
      </c>
      <c r="Q30">
        <f/>
        <v>2.7351480896399418</v>
      </c>
      <c r="R30" s="31">
        <f t="shared" si="37"/>
        <v>0.99161532921281192</v>
      </c>
      <c r="T30" s="47">
        <f/>
        <v>0.60856989533920758</v>
      </c>
      <c r="V30" s="27" t="s">
        <v>6</v>
      </c>
      <c r="W30" s="15">
        <f>-1*SUM(W27:W29)/3</f>
        <v>0.25323059005005616</v>
      </c>
      <c r="X30" s="14"/>
      <c r="AD30" s="13">
        <v>3</v>
      </c>
      <c r="AE30" s="14">
        <f t="shared" si="33"/>
        <v>1.0046078348798613</v>
      </c>
      <c r="AJ30" t="s">
        <v>104</v>
      </c>
      <c r="AK30" s="33" t="s">
        <v>105</v>
      </c>
      <c r="AL30" s="33"/>
      <c r="AM30" t="s">
        <v>106</v>
      </c>
      <c r="AN30" s="34" t="s">
        <v>107</v>
      </c>
      <c r="AO30" s="34" t="s">
        <v>108</v>
      </c>
      <c r="AP30" s="34" t="s">
        <v>109</v>
      </c>
      <c r="AQ30" s="34" t="s">
        <v>110</v>
      </c>
      <c r="AR30" s="34" t="s">
        <v>111</v>
      </c>
      <c r="AS30" s="34" t="s">
        <v>112</v>
      </c>
      <c r="AT30" s="33"/>
      <c r="AU30" t="s">
        <v>113</v>
      </c>
      <c r="AW30" s="35" t="s">
        <v>115</v>
      </c>
      <c r="AX30" s="36"/>
      <c r="AY30" t="s">
        <v>117</v>
      </c>
      <c r="AZ30" s="37" t="s">
        <v>118</v>
      </c>
      <c r="BB30" s="35" t="s">
        <v>120</v>
      </c>
      <c r="BC30" s="36"/>
      <c r="BD30" t="s">
        <v>122</v>
      </c>
      <c r="BE30" s="37" t="s">
        <v>123</v>
      </c>
      <c r="BG30" s="35" t="s">
        <v>125</v>
      </c>
      <c r="BH30" s="36"/>
      <c r="BI30" t="s">
        <v>127</v>
      </c>
    </row>
    <row r="31" ht="26.25">
      <c r="C31" s="48" t="s">
        <v>157</v>
      </c>
      <c r="D31" s="48"/>
      <c r="E31" s="48"/>
      <c r="F31" s="48"/>
      <c r="AK31" s="33">
        <v>1</v>
      </c>
      <c r="AL31" s="33"/>
      <c r="AM31">
        <v>1</v>
      </c>
      <c r="AN31" s="34">
        <v>1</v>
      </c>
      <c r="AO31" s="34">
        <v>1</v>
      </c>
      <c r="AP31" s="34">
        <v>1</v>
      </c>
      <c r="AQ31" s="34">
        <v>1</v>
      </c>
      <c r="AR31" s="34">
        <v>1</v>
      </c>
      <c r="AS31" s="34">
        <v>1</v>
      </c>
      <c r="AT31" s="33"/>
      <c r="AU31">
        <v>1</v>
      </c>
      <c r="AV31">
        <v>2</v>
      </c>
      <c r="AW31" s="35">
        <v>1</v>
      </c>
      <c r="AX31" s="36">
        <v>2</v>
      </c>
      <c r="AY31">
        <v>1</v>
      </c>
      <c r="AZ31" s="37">
        <v>1</v>
      </c>
      <c r="BA31">
        <v>2</v>
      </c>
      <c r="BB31" s="35">
        <v>1</v>
      </c>
      <c r="BC31" s="36">
        <v>2</v>
      </c>
      <c r="BD31">
        <v>1</v>
      </c>
      <c r="BE31" s="37">
        <v>1</v>
      </c>
      <c r="BF31">
        <v>2</v>
      </c>
      <c r="BG31" s="35">
        <v>1</v>
      </c>
      <c r="BH31" s="36">
        <v>2</v>
      </c>
      <c r="BI31">
        <v>1</v>
      </c>
      <c r="BL31" s="6" t="s">
        <v>68</v>
      </c>
    </row>
    <row r="32" ht="26.25">
      <c r="K32" s="32" t="s">
        <v>154</v>
      </c>
      <c r="V32" s="2" t="s">
        <v>67</v>
      </c>
      <c r="W32">
        <v>0.10000000000000001</v>
      </c>
      <c r="AJ32">
        <v>1</v>
      </c>
      <c r="AK32" s="40" cm="1">
        <f t="array" ref="AK32:AK33">AI78:AI79+_xlfn.ANCHORARRAY(AS26)</f>
      </c>
      <c r="AL32" s="33"/>
      <c r="AM32" cm="1">
        <f t="array" ref="AM32:AM33">_xlfn.ANCHORARRAY(AK32)*(1-$O$35:$O$36)</f>
      </c>
      <c r="AN32" s="34" cm="1">
        <f t="array" ref="AN32:AN33">_xlfn.ANCHORARRAY(AM32)*(1-$R$35:$R$36*$R$35:$R$36)</f>
      </c>
      <c r="AO32" s="34" cm="1">
        <f t="array" ref="AO32:AO33">_xlfn.ANCHORARRAY(AK32)*(_xlfn.ANCHORARRAY(T29)-$R$35:$R$36)</f>
      </c>
      <c r="AP32" s="34" cm="1">
        <f t="array" ref="AP32:AP33">_xlfn.ANCHORARRAY(AO32)*($O$35:$O$36*(1-$O$35:$O$36))</f>
      </c>
      <c r="AQ32" s="34" cm="1">
        <f t="array" ref="AQ32">MMULT(TRANSPOSE($P$23:$Q$24),_xlfn.ANCHORARRAY(AN32))*_xlfn.ANCHORARRAY(T29)</f>
      </c>
      <c r="AR32" s="34" cm="1">
        <f t="array" ref="AR32:AR33">_xlfn.ANCHORARRAY(AQ32)*($L$35:$L$36*(1-$L$35:$L$36))</f>
      </c>
      <c r="AS32" s="34" cm="1">
        <f t="array" ref="AS32:AS33">_xlfn.ANCHORARRAY(AK32)*$O$35:$O$36+MMULT(TRANSPOSE($P$23:$Q$24),_xlfn.ANCHORARRAY(AN32))*$L$35:$L$36+MMULT(TRANSPOSE($P$18:$Q$19),_xlfn.ANCHORARRAY(AP32))+MMULT(TRANSPOSE($P$13:$Q$14),_xlfn.ANCHORARRAY(AR32))</f>
      </c>
      <c r="AT32" s="33"/>
      <c r="AU32" cm="1">
        <f t="array" ref="AU32">MMULT(_xlfn.ANCHORARRAY(AN32),TRANSPOSE($D$14:$D$15))</f>
      </c>
      <c r="AW32" s="35" cm="1">
        <f t="array" ref="AW32">MMULT(_xlfn.ANCHORARRAY(AN32),TRANSPOSE($L$35:$L$36*_xlfn.ANCHORARRAY(T29)))</f>
      </c>
      <c r="AX32" s="36"/>
      <c r="AY32" cm="1">
        <f t="array" ref="AY32">_xlfn.ANCHORARRAY(AN32)</f>
      </c>
      <c r="AZ32" s="37" cm="1">
        <f t="array" ref="AZ32">MMULT(_xlfn.ANCHORARRAY(AP32),TRANSPOSE($D$14:$D$15))</f>
      </c>
      <c r="BB32" s="35" cm="1">
        <f t="array" ref="BB32">MMULT(_xlfn.ANCHORARRAY(AP32),TRANSPOSE(_xlfn.ANCHORARRAY(T29)))</f>
      </c>
      <c r="BC32" s="36"/>
      <c r="BD32" cm="1">
        <f t="array" ref="BD32">_xlfn.ANCHORARRAY(AP32)</f>
      </c>
      <c r="BE32" s="37" cm="1">
        <f t="array" ref="BE32">MMULT(_xlfn.ANCHORARRAY(AR32),TRANSPOSE($D$14:$D$15))</f>
      </c>
      <c r="BG32" s="35" cm="1">
        <f t="array" ref="BG32">MMULT(_xlfn.ANCHORARRAY(AR32),TRANSPOSE(_xlfn.ANCHORARRAY(T29)))</f>
      </c>
      <c r="BH32" s="36"/>
      <c r="BI32" cm="1">
        <f t="array" ref="BI32">_xlfn.ANCHORARRAY(AR32)</f>
      </c>
      <c r="BL32" s="6" t="s">
        <v>21</v>
      </c>
      <c r="BT32">
        <v>0</v>
      </c>
      <c r="BU32">
        <v>0</v>
      </c>
      <c r="BV32">
        <v>0</v>
      </c>
    </row>
    <row r="33">
      <c r="C33" t="s">
        <v>145</v>
      </c>
      <c r="D33" s="29" t="s">
        <v>146</v>
      </c>
      <c r="E33" s="29" t="s">
        <v>147</v>
      </c>
      <c r="K33" t="s">
        <v>148</v>
      </c>
      <c r="L33" s="29" t="s">
        <v>150</v>
      </c>
      <c r="N33" t="s">
        <v>151</v>
      </c>
      <c r="O33" s="29" t="s">
        <v>150</v>
      </c>
      <c r="Q33" t="s">
        <v>145</v>
      </c>
      <c r="R33" s="29" t="s">
        <v>146</v>
      </c>
      <c r="T33" s="29" t="s">
        <v>147</v>
      </c>
      <c r="AE33" t="s">
        <v>69</v>
      </c>
      <c r="AJ33">
        <v>2</v>
      </c>
      <c r="AK33" s="41">
        <f/>
      </c>
      <c r="AL33" s="33"/>
      <c r="AM33">
        <f/>
      </c>
      <c r="AN33" s="34">
        <f/>
      </c>
      <c r="AO33" s="34">
        <f/>
      </c>
      <c r="AP33" s="34">
        <f/>
      </c>
      <c r="AQ33" s="34"/>
      <c r="AR33" s="34">
        <f/>
      </c>
      <c r="AS33" s="34">
        <f/>
      </c>
      <c r="AT33" s="33"/>
      <c r="AW33" s="35"/>
      <c r="AX33" s="36"/>
      <c r="AZ33" s="37"/>
      <c r="BB33" s="35"/>
      <c r="BC33" s="36"/>
      <c r="BE33" s="37"/>
      <c r="BG33" s="35"/>
      <c r="BH33" s="36"/>
      <c r="BL33" t="s">
        <v>43</v>
      </c>
      <c r="BM33" t="s">
        <v>83</v>
      </c>
      <c r="BT33">
        <v>0</v>
      </c>
      <c r="BU33" s="29" cm="1">
        <f t="array" ref="BU33:BU38">FRONTEND!$B$26:$B$31</f>
        <v>0.36548104119790437</v>
      </c>
      <c r="BV33">
        <v>0</v>
      </c>
    </row>
    <row r="34">
      <c r="C34">
        <v>1</v>
      </c>
      <c r="D34" s="30">
        <v>1</v>
      </c>
      <c r="E34" s="30">
        <v>1</v>
      </c>
      <c r="K34">
        <v>1</v>
      </c>
      <c r="L34" s="30">
        <v>1</v>
      </c>
      <c r="N34">
        <v>1</v>
      </c>
      <c r="O34" s="30">
        <v>1</v>
      </c>
      <c r="Q34">
        <v>1</v>
      </c>
      <c r="R34" s="30">
        <v>1</v>
      </c>
      <c r="T34" s="30">
        <v>1</v>
      </c>
      <c r="AE34">
        <v>1</v>
      </c>
      <c r="AF34" t="s">
        <v>72</v>
      </c>
      <c r="AK34" s="33"/>
      <c r="AL34" s="33"/>
      <c r="AN34" s="34"/>
      <c r="AO34" s="34"/>
      <c r="AP34" s="34"/>
      <c r="AQ34" s="34"/>
      <c r="AR34" s="34"/>
      <c r="AS34" s="34"/>
      <c r="AT34" s="33"/>
      <c r="AW34" s="35"/>
      <c r="AX34" s="36"/>
      <c r="AZ34" s="37"/>
      <c r="BB34" s="35"/>
      <c r="BC34" s="36"/>
      <c r="BE34" s="37"/>
      <c r="BG34" s="35"/>
      <c r="BH34" s="36"/>
      <c r="BL34">
        <v>1</v>
      </c>
      <c r="BT34">
        <v>0</v>
      </c>
      <c r="BU34" s="30">
        <f/>
        <v>-0.24318936518565337</v>
      </c>
      <c r="BV34">
        <v>0</v>
      </c>
    </row>
    <row r="35" ht="21">
      <c r="C35" cm="1">
        <f t="array" ref="C35:C36">MMULT($L$23:$M$24,$D$14:$D$15)+$L$35:$L$36*MMULT($P$23:$Q$24,_xlfn.ANCHORARRAY(T29))+$T$23:$T$24</f>
        <v>-0.68750817528933572</v>
      </c>
      <c r="D35" s="30">
        <f t="shared" si="34"/>
        <v>-0.59637882310790036</v>
      </c>
      <c r="E35" s="30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30">
        <f t="shared" si="35"/>
        <v>0.90350694377073815</v>
      </c>
      <c r="N35" cm="1">
        <f t="array" ref="N35:N36">MMULT($L$18:$M$19,$D$14:$D$15)+MMULT($P$18:$Q$19,_xlfn.ANCHORARRAY(T29))+$T$18:$T$19</f>
        <v>0.14531520674442189</v>
      </c>
      <c r="O35" s="30">
        <f t="shared" si="36"/>
        <v>0.53626500826889301</v>
      </c>
      <c r="Q35" cm="1">
        <f t="array" ref="Q35:Q36">MMULT($L$23:$M$24,$D$14:$D$15)+MMULT($P$23:$Q$24,$L$35:$L$36*_xlfn.ANCHORARRAY(T29))+$T$23:$T$24</f>
        <v>-0.76339244167171327</v>
      </c>
      <c r="R35" s="30">
        <f t="shared" si="37"/>
        <v>-0.64307083434120649</v>
      </c>
      <c r="T35" s="46" cm="1">
        <f t="array" ref="T35:T36">O35:O36*_xlfn.ANCHORARRAY(T29)+(1-O35:O36)*R35:R36</f>
        <v>-0.49988654358452378</v>
      </c>
      <c r="AD35">
        <v>1</v>
      </c>
      <c r="AE35" s="19" cm="1">
        <f t="array" ref="AE35">SUM(MMULT(TRANSPOSE($AE$14:$AE$16),TRANSPOSE(Z7:AB7)))</f>
        <v>0.11826826016897535</v>
      </c>
      <c r="AK35" s="44" t="s">
        <v>135</v>
      </c>
      <c r="AL35" s="33"/>
      <c r="AN35" s="34"/>
      <c r="AO35" s="34"/>
      <c r="AP35" s="34"/>
      <c r="AQ35" s="34"/>
      <c r="AR35" s="34"/>
      <c r="AS35" s="34"/>
      <c r="AT35" s="33"/>
      <c r="AU35" s="32" t="s">
        <v>135</v>
      </c>
      <c r="AW35" s="35"/>
      <c r="AX35" s="36"/>
      <c r="AZ35" s="37"/>
      <c r="BB35" s="35"/>
      <c r="BC35" s="36"/>
      <c r="BE35" s="37"/>
      <c r="BG35" s="35"/>
      <c r="BH35" s="36"/>
      <c r="BK35">
        <v>1</v>
      </c>
      <c r="BL35" s="23">
        <f t="shared" ref="BL35:BL40" si="38">AV56*IF(AV56&gt;0,1,0)</f>
        <v>0</v>
      </c>
      <c r="BT35">
        <v>0</v>
      </c>
      <c r="BU35" s="30">
        <f/>
        <v>0.086633902217030781</v>
      </c>
      <c r="BV35">
        <v>0</v>
      </c>
    </row>
    <row r="36" ht="15.75">
      <c r="C36">
        <f/>
        <v>3.2913092036921299</v>
      </c>
      <c r="D36" s="31">
        <f t="shared" si="34"/>
        <v>0.99723538664649158</v>
      </c>
      <c r="E36" s="31">
        <f/>
        <v>0.94865179409766454</v>
      </c>
      <c r="J36">
        <v>2</v>
      </c>
      <c r="K36">
        <f/>
        <v>1.0213249336317674</v>
      </c>
      <c r="L36" s="31">
        <f t="shared" si="35"/>
        <v>0.73523060011717456</v>
      </c>
      <c r="N36">
        <f/>
        <v>-1.9459005952748172</v>
      </c>
      <c r="O36" s="31">
        <f t="shared" si="36"/>
        <v>0.12500104494848546</v>
      </c>
      <c r="Q36">
        <f/>
        <v>3.3233938589685037</v>
      </c>
      <c r="R36" s="31">
        <f t="shared" si="37"/>
        <v>0.99740699509556952</v>
      </c>
      <c r="T36" s="47">
        <f/>
        <v>0.94880195131128564</v>
      </c>
      <c r="AD36">
        <v>2</v>
      </c>
      <c r="AE36" s="19" cm="1">
        <f t="array" ref="AE36">SUM(MMULT(TRANSPOSE($AE$14:$AE$16),TRANSPOSE(Z8:AB8)))</f>
        <v>-0.073659715442773208</v>
      </c>
      <c r="AJ36" t="s">
        <v>104</v>
      </c>
      <c r="AK36" s="33" t="s">
        <v>105</v>
      </c>
      <c r="AL36" s="33"/>
      <c r="AM36" t="s">
        <v>106</v>
      </c>
      <c r="AN36" s="34" t="s">
        <v>107</v>
      </c>
      <c r="AO36" s="34" t="s">
        <v>108</v>
      </c>
      <c r="AP36" s="34" t="s">
        <v>109</v>
      </c>
      <c r="AQ36" s="34" t="s">
        <v>110</v>
      </c>
      <c r="AR36" s="34" t="s">
        <v>111</v>
      </c>
      <c r="AS36" s="49" t="s">
        <v>112</v>
      </c>
      <c r="AT36" s="33"/>
      <c r="AU36" t="s">
        <v>113</v>
      </c>
      <c r="AW36" s="35" t="s">
        <v>115</v>
      </c>
      <c r="AX36" s="36"/>
      <c r="AY36" t="s">
        <v>117</v>
      </c>
      <c r="AZ36" s="37" t="s">
        <v>118</v>
      </c>
      <c r="BB36" s="35" t="s">
        <v>120</v>
      </c>
      <c r="BC36" s="36"/>
      <c r="BD36" t="s">
        <v>122</v>
      </c>
      <c r="BE36" s="37" t="s">
        <v>123</v>
      </c>
      <c r="BG36" s="35" t="s">
        <v>125</v>
      </c>
      <c r="BH36" s="36"/>
      <c r="BI36" t="s">
        <v>127</v>
      </c>
      <c r="BK36">
        <v>2</v>
      </c>
      <c r="BL36" s="23">
        <f t="shared" si="38"/>
        <v>0</v>
      </c>
      <c r="BT36">
        <v>0</v>
      </c>
      <c r="BU36" s="30">
        <f/>
        <v>-0.84368679885201792</v>
      </c>
      <c r="BV36">
        <v>0</v>
      </c>
    </row>
    <row r="37">
      <c r="AD37">
        <v>3</v>
      </c>
      <c r="AE37" s="23" cm="1">
        <f t="array" ref="AE37">SUM(MMULT(TRANSPOSE($AE$14:$AE$16),TRANSPOSE(Z9:AB9)))</f>
        <v>-0.056711321293403137</v>
      </c>
      <c r="AK37" s="33">
        <v>1</v>
      </c>
      <c r="AL37" s="33"/>
      <c r="AM37">
        <v>1</v>
      </c>
      <c r="AN37" s="34">
        <v>1</v>
      </c>
      <c r="AO37" s="34">
        <v>1</v>
      </c>
      <c r="AP37" s="34">
        <v>1</v>
      </c>
      <c r="AQ37" s="34">
        <v>1</v>
      </c>
      <c r="AR37" s="34">
        <v>1</v>
      </c>
      <c r="AS37" s="49">
        <v>1</v>
      </c>
      <c r="AT37" s="33"/>
      <c r="AU37">
        <v>1</v>
      </c>
      <c r="AV37">
        <v>2</v>
      </c>
      <c r="AW37" s="35">
        <v>1</v>
      </c>
      <c r="AX37" s="36">
        <v>2</v>
      </c>
      <c r="AY37">
        <v>1</v>
      </c>
      <c r="AZ37" s="37">
        <v>1</v>
      </c>
      <c r="BA37">
        <v>2</v>
      </c>
      <c r="BB37" s="35">
        <v>1</v>
      </c>
      <c r="BC37" s="36">
        <v>2</v>
      </c>
      <c r="BD37">
        <v>1</v>
      </c>
      <c r="BE37" s="37">
        <v>1</v>
      </c>
      <c r="BF37">
        <v>2</v>
      </c>
      <c r="BG37" s="35">
        <v>1</v>
      </c>
      <c r="BH37" s="36">
        <v>2</v>
      </c>
      <c r="BI37">
        <v>1</v>
      </c>
      <c r="BK37">
        <v>3</v>
      </c>
      <c r="BL37" s="23">
        <f t="shared" si="38"/>
        <v>0</v>
      </c>
      <c r="BT37">
        <v>0</v>
      </c>
      <c r="BU37" s="30">
        <f/>
        <v>0.17422066566536737</v>
      </c>
      <c r="BV37">
        <v>0</v>
      </c>
    </row>
    <row r="38" ht="21">
      <c r="K38" s="32" t="s">
        <v>143</v>
      </c>
      <c r="AD38">
        <v>4</v>
      </c>
      <c r="AE38" s="23" cm="1">
        <f t="array" ref="AE38">SUM(MMULT(TRANSPOSE($AE$14:$AE$16),TRANSPOSE(Z10:AB10)))</f>
        <v>0.0074376294417614324</v>
      </c>
      <c r="AJ38">
        <v>1</v>
      </c>
      <c r="AK38" s="40" cm="1">
        <f t="array" ref="AK38:AK39">AJ78:AJ79+_xlfn.ANCHORARRAY(AS32)</f>
      </c>
      <c r="AL38" s="33"/>
      <c r="AM38" cm="1">
        <f t="array" ref="AM38:AM39">_xlfn.ANCHORARRAY(AK38)*(1-$O$29:$O$30)</f>
      </c>
      <c r="AN38" s="34" cm="1">
        <f t="array" ref="AN38:AN39">_xlfn.ANCHORARRAY(AM38)*(1-$R$29:$R$30*$R$29:$R$30)</f>
      </c>
      <c r="AO38" s="34" cm="1">
        <f t="array" ref="AO38:AO39">_xlfn.ANCHORARRAY(AK38)*(L7:L8-$R$29:$R$30)</f>
      </c>
      <c r="AP38" s="34" cm="1">
        <f t="array" ref="AP38:AP39">_xlfn.ANCHORARRAY(AO38)*($O$29:$O$30*(1-$O$29:$O$30))</f>
      </c>
      <c r="AQ38" s="34" cm="1">
        <f t="array" ref="AQ38:AQ39">MMULT(TRANSPOSE($P$23:$Q$24),_xlfn.ANCHORARRAY(AN38))*$L$7:$L$8</f>
      </c>
      <c r="AR38" s="34" cm="1">
        <f t="array" ref="AR38:AR39">_xlfn.ANCHORARRAY(AQ38)*($L$29:$L$30*(1-$L$29:$L$30))</f>
      </c>
      <c r="AS38" s="49" cm="1">
        <f t="array" ref="AS38:AS39">_xlfn.ANCHORARRAY(AK38)*$O$29:$O$30+MMULT(TRANSPOSE($P$23:$Q$24),_xlfn.ANCHORARRAY(AN38))*$L$29:$L$30+MMULT(TRANSPOSE($P$18:$Q$19),_xlfn.ANCHORARRAY(AP38))+MMULT(TRANSPOSE($P$13:$Q$14),_xlfn.ANCHORARRAY(AR38))</f>
      </c>
      <c r="AT38" s="33"/>
      <c r="AU38" cm="1">
        <f t="array" ref="AU38">MMULT(_xlfn.ANCHORARRAY(AN38),TRANSPOSE($C$14:$C$15))</f>
      </c>
      <c r="AW38" s="35" cm="1">
        <f t="array" ref="AW38">MMULT(_xlfn.ANCHORARRAY(AN38),TRANSPOSE($L$29:$L$30*L7:L8))</f>
      </c>
      <c r="AX38" s="36"/>
      <c r="AY38" cm="1">
        <f t="array" ref="AY38">_xlfn.ANCHORARRAY(AN38)</f>
      </c>
      <c r="AZ38" s="37" cm="1">
        <f t="array" ref="AZ38">MMULT(_xlfn.ANCHORARRAY(AP38),TRANSPOSE($C$14:$C$15))</f>
      </c>
      <c r="BB38" s="35" cm="1">
        <f t="array" ref="BB38">MMULT(_xlfn.ANCHORARRAY(AP38),TRANSPOSE(L7:L8))</f>
      </c>
      <c r="BC38" s="36"/>
      <c r="BD38" cm="1">
        <f t="array" ref="BD38">_xlfn.ANCHORARRAY(AP38)</f>
      </c>
      <c r="BE38" s="37" cm="1">
        <f t="array" ref="BE38">MMULT(_xlfn.ANCHORARRAY(AR38),TRANSPOSE($C$14:$C$15))</f>
      </c>
      <c r="BG38" s="35" cm="1">
        <f t="array" ref="BG38">MMULT(_xlfn.ANCHORARRAY(AR38),TRANSPOSE(L7:L8))</f>
      </c>
      <c r="BH38" s="36"/>
      <c r="BI38" cm="1">
        <f t="array" ref="BI38">_xlfn.ANCHORARRAY(AR38)</f>
      </c>
      <c r="BK38">
        <v>4</v>
      </c>
      <c r="BL38" s="23">
        <f t="shared" si="38"/>
        <v>0</v>
      </c>
      <c r="BT38">
        <v>0</v>
      </c>
      <c r="BU38" s="31">
        <f/>
        <v>0.46054055495736873</v>
      </c>
      <c r="BV38">
        <v>0</v>
      </c>
    </row>
    <row r="39">
      <c r="C39" t="s">
        <v>145</v>
      </c>
      <c r="D39" s="29" t="s">
        <v>146</v>
      </c>
      <c r="E39" s="29" t="s">
        <v>147</v>
      </c>
      <c r="K39" t="s">
        <v>148</v>
      </c>
      <c r="L39" s="29" t="s">
        <v>150</v>
      </c>
      <c r="N39" t="s">
        <v>151</v>
      </c>
      <c r="O39" s="29" t="s">
        <v>150</v>
      </c>
      <c r="Q39" t="s">
        <v>145</v>
      </c>
      <c r="R39" s="29" t="s">
        <v>146</v>
      </c>
      <c r="T39" s="29" t="s">
        <v>147</v>
      </c>
      <c r="AJ39">
        <v>2</v>
      </c>
      <c r="AK39" s="41">
        <f/>
      </c>
      <c r="AL39" s="33"/>
      <c r="AM39">
        <f/>
      </c>
      <c r="AN39" s="34">
        <f/>
      </c>
      <c r="AO39" s="34">
        <f/>
      </c>
      <c r="AP39" s="34">
        <f/>
      </c>
      <c r="AQ39" s="34">
        <f/>
      </c>
      <c r="AR39" s="34">
        <f/>
      </c>
      <c r="AS39" s="49">
        <f/>
      </c>
      <c r="AT39" s="33"/>
      <c r="AW39" s="35"/>
      <c r="AX39" s="36"/>
      <c r="AZ39" s="37"/>
      <c r="BB39" s="35"/>
      <c r="BC39" s="36"/>
      <c r="BE39" s="37"/>
      <c r="BG39" s="35"/>
      <c r="BH39" s="36"/>
      <c r="BK39">
        <v>5</v>
      </c>
      <c r="BL39" s="23">
        <f t="shared" si="38"/>
        <v>0</v>
      </c>
      <c r="BT39">
        <v>0</v>
      </c>
      <c r="BU39">
        <v>0</v>
      </c>
      <c r="BV39">
        <v>0</v>
      </c>
    </row>
    <row r="40">
      <c r="C40">
        <v>1</v>
      </c>
      <c r="D40" s="30">
        <v>1</v>
      </c>
      <c r="E40" s="30">
        <v>1</v>
      </c>
      <c r="K40">
        <v>1</v>
      </c>
      <c r="L40" s="30">
        <v>1</v>
      </c>
      <c r="N40">
        <v>1</v>
      </c>
      <c r="O40" s="30">
        <v>1</v>
      </c>
      <c r="Q40">
        <v>1</v>
      </c>
      <c r="R40" s="30">
        <v>1</v>
      </c>
      <c r="T40" s="30">
        <v>1</v>
      </c>
      <c r="AC40" t="s">
        <v>77</v>
      </c>
      <c r="AD40" s="19" t="s">
        <v>33</v>
      </c>
      <c r="AG40" s="2" t="s">
        <v>25</v>
      </c>
      <c r="BK40">
        <v>6</v>
      </c>
      <c r="BL40" s="23">
        <f t="shared" si="38"/>
        <v>0</v>
      </c>
    </row>
    <row r="41" ht="15.75">
      <c r="C41" cm="1">
        <f t="array" ref="C41:C42">MMULT($L$23:$M$24,$E$14:$E$15)+$L$41:$L$42*MMULT($P$23:$Q$24,_xlfn.ANCHORARRAY(T35))+$T$23:$T$24</f>
        <v>0.24947847555291641</v>
      </c>
      <c r="D41" s="30">
        <f t="shared" si="34"/>
        <v>0.24442835909692123</v>
      </c>
      <c r="E41" s="30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30">
        <f t="shared" si="35"/>
        <v>0.8818586018035709</v>
      </c>
      <c r="N41" cm="1">
        <f t="array" ref="N41:N42">MMULT($L$18:$M$19,$E$14:$E$15)+MMULT($P$18:$Q$19,_xlfn.ANCHORARRAY(T35))+$T$18:$T$19</f>
        <v>0.69227177914679672</v>
      </c>
      <c r="O41" s="30">
        <f t="shared" si="36"/>
        <v>0.66647210464508044</v>
      </c>
      <c r="Q41" cm="1">
        <f t="array" ref="Q41:Q42">MMULT($L$23:$M$24,$E$14:$E$15)+MMULT($P$23:$Q$24,$L$41:$L$42*_xlfn.ANCHORARRAY(T35))+$T$23:$T$24</f>
        <v>0.25794025714278734</v>
      </c>
      <c r="R41" s="30">
        <f t="shared" si="37"/>
        <v>0.2523679786547508</v>
      </c>
      <c r="T41" s="46" cm="1">
        <f t="array" ref="T41:T42">O41:O42*_xlfn.ANCHORARRAY(T35)+(1-O41:O42)*R41:R42</f>
        <v>-0.24898867601083799</v>
      </c>
      <c r="AD41">
        <v>1</v>
      </c>
      <c r="AE41" s="2" t="s">
        <v>75</v>
      </c>
      <c r="AG41">
        <v>1</v>
      </c>
      <c r="AH41">
        <v>2</v>
      </c>
      <c r="AU41" t="s">
        <v>158</v>
      </c>
      <c r="AY41" t="s">
        <v>99</v>
      </c>
      <c r="BD41" t="s">
        <v>100</v>
      </c>
      <c r="BI41" t="s">
        <v>101</v>
      </c>
    </row>
    <row r="42" ht="15.75">
      <c r="C42">
        <f/>
        <v>4.6158058387275904</v>
      </c>
      <c r="D42" s="31">
        <f t="shared" si="34"/>
        <v>0.99980422849848938</v>
      </c>
      <c r="E42" s="31">
        <f/>
        <v>0.997452552931271</v>
      </c>
      <c r="J42">
        <v>2</v>
      </c>
      <c r="K42">
        <f/>
        <v>2.1311508174523484</v>
      </c>
      <c r="L42" s="31">
        <f t="shared" si="35"/>
        <v>0.8938942098012358</v>
      </c>
      <c r="N42">
        <f/>
        <v>-3.0295360934309912</v>
      </c>
      <c r="O42" s="31">
        <f t="shared" si="36"/>
        <v>0.046109226821119835</v>
      </c>
      <c r="Q42">
        <f/>
        <v>4.6127555044172714</v>
      </c>
      <c r="R42" s="31">
        <f t="shared" si="37"/>
        <v>0.99980303062886977</v>
      </c>
      <c r="T42" s="47">
        <f/>
        <v>0.99745141029449336</v>
      </c>
      <c r="AC42">
        <v>1</v>
      </c>
      <c r="AD42">
        <f t="shared" ref="AD42:AD43" si="39">AE35</f>
        <v>0.11826826016897535</v>
      </c>
      <c r="AE42">
        <f>MATCH(MAX(K65:K70),K65:K70,0)</f>
        <v>4</v>
      </c>
      <c r="AF42">
        <v>1</v>
      </c>
      <c r="AG42">
        <f t="shared" ref="AG42:AG47" si="40">IF(AF42=$AE$42,$AD$42,0)</f>
        <v>0</v>
      </c>
      <c r="AH42">
        <f t="shared" ref="AH42:AH47" si="41">IF(AF42=$AE$43,$AD$43,0)</f>
        <v>0</v>
      </c>
      <c r="AT42" s="7"/>
      <c r="AU42" s="8" t="s">
        <v>113</v>
      </c>
      <c r="AV42" s="9" t="s">
        <v>114</v>
      </c>
      <c r="AW42" s="7" t="s">
        <v>115</v>
      </c>
      <c r="AX42" s="9" t="s">
        <v>116</v>
      </c>
      <c r="AY42" s="29" t="s">
        <v>117</v>
      </c>
      <c r="AZ42" s="7" t="s">
        <v>118</v>
      </c>
      <c r="BA42" s="9" t="s">
        <v>119</v>
      </c>
      <c r="BB42" s="7" t="s">
        <v>120</v>
      </c>
      <c r="BC42" s="9" t="s">
        <v>121</v>
      </c>
      <c r="BD42" s="29" t="s">
        <v>122</v>
      </c>
      <c r="BE42" s="7" t="s">
        <v>123</v>
      </c>
      <c r="BF42" s="9" t="s">
        <v>124</v>
      </c>
      <c r="BG42" s="7" t="s">
        <v>125</v>
      </c>
      <c r="BH42" s="9" t="s">
        <v>126</v>
      </c>
      <c r="BI42" s="29" t="s">
        <v>127</v>
      </c>
      <c r="BK42" s="7"/>
      <c r="BL42" s="10" t="s">
        <v>22</v>
      </c>
      <c r="BM42" t="s">
        <v>84</v>
      </c>
      <c r="BN42" s="7"/>
      <c r="BO42" s="10" t="s">
        <v>23</v>
      </c>
      <c r="BP42" t="s">
        <v>85</v>
      </c>
    </row>
    <row r="43">
      <c r="AC43">
        <v>2</v>
      </c>
      <c r="AD43">
        <f t="shared" si="39"/>
        <v>-0.073659715442773208</v>
      </c>
      <c r="AE43">
        <f>MATCH(MAX(L65:L70),L65:L70,0)</f>
        <v>6</v>
      </c>
      <c r="AF43">
        <v>2</v>
      </c>
      <c r="AG43">
        <f t="shared" si="40"/>
        <v>0</v>
      </c>
      <c r="AH43">
        <f t="shared" si="41"/>
        <v>0</v>
      </c>
      <c r="AT43" s="11"/>
      <c r="AU43">
        <v>1</v>
      </c>
      <c r="AV43" s="12">
        <v>2</v>
      </c>
      <c r="AW43" s="11">
        <v>1</v>
      </c>
      <c r="AX43" s="12">
        <v>2</v>
      </c>
      <c r="AY43" s="30">
        <v>1</v>
      </c>
      <c r="AZ43" s="11">
        <v>1</v>
      </c>
      <c r="BA43" s="12">
        <v>2</v>
      </c>
      <c r="BB43" s="11">
        <v>1</v>
      </c>
      <c r="BC43" s="12">
        <v>2</v>
      </c>
      <c r="BD43" s="30">
        <v>1</v>
      </c>
      <c r="BE43" s="11">
        <v>1</v>
      </c>
      <c r="BF43" s="12">
        <v>2</v>
      </c>
      <c r="BG43" s="11">
        <v>1</v>
      </c>
      <c r="BH43" s="12">
        <v>2</v>
      </c>
      <c r="BI43" s="30">
        <v>1</v>
      </c>
      <c r="BK43" s="11"/>
      <c r="BL43" s="12">
        <v>1</v>
      </c>
      <c r="BN43" s="11"/>
      <c r="BO43" s="12">
        <v>1</v>
      </c>
    </row>
    <row r="44" ht="21">
      <c r="K44" s="32" t="s">
        <v>139</v>
      </c>
      <c r="AF44">
        <v>3</v>
      </c>
      <c r="AG44">
        <f t="shared" si="40"/>
        <v>0</v>
      </c>
      <c r="AH44">
        <f t="shared" si="41"/>
        <v>0</v>
      </c>
      <c r="AT44" s="11">
        <v>1</v>
      </c>
      <c r="AU44" t="e">
        <f t="shared" ref="AU44:AU45" si="42">L23-$W$32*SUM(AU8,AU14,AU20,AU26,AU32,AU38)</f>
        <v>#NUM!</v>
      </c>
      <c r="AV44" s="12">
        <f t="shared" ref="AV44:AV45" si="43">M23-$W$32*SUM(AV8,AV14,AV20,AV26,AV32,AV38)</f>
        <v>0.89100000000000001</v>
      </c>
      <c r="AW44" s="11" t="e">
        <f t="shared" ref="AW44:AW45" si="44">P23-$W$32*SUM(AW8,AW14,AW20,AW26,AW32,AW38)</f>
        <v>#NUM!</v>
      </c>
      <c r="AX44" s="12">
        <f t="shared" ref="AX44:AX45" si="45">Q23-$W$32*SUM(AX8,AX14,AX20,AX26,AX32,AX38)</f>
        <v>0.74099999999999999</v>
      </c>
      <c r="AY44" s="30" t="e">
        <f t="shared" ref="AY44:AY45" si="46">T23-$W$32*SUM(AY8,AY14,AY20,AY26,AY32,AY38)</f>
        <v>#NUM!</v>
      </c>
      <c r="AZ44" s="11" t="e">
        <f t="shared" ref="AZ44:AZ45" si="47">L18-$W$32*SUM(AZ8,AZ14,AZ20,AZ26,AZ32,AZ38)</f>
        <v>#NUM!</v>
      </c>
      <c r="BA44" s="12">
        <f t="shared" ref="BA44:BA45" si="48">M18-$W$32*SUM(BA8,BA14,BA20,BA26,BA32,BA38)</f>
        <v>0.248</v>
      </c>
      <c r="BB44" s="11" t="e">
        <f t="shared" ref="BB44:BB45" si="49">P18-$W$32*SUM(BB8,BB14,BB20,BB26,BB32,BB38)</f>
        <v>#NUM!</v>
      </c>
      <c r="BC44" s="12">
        <f t="shared" ref="BC44:BC45" si="50">Q18-$W$32*SUM(BC8,BC14,BC20,BC26,BC32,BC38)</f>
        <v>0.997</v>
      </c>
      <c r="BD44" s="30" t="e">
        <f t="shared" ref="BD44:BD45" si="51">T18-$W$32*SUM(BD8,BD14,BD20,BD26,BD32,BD38)</f>
        <v>#NUM!</v>
      </c>
      <c r="BE44" s="11" t="e">
        <f>L13-W32*SUM(BE8,BE14,BE20,BE26,BE32,BE38)</f>
        <v>#NUM!</v>
      </c>
      <c r="BF44" s="12">
        <f>M13-X32*SUM(BF8,BF14,BF20,BF26,BF32,BF38)</f>
        <v>-0.13900000000000001</v>
      </c>
      <c r="BG44" s="11" t="e">
        <f t="shared" ref="BG44:BG45" si="52">P13-$W$32*SUM(BG8,BG14,BG20,BG26,BG32,BG38)</f>
        <v>#NUM!</v>
      </c>
      <c r="BH44" s="12">
        <f t="shared" ref="BH44:BH45" si="53">Q13-$W$32*SUM(BH8,BH14,BH20,BH26,BH32,BH38)</f>
        <v>-0.872</v>
      </c>
      <c r="BI44" s="30" t="e">
        <f t="shared" ref="BI44:BI45" si="54">T13-$W$32*SUM(BI8,BI14,BI20,BI26,BI32,BI38)</f>
        <v>#NUM!</v>
      </c>
      <c r="BK44" s="11">
        <v>1</v>
      </c>
      <c r="BL44" s="12" cm="1">
        <f t="array" ref="BL44">FRONTEND!T7-$W32*SUM($BL$35:$BL$40*BU32:BU37)</f>
        <v>0.122</v>
      </c>
      <c r="BN44" s="13">
        <v>1</v>
      </c>
      <c r="BO44" s="14">
        <f>FRONTEND!$W$7-$W$32*SUM(AV56:AV61)</f>
        <v>1</v>
      </c>
    </row>
    <row r="45" ht="15.75">
      <c r="C45" t="s">
        <v>145</v>
      </c>
      <c r="D45" s="29" t="s">
        <v>146</v>
      </c>
      <c r="E45" s="29" t="s">
        <v>147</v>
      </c>
      <c r="K45" t="s">
        <v>148</v>
      </c>
      <c r="L45" s="29" t="s">
        <v>150</v>
      </c>
      <c r="N45" t="s">
        <v>151</v>
      </c>
      <c r="O45" s="29" t="s">
        <v>150</v>
      </c>
      <c r="Q45" t="s">
        <v>145</v>
      </c>
      <c r="R45" s="29" t="s">
        <v>146</v>
      </c>
      <c r="T45" s="29" t="s">
        <v>147</v>
      </c>
      <c r="AF45">
        <v>4</v>
      </c>
      <c r="AG45">
        <f t="shared" si="40"/>
        <v>0.11826826016897535</v>
      </c>
      <c r="AH45">
        <f t="shared" si="41"/>
        <v>0</v>
      </c>
      <c r="AT45" s="13">
        <v>2</v>
      </c>
      <c r="AU45" s="15">
        <f t="shared" si="42"/>
        <v>0.67200000000000004</v>
      </c>
      <c r="AV45" s="14">
        <f t="shared" si="43"/>
        <v>0.74099999999999999</v>
      </c>
      <c r="AW45" s="13">
        <f t="shared" si="44"/>
        <v>-0.50700000000000001</v>
      </c>
      <c r="AX45" s="14">
        <f t="shared" si="45"/>
        <v>0.89100000000000001</v>
      </c>
      <c r="AY45" s="31">
        <f t="shared" si="46"/>
        <v>0</v>
      </c>
      <c r="AZ45" s="13">
        <f t="shared" si="47"/>
        <v>-0.253</v>
      </c>
      <c r="BA45" s="14">
        <f t="shared" si="48"/>
        <v>-0.872</v>
      </c>
      <c r="BB45" s="13">
        <f t="shared" si="49"/>
        <v>0.878</v>
      </c>
      <c r="BC45" s="14">
        <f t="shared" si="50"/>
        <v>-0.13900000000000001</v>
      </c>
      <c r="BD45" s="31">
        <f t="shared" si="51"/>
        <v>0</v>
      </c>
      <c r="BE45" s="13">
        <f t="shared" ref="BE44:BF45" si="55">L14-W40*SUM(BE9,BE15,BE21,BE27,BE33,BE39)</f>
        <v>-0.012999999999999999</v>
      </c>
      <c r="BF45" s="14">
        <f t="shared" si="55"/>
        <v>0.997</v>
      </c>
      <c r="BG45" s="13">
        <f t="shared" si="52"/>
        <v>-0.21199999999999999</v>
      </c>
      <c r="BH45" s="14">
        <f t="shared" si="53"/>
        <v>0.248</v>
      </c>
      <c r="BI45" s="31">
        <f t="shared" si="54"/>
        <v>0</v>
      </c>
      <c r="BK45" s="11">
        <v>2</v>
      </c>
      <c r="BL45" s="12" cm="1">
        <f t="array" ref="BL45">FRONTEND!T8-$W40*SUM($BL$35:$BL$40*BU33:BU38)</f>
        <v>0.51600000000000001</v>
      </c>
    </row>
    <row r="46" ht="15.75">
      <c r="C46">
        <v>1</v>
      </c>
      <c r="D46" s="30">
        <v>1</v>
      </c>
      <c r="E46" s="30">
        <v>1</v>
      </c>
      <c r="K46">
        <v>1</v>
      </c>
      <c r="L46" s="30">
        <v>1</v>
      </c>
      <c r="N46">
        <v>1</v>
      </c>
      <c r="O46" s="30">
        <v>1</v>
      </c>
      <c r="Q46">
        <v>1</v>
      </c>
      <c r="R46" s="30">
        <v>1</v>
      </c>
      <c r="T46" s="30">
        <v>1</v>
      </c>
      <c r="AF46">
        <v>5</v>
      </c>
      <c r="AG46">
        <f t="shared" si="40"/>
        <v>0</v>
      </c>
      <c r="AH46">
        <f t="shared" si="41"/>
        <v>0</v>
      </c>
      <c r="BK46" s="13">
        <v>3</v>
      </c>
      <c r="BL46" s="14" cm="1">
        <f t="array" ref="BL46">FRONTEND!T9-$W41*SUM($BL$35:$BL$40*BU34:BU39)</f>
        <v>-0.97699999999999998</v>
      </c>
    </row>
    <row r="47">
      <c r="C47" cm="1">
        <f t="array" ref="C47:C48">MMULT($L$23:$M$24,$F$14:$F$15)+$L$47:$L$48*MMULT($P$23:$Q$24,_xlfn.ANCHORARRAY(T41))+$T$23:$T$24</f>
        <v>-0.053593299161726782</v>
      </c>
      <c r="D47" s="30">
        <f t="shared" si="34"/>
        <v>-0.053542047074441775</v>
      </c>
      <c r="E47" s="30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30">
        <f t="shared" si="35"/>
        <v>0.61353225512613596</v>
      </c>
      <c r="N47" cm="1">
        <f t="array" ref="N47:N48">MMULT($L$18:$M$19,$F$14:$F$15)+MMULT($P$18:$Q$19,_xlfn.ANCHORARRAY(T41))+$T$18:$T$19</f>
        <v>0.77814362551432459</v>
      </c>
      <c r="O47" s="30">
        <f t="shared" si="36"/>
        <v>0.68527988489361891</v>
      </c>
      <c r="Q47" cm="1">
        <f t="array" ref="Q47:Q48">MMULT($L$23:$M$24,$F$14:$F$15)+MMULT($P$23:$Q$24,$L$47:$L$48*_xlfn.ANCHORARRAY(T41))+$T$23:$T$24</f>
        <v>-0.015771445324505473</v>
      </c>
      <c r="R47" s="30">
        <f t="shared" si="37"/>
        <v>-0.015770137799445524</v>
      </c>
      <c r="T47" s="46" cm="1">
        <f t="array" ref="T47:T48">O47:O48*_xlfn.ANCHORARRAY(T41)+(1-O47:O48)*R47:R48</f>
        <v>-0.17559011082000661</v>
      </c>
      <c r="AF47">
        <v>6</v>
      </c>
      <c r="AG47">
        <f t="shared" si="40"/>
        <v>0</v>
      </c>
      <c r="AH47">
        <f t="shared" si="41"/>
        <v>-0.073659715442773208</v>
      </c>
      <c r="AU47" t="s">
        <v>159</v>
      </c>
      <c r="AV47" t="s">
        <v>160</v>
      </c>
    </row>
    <row r="48" ht="15.75">
      <c r="C48">
        <f/>
        <v>1.989093144502502</v>
      </c>
      <c r="D48" s="31">
        <f t="shared" si="34"/>
        <v>0.96324884459583526</v>
      </c>
      <c r="E48" s="31">
        <f/>
        <v>0.97183995976745829</v>
      </c>
      <c r="J48">
        <v>2</v>
      </c>
      <c r="K48">
        <f/>
        <v>0.68432949504979068</v>
      </c>
      <c r="L48" s="31">
        <f t="shared" si="35"/>
        <v>0.66470430980481099</v>
      </c>
      <c r="N48">
        <f/>
        <v>-1.0923109880503059</v>
      </c>
      <c r="O48" s="31">
        <f t="shared" si="36"/>
        <v>0.25118335411778925</v>
      </c>
      <c r="Q48">
        <f/>
        <v>1.9826333245959007</v>
      </c>
      <c r="R48" s="31">
        <f t="shared" si="37"/>
        <v>0.96277984606499256</v>
      </c>
      <c r="T48" s="47">
        <f/>
        <v>0.9714887658606689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>
      <c r="AC49" t="s">
        <v>77</v>
      </c>
      <c r="AD49" s="23" t="s">
        <v>76</v>
      </c>
      <c r="AF49" s="2" t="s">
        <v>79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ht="21">
      <c r="K50" s="32" t="s">
        <v>133</v>
      </c>
      <c r="AD50">
        <v>1</v>
      </c>
      <c r="AE50">
        <v>2</v>
      </c>
      <c r="AF50" s="2">
        <v>6</v>
      </c>
      <c r="AT50">
        <v>1</v>
      </c>
      <c r="AU50" s="19" cm="1">
        <f t="array" ref="AU50">MMULT(TRANSPOSE($L$23:$M$24),_xlfn.ANCHORARRAY($AN$38))+MMULT(TRANSPOSE($L$18:$M$19),_xlfn.ANCHORARRAY($AP$38)+MMULT(TRANSPOSE($L$13:$M$14),_xlfn.ANCHORARRAY($AR$38)))</f>
      </c>
      <c r="AV50" s="19" cm="1">
        <f t="array" ref="AV50">MMULT(TRANSPOSE($L$23:$M$24),_xlfn.ANCHORARRAY(AN32))+MMULT(TRANSPOSE($L$18:$M$19),_xlfn.ANCHORARRAY(AP32)+MMULT(TRANSPOSE($L$13:$M$14),_xlfn.ANCHORARRAY(AR32)))</f>
      </c>
      <c r="AW50" s="19" cm="1">
        <f t="array" ref="AW50">MMULT(TRANSPOSE($L$23:$M$24),_xlfn.ANCHORARRAY(AN26))+MMULT(TRANSPOSE($L$18:$M$19),_xlfn.ANCHORARRAY(AP26)+MMULT(TRANSPOSE($L$13:$M$14),_xlfn.ANCHORARRAY(AR26)))</f>
      </c>
      <c r="AX50" s="19" cm="1">
        <f t="array" ref="AX50">MMULT(TRANSPOSE($L$23:$M$24),_xlfn.ANCHORARRAY(AN20))+MMULT(TRANSPOSE($L$18:$M$19),_xlfn.ANCHORARRAY(AP20)+MMULT(TRANSPOSE($L$13:$M$14),_xlfn.ANCHORARRAY(AR20)))</f>
      </c>
      <c r="AY50" s="19" cm="1">
        <f t="array" ref="AY50">MMULT(TRANSPOSE($L$23:$M$24),_xlfn.ANCHORARRAY(AN14))+MMULT(TRANSPOSE($L$18:$M$19),_xlfn.ANCHORARRAY(AP14)+MMULT(TRANSPOSE($L$13:$M$14),_xlfn.ANCHORARRAY(AR14)))</f>
      </c>
      <c r="AZ50" s="19" cm="1">
        <f t="array" ref="AZ50">MMULT(TRANSPOSE($L$23:$M$24),_xlfn.ANCHORARRAY(AN8))+MMULT(TRANSPOSE($L$18:$M$19),_xlfn.ANCHORARRAY(AP8)+MMULT(TRANSPOSE($L$13:$M$14),_xlfn.ANCHORARRAY(AR8)))</f>
      </c>
    </row>
    <row r="51">
      <c r="C51" t="s">
        <v>145</v>
      </c>
      <c r="D51" s="29" t="s">
        <v>146</v>
      </c>
      <c r="E51" s="29" t="s">
        <v>147</v>
      </c>
      <c r="K51" t="s">
        <v>148</v>
      </c>
      <c r="L51" s="29" t="s">
        <v>150</v>
      </c>
      <c r="N51" t="s">
        <v>151</v>
      </c>
      <c r="O51" s="29" t="s">
        <v>150</v>
      </c>
      <c r="Q51" t="s">
        <v>145</v>
      </c>
      <c r="R51" s="29" t="s">
        <v>146</v>
      </c>
      <c r="T51" s="29" t="s">
        <v>147</v>
      </c>
      <c r="AC51">
        <v>1</v>
      </c>
      <c r="AD51">
        <f t="shared" ref="AD51:AD56" si="56">$AE$37/$AF$50</f>
        <v>-0.0094518868822338568</v>
      </c>
      <c r="AE51">
        <f t="shared" ref="AE51:AE56" si="57">$AE$38/$AF$50</f>
        <v>0.0012396049069602387</v>
      </c>
      <c r="AT51">
        <v>2</v>
      </c>
      <c r="AU51" s="23"/>
      <c r="AV51" s="23"/>
      <c r="AW51" s="23"/>
      <c r="AX51" s="23"/>
      <c r="AY51" s="23"/>
      <c r="AZ51" s="23"/>
    </row>
    <row r="52" ht="15.75">
      <c r="C52">
        <v>1</v>
      </c>
      <c r="D52" s="30">
        <v>1</v>
      </c>
      <c r="E52" s="30">
        <v>1</v>
      </c>
      <c r="K52">
        <v>1</v>
      </c>
      <c r="L52" s="30">
        <v>1</v>
      </c>
      <c r="N52">
        <v>1</v>
      </c>
      <c r="O52" s="30">
        <v>1</v>
      </c>
      <c r="Q52">
        <v>1</v>
      </c>
      <c r="R52" s="30">
        <v>1</v>
      </c>
      <c r="T52" s="30">
        <v>1</v>
      </c>
      <c r="AC52">
        <v>2</v>
      </c>
      <c r="AD52">
        <f t="shared" si="56"/>
        <v>-0.0094518868822338568</v>
      </c>
      <c r="AE52">
        <f t="shared" si="57"/>
        <v>0.0012396049069602387</v>
      </c>
    </row>
    <row r="53">
      <c r="C53" cm="1">
        <f t="array" ref="C53:C54">MMULT($L$23:$M$24,$G$14:$G$15)+$L$53:$L$54*MMULT($P$23:$Q$24,_xlfn.ANCHORARRAY(T47))+$T$23:$T$24</f>
        <v>-1.237378050972058</v>
      </c>
      <c r="D53" s="30">
        <f t="shared" si="34"/>
        <v>-0.84470614356076834</v>
      </c>
      <c r="E53" s="30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30">
        <f t="shared" si="35"/>
        <v>0.95652339990773849</v>
      </c>
      <c r="N53" cm="1">
        <f t="array" ref="N53:N54">MMULT($L$18:$M$19,$G$14:$G$15)+MMULT($P$18:$Q$19,_xlfn.ANCHORARRAY(T47))+$T$18:$T$19</f>
        <v>0.14582639482782689</v>
      </c>
      <c r="O53" s="30">
        <f t="shared" si="36"/>
        <v>0.53639213064092151</v>
      </c>
      <c r="Q53" cm="1">
        <f t="array" ref="Q53:Q54">MMULT($L$23:$M$24,$G$14:$G$15)+MMULT($P$23:$Q$24,$L$53:$L$54*_xlfn.ANCHORARRAY(T47))+$T$23:$T$24</f>
        <v>-1.4362780214065505</v>
      </c>
      <c r="R53" s="30">
        <f t="shared" si="37"/>
        <v>-0.89294597955430932</v>
      </c>
      <c r="T53" s="46" cm="1">
        <f t="array" ref="T53:T54">O53:O54*_xlfn.ANCHORARRAY(T47)+(1-O53:O54)*R53:R54</f>
        <v>-0.50816193669614751</v>
      </c>
      <c r="AC53">
        <v>3</v>
      </c>
      <c r="AD53">
        <f t="shared" si="56"/>
        <v>-0.0094518868822338568</v>
      </c>
      <c r="AE53">
        <f t="shared" si="57"/>
        <v>0.0012396049069602387</v>
      </c>
      <c r="AT53" s="7"/>
      <c r="AU53" s="18" t="s">
        <v>58</v>
      </c>
      <c r="AV53" s="9"/>
    </row>
    <row r="54" ht="15.75">
      <c r="C54">
        <f/>
        <v>4.0846381538496059</v>
      </c>
      <c r="D54" s="31">
        <f t="shared" si="34"/>
        <v>0.99943371456793861</v>
      </c>
      <c r="E54" s="31">
        <f/>
        <v>0.99580104098602407</v>
      </c>
      <c r="J54">
        <v>2</v>
      </c>
      <c r="K54">
        <f/>
        <v>0.75480495555755311</v>
      </c>
      <c r="L54" s="31">
        <f t="shared" si="35"/>
        <v>0.6802247723118684</v>
      </c>
      <c r="N54">
        <f/>
        <v>-1.9010124708736504</v>
      </c>
      <c r="O54" s="31">
        <f t="shared" si="36"/>
        <v>0.12999392555584011</v>
      </c>
      <c r="Q54">
        <f/>
        <v>4.1092354143155667</v>
      </c>
      <c r="R54" s="31">
        <f t="shared" si="37"/>
        <v>0.99946089124671178</v>
      </c>
      <c r="T54" s="47">
        <f/>
        <v>0.99582468486163989</v>
      </c>
      <c r="AC54">
        <v>4</v>
      </c>
      <c r="AD54">
        <f t="shared" si="56"/>
        <v>-0.0094518868822338568</v>
      </c>
      <c r="AE54">
        <f t="shared" si="57"/>
        <v>0.0012396049069602387</v>
      </c>
      <c r="AT54" s="11"/>
      <c r="AU54" t="s">
        <v>134</v>
      </c>
      <c r="AV54" s="12"/>
      <c r="AW54" t="s">
        <v>160</v>
      </c>
    </row>
    <row r="55">
      <c r="AC55">
        <v>5</v>
      </c>
      <c r="AD55">
        <f t="shared" si="56"/>
        <v>-0.0094518868822338568</v>
      </c>
      <c r="AE55">
        <f t="shared" si="57"/>
        <v>0.0012396049069602387</v>
      </c>
      <c r="AT55" s="11"/>
      <c r="AU55">
        <v>1</v>
      </c>
      <c r="AV55" s="12">
        <v>2</v>
      </c>
    </row>
    <row r="56" ht="21">
      <c r="K56" s="32" t="s">
        <v>91</v>
      </c>
      <c r="AC56">
        <v>6</v>
      </c>
      <c r="AD56">
        <f t="shared" si="56"/>
        <v>-0.0094518868822338568</v>
      </c>
      <c r="AE56">
        <f t="shared" si="57"/>
        <v>0.0012396049069602387</v>
      </c>
      <c r="AT56" s="11">
        <v>1</v>
      </c>
      <c r="AU56" s="19" t="e">
        <f>AU50</f>
        <v>#NUM!</v>
      </c>
      <c r="AV56" s="16">
        <f>AU51</f>
        <v>0</v>
      </c>
    </row>
    <row r="57" ht="15.75">
      <c r="C57" t="s">
        <v>145</v>
      </c>
      <c r="D57" s="29" t="s">
        <v>146</v>
      </c>
      <c r="E57" s="29" t="s">
        <v>147</v>
      </c>
      <c r="K57" t="s">
        <v>148</v>
      </c>
      <c r="L57" s="29" t="s">
        <v>150</v>
      </c>
      <c r="N57" t="s">
        <v>151</v>
      </c>
      <c r="O57" s="29" t="s">
        <v>150</v>
      </c>
      <c r="Q57" t="s">
        <v>145</v>
      </c>
      <c r="R57" s="29" t="s">
        <v>146</v>
      </c>
      <c r="T57" s="29" t="s">
        <v>147</v>
      </c>
      <c r="AE57" s="1"/>
      <c r="AT57" s="11">
        <v>2</v>
      </c>
      <c r="AU57" s="19" t="e">
        <f>AV50</f>
        <v>#NUM!</v>
      </c>
      <c r="AV57" s="16">
        <f>AV51</f>
        <v>0</v>
      </c>
    </row>
    <row r="58">
      <c r="C58">
        <v>1</v>
      </c>
      <c r="D58" s="30">
        <v>1</v>
      </c>
      <c r="E58" s="30">
        <v>1</v>
      </c>
      <c r="K58">
        <v>1</v>
      </c>
      <c r="L58" s="30">
        <v>1</v>
      </c>
      <c r="N58">
        <v>1</v>
      </c>
      <c r="O58" s="30">
        <v>1</v>
      </c>
      <c r="Q58">
        <v>1</v>
      </c>
      <c r="R58" s="30">
        <v>1</v>
      </c>
      <c r="T58" s="30">
        <v>1</v>
      </c>
      <c r="AD58" s="7"/>
      <c r="AE58" s="18" t="s">
        <v>82</v>
      </c>
      <c r="AF58" s="9"/>
      <c r="AG58" t="s">
        <v>77</v>
      </c>
      <c r="AT58" s="11">
        <v>3</v>
      </c>
      <c r="AU58" s="19" t="e">
        <f>AW50</f>
        <v>#NUM!</v>
      </c>
      <c r="AV58" s="16">
        <f>AW51</f>
        <v>0</v>
      </c>
    </row>
    <row r="59">
      <c r="C59" cm="1">
        <f t="array" ref="C59:C60">MMULT($L$23:$M$24,$H$14:$H$15)+$L$59:$L$60*MMULT($P$23:$Q$24,_xlfn.ANCHORARRAY(T53))+$T$23:$T$24</f>
        <v>-0.088177431763004244</v>
      </c>
      <c r="D59" s="30">
        <f t="shared" si="34"/>
        <v>-0.087949606160860588</v>
      </c>
      <c r="E59" s="30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30">
        <f t="shared" si="35"/>
        <v>0.8540460177673217</v>
      </c>
      <c r="N59" cm="1">
        <f t="array" ref="N59:N60">MMULT($L$18:$M$19,$H$14:$H$15)+MMULT($P$18:$Q$19,_xlfn.ANCHORARRAY(T53))+$T$18:$T$19</f>
        <v>0.66418599673496626</v>
      </c>
      <c r="O59" s="30">
        <f t="shared" si="36"/>
        <v>0.66020008671789121</v>
      </c>
      <c r="Q59" cm="1">
        <f t="array" ref="Q59:Q60">MMULT($L$23:$M$24,$H$14:$H$15)+MMULT($P$23:$Q$24,$L$59:$L$60*_xlfn.ANCHORARRAY(T53))+$T$23:$T$24</f>
        <v>-0.10754514751880706</v>
      </c>
      <c r="R59" s="30">
        <f t="shared" si="37"/>
        <v>-0.10713243586260304</v>
      </c>
      <c r="T59" s="46" cm="1">
        <f t="array" ref="T59:T60">O59:O60*_xlfn.ANCHORARRAY(T53)+(1-O59:O60)*R59:R60</f>
        <v>-0.37189214708934171</v>
      </c>
      <c r="AD59" s="11"/>
      <c r="AE59" s="22">
        <v>1</v>
      </c>
      <c r="AF59" s="12">
        <v>2</v>
      </c>
      <c r="AT59" s="11">
        <v>4</v>
      </c>
      <c r="AU59" s="19" t="e">
        <f>AX50</f>
        <v>#NUM!</v>
      </c>
      <c r="AV59" s="16">
        <f>AX51</f>
        <v>0</v>
      </c>
    </row>
    <row r="60" ht="15.75">
      <c r="C60">
        <f/>
        <v>3.9329379408527689</v>
      </c>
      <c r="D60" s="31">
        <f t="shared" si="34"/>
        <v>0.99923306786434685</v>
      </c>
      <c r="E60" s="31">
        <f/>
        <v>0.99896355973503959</v>
      </c>
      <c r="J60">
        <v>2</v>
      </c>
      <c r="K60">
        <f/>
        <v>1.5701090990422968</v>
      </c>
      <c r="L60" s="31">
        <f t="shared" si="35"/>
        <v>0.82779916064097314</v>
      </c>
      <c r="N60">
        <f/>
        <v>-2.455021139817537</v>
      </c>
      <c r="O60" s="31">
        <f t="shared" si="36"/>
        <v>0.079072137460240721</v>
      </c>
      <c r="Q60">
        <f/>
        <v>3.9397001313037716</v>
      </c>
      <c r="R60" s="31">
        <f t="shared" si="37"/>
        <v>0.99924336642486489</v>
      </c>
      <c r="T60" s="47">
        <f/>
        <v>0.99897304396636466</v>
      </c>
      <c r="AD60" s="11">
        <v>1</v>
      </c>
      <c r="AE60" s="19">
        <f t="shared" ref="AE60:AF65" si="58">AG42+AD51</f>
        <v>-0.0094518868822338568</v>
      </c>
      <c r="AF60" s="16">
        <f>AH42+AE51</f>
        <v>0.0012396049069602387</v>
      </c>
      <c r="AT60" s="11">
        <v>5</v>
      </c>
      <c r="AU60" s="19" t="e">
        <f>AY50</f>
        <v>#NUM!</v>
      </c>
      <c r="AV60" s="16">
        <f>AY51</f>
        <v>0</v>
      </c>
    </row>
    <row r="61" ht="15.75">
      <c r="AD61" s="11">
        <v>2</v>
      </c>
      <c r="AE61" s="19">
        <f t="shared" si="58"/>
        <v>-0.0094518868822338568</v>
      </c>
      <c r="AF61" s="16">
        <f t="shared" si="58"/>
        <v>0.0012396049069602387</v>
      </c>
      <c r="AT61" s="13">
        <v>6</v>
      </c>
      <c r="AU61" s="20" t="e">
        <f>AZ50</f>
        <v>#NUM!</v>
      </c>
      <c r="AV61" s="17">
        <f>AZ51</f>
        <v>0</v>
      </c>
    </row>
    <row r="62">
      <c r="J62" t="s">
        <v>161</v>
      </c>
      <c r="N62" t="s">
        <v>162</v>
      </c>
      <c r="Q62" t="s">
        <v>162</v>
      </c>
      <c r="AD62" s="11">
        <v>3</v>
      </c>
      <c r="AE62" s="19">
        <f t="shared" si="58"/>
        <v>-0.0094518868822338568</v>
      </c>
      <c r="AF62" s="16">
        <f t="shared" si="58"/>
        <v>0.0012396049069602387</v>
      </c>
    </row>
    <row r="63">
      <c r="J63" t="s">
        <v>163</v>
      </c>
      <c r="N63" t="s">
        <v>33</v>
      </c>
      <c r="Q63" t="s">
        <v>76</v>
      </c>
      <c r="AD63" s="11">
        <v>4</v>
      </c>
      <c r="AE63" s="19">
        <f t="shared" si="58"/>
        <v>0.10881637328674149</v>
      </c>
      <c r="AF63" s="16">
        <f t="shared" si="58"/>
        <v>0.0012396049069602387</v>
      </c>
    </row>
    <row r="64">
      <c r="K64">
        <v>1</v>
      </c>
      <c r="L64">
        <v>2</v>
      </c>
      <c r="N64">
        <v>1</v>
      </c>
      <c r="O64">
        <v>2</v>
      </c>
      <c r="Q64">
        <v>1</v>
      </c>
      <c r="R64">
        <v>2</v>
      </c>
      <c r="AD64" s="11">
        <v>5</v>
      </c>
      <c r="AE64" s="19">
        <f t="shared" si="58"/>
        <v>-0.0094518868822338568</v>
      </c>
      <c r="AF64" s="16">
        <f t="shared" si="58"/>
        <v>0.0012396049069602387</v>
      </c>
    </row>
    <row r="65" ht="15.75">
      <c r="J65" s="2" t="s">
        <v>135</v>
      </c>
      <c r="K65" cm="1">
        <f t="array" ref="K65:L65">TRANSPOSE(_xlfn.ANCHORARRAY(T29))</f>
        <v>-0.37606797465641517</v>
      </c>
      <c r="L65">
        <f/>
        <v>0.60856989533920758</v>
      </c>
      <c r="N65" s="19">
        <f>MAX(K65:K70)</f>
        <v>-0.17559011082000661</v>
      </c>
      <c r="O65" s="19">
        <f>MAX(L65:L70)</f>
        <v>0.99897304396636466</v>
      </c>
      <c r="Q65" s="23">
        <f>AVERAGE(K65:K70)</f>
        <v>-0.36343123147621209</v>
      </c>
      <c r="R65" s="23">
        <f>AVERAGE(L65:L70)</f>
        <v>0.92018495860560989</v>
      </c>
      <c r="AD65" s="13">
        <v>6</v>
      </c>
      <c r="AE65" s="20">
        <f t="shared" si="58"/>
        <v>-0.0094518868822338568</v>
      </c>
      <c r="AF65" s="17">
        <f t="shared" si="58"/>
        <v>-0.072420110535812973</v>
      </c>
    </row>
    <row r="66" ht="15.75">
      <c r="J66">
        <v>2</v>
      </c>
      <c r="K66" cm="1">
        <f t="array" ref="K66:L66">TRANSPOSE(_xlfn.ANCHORARRAY(T35))</f>
        <v>-0.49988654358452378</v>
      </c>
      <c r="L66">
        <f/>
        <v>0.94880195131128564</v>
      </c>
    </row>
    <row r="67">
      <c r="J67">
        <v>3</v>
      </c>
      <c r="K67" cm="1">
        <f t="array" ref="K67:L67">TRANSPOSE(_xlfn.ANCHORARRAY(T41))</f>
        <v>-0.24898867601083799</v>
      </c>
      <c r="L67">
        <f/>
        <v>0.99745141029449336</v>
      </c>
      <c r="AD67" s="50"/>
      <c r="AE67" s="51" t="s">
        <v>164</v>
      </c>
      <c r="AF67" s="52"/>
    </row>
    <row r="68">
      <c r="J68">
        <v>4</v>
      </c>
      <c r="K68" cm="1">
        <f t="array" ref="K68:L68">TRANSPOSE(_xlfn.ANCHORARRAY(T47))</f>
        <v>-0.17559011082000661</v>
      </c>
      <c r="L68">
        <f/>
        <v>0.9714887658606689</v>
      </c>
      <c r="AD68" s="53"/>
      <c r="AE68">
        <v>1</v>
      </c>
      <c r="AF68" s="54">
        <v>2</v>
      </c>
    </row>
    <row r="69">
      <c r="J69">
        <v>5</v>
      </c>
      <c r="K69" cm="1">
        <f t="array" ref="K69:L69">TRANSPOSE(_xlfn.ANCHORARRAY(T53))</f>
        <v>-0.50816193669614751</v>
      </c>
      <c r="L69">
        <f/>
        <v>0.99582468486163989</v>
      </c>
      <c r="W69">
        <v>0</v>
      </c>
      <c r="X69">
        <v>0</v>
      </c>
      <c r="Y69">
        <v>0</v>
      </c>
      <c r="Z69">
        <v>0</v>
      </c>
      <c r="AA69">
        <v>0</v>
      </c>
      <c r="AB69">
        <v>1</v>
      </c>
      <c r="AD69" s="55" t="s">
        <v>91</v>
      </c>
      <c r="AE69" s="19" cm="1">
        <f t="array" ref="AE69:AF74">MMULT(W69:AB74,AE60:AF65)</f>
        <v>-0.0094518868822338568</v>
      </c>
      <c r="AF69" s="56">
        <f/>
        <v>-0.072420110535812973</v>
      </c>
    </row>
    <row r="70">
      <c r="J70">
        <v>6</v>
      </c>
      <c r="K70" cm="1">
        <f t="array" ref="K70:L70">TRANSPOSE(_xlfn.ANCHORARRAY(T59))</f>
        <v>-0.37189214708934171</v>
      </c>
      <c r="L70">
        <f/>
        <v>0.99897304396636466</v>
      </c>
      <c r="W70">
        <v>0</v>
      </c>
      <c r="X70">
        <v>0</v>
      </c>
      <c r="Y70">
        <v>0</v>
      </c>
      <c r="Z70">
        <v>0</v>
      </c>
      <c r="AA70">
        <v>1</v>
      </c>
      <c r="AB70">
        <v>0</v>
      </c>
      <c r="AD70" s="53">
        <v>5</v>
      </c>
      <c r="AE70" s="19">
        <f/>
        <v>-0.0094518868822338568</v>
      </c>
      <c r="AF70" s="56">
        <f/>
        <v>0.0012396049069602387</v>
      </c>
    </row>
    <row r="71" ht="15.75"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D71" s="53">
        <v>4</v>
      </c>
      <c r="AE71" s="19">
        <f/>
        <v>0.10881637328674149</v>
      </c>
      <c r="AF71" s="56">
        <f/>
        <v>0.0012396049069602387</v>
      </c>
    </row>
    <row r="72">
      <c r="J72" s="7"/>
      <c r="K72" s="10" t="s">
        <v>165</v>
      </c>
      <c r="L72" t="s">
        <v>162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D72" s="53">
        <v>3</v>
      </c>
      <c r="AE72" s="19">
        <f/>
        <v>-0.0094518868822338568</v>
      </c>
      <c r="AF72" s="56">
        <f/>
        <v>0.0012396049069602387</v>
      </c>
    </row>
    <row r="73">
      <c r="J73" s="11"/>
      <c r="K73" s="12">
        <v>1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D73" s="53">
        <v>2</v>
      </c>
      <c r="AE73" s="19">
        <f/>
        <v>-0.0094518868822338568</v>
      </c>
      <c r="AF73" s="56">
        <f/>
        <v>0.0012396049069602387</v>
      </c>
    </row>
    <row r="74" ht="15.75">
      <c r="J74" s="11">
        <v>1</v>
      </c>
      <c r="K74" s="57" cm="1">
        <f t="array" ref="K74:K75">TRANSPOSE(N65:O65)</f>
        <v>-0.17559011082000661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D74" s="58">
        <v>1</v>
      </c>
      <c r="AE74" s="59">
        <f/>
        <v>-0.0094518868822338568</v>
      </c>
      <c r="AF74" s="60">
        <f/>
        <v>0.0012396049069602387</v>
      </c>
    </row>
    <row r="75" ht="15.75">
      <c r="J75" s="11">
        <v>2</v>
      </c>
      <c r="K75" s="57">
        <f/>
        <v>0.99897304396636466</v>
      </c>
    </row>
    <row r="76">
      <c r="J76" s="11">
        <v>3</v>
      </c>
      <c r="K76" s="16" cm="1">
        <f t="array" ref="K76:K77">TRANSPOSE(Q65:R65)</f>
        <v>-0.36343123147621209</v>
      </c>
      <c r="AD76" s="50"/>
      <c r="AE76" s="61" t="s">
        <v>166</v>
      </c>
      <c r="AF76" s="61"/>
      <c r="AG76" s="61"/>
      <c r="AH76" s="61"/>
      <c r="AI76" s="61"/>
      <c r="AJ76" s="52"/>
    </row>
    <row r="77" ht="15.75">
      <c r="J77" s="13">
        <v>4</v>
      </c>
      <c r="K77" s="17">
        <f/>
        <v>0.92018495860560989</v>
      </c>
      <c r="AD77" s="53"/>
      <c r="AE77" s="2" t="s">
        <v>91</v>
      </c>
      <c r="AF77">
        <v>5</v>
      </c>
      <c r="AG77">
        <v>4</v>
      </c>
      <c r="AH77">
        <v>3</v>
      </c>
      <c r="AI77">
        <v>2</v>
      </c>
      <c r="AJ77" s="54">
        <v>1</v>
      </c>
    </row>
    <row r="78">
      <c r="AD78" s="53">
        <v>1</v>
      </c>
      <c r="AE78" s="19" cm="1">
        <f t="array" ref="AE78:AJ79">TRANSPOSE(AE69:AF74)</f>
        <v>-0.0094518868822338568</v>
      </c>
      <c r="AF78" s="19">
        <f/>
        <v>-0.0094518868822338568</v>
      </c>
      <c r="AG78" s="19">
        <f/>
        <v>0.10881637328674149</v>
      </c>
      <c r="AH78" s="19">
        <f/>
        <v>-0.0094518868822338568</v>
      </c>
      <c r="AI78" s="19">
        <f/>
        <v>-0.0094518868822338568</v>
      </c>
      <c r="AJ78" s="62">
        <f/>
        <v>-0.0094518868822338568</v>
      </c>
    </row>
    <row r="79" ht="15.75">
      <c r="AD79" s="58">
        <v>2</v>
      </c>
      <c r="AE79" s="63">
        <f/>
        <v>-0.072420110535812973</v>
      </c>
      <c r="AF79" s="63">
        <f/>
        <v>0.0012396049069602387</v>
      </c>
      <c r="AG79" s="63">
        <f/>
        <v>0.0012396049069602387</v>
      </c>
      <c r="AH79" s="63">
        <f/>
        <v>0.0012396049069602387</v>
      </c>
      <c r="AI79" s="63">
        <f/>
        <v>0.0012396049069602387</v>
      </c>
      <c r="AJ79" s="60">
        <f/>
        <v>0.0012396049069602387</v>
      </c>
    </row>
  </sheetData>
  <mergeCells count="2">
    <mergeCell ref="C26:F26"/>
    <mergeCell ref="C31:F3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D1" zoomScale="100" workbookViewId="0">
      <selection activeCell="AI29" activeCellId="0" sqref="AI29"/>
    </sheetView>
  </sheetViews>
  <sheetFormatPr defaultRowHeight="14.25"/>
  <cols>
    <col customWidth="1" min="15" max="15" width="3.42578125"/>
    <col customWidth="1" min="21" max="23" width="9.140625"/>
    <col customWidth="1" min="29" max="29" width="1.7109375"/>
    <col customWidth="1" min="30" max="30" width="12.140625"/>
    <col customWidth="1" min="55" max="55" width="2"/>
    <col customWidth="1" min="62" max="62" width="2"/>
    <col customWidth="1" min="68" max="68" width="2"/>
    <col customWidth="1" min="75" max="75" width="2"/>
    <col customWidth="1" min="78" max="78" width="2"/>
  </cols>
  <sheetData>
    <row r="1" ht="15.75"/>
    <row r="2" ht="26.25">
      <c r="B2" s="7"/>
      <c r="C2" s="18" t="s">
        <v>35</v>
      </c>
      <c r="D2" s="9"/>
      <c r="F2" s="64" t="s">
        <v>167</v>
      </c>
      <c r="G2" s="9">
        <f t="shared" ref="G2:G3" si="59">$G$4/$G$5</f>
        <v>1</v>
      </c>
      <c r="J2" s="6" t="s">
        <v>19</v>
      </c>
      <c r="AG2" s="6" t="s">
        <v>19</v>
      </c>
      <c r="AO2" s="6" t="s">
        <v>37</v>
      </c>
      <c r="AU2" s="6" t="s">
        <v>37</v>
      </c>
      <c r="CC2" s="6" t="s">
        <v>68</v>
      </c>
    </row>
    <row r="3" ht="26.25">
      <c r="B3" s="11"/>
      <c r="C3">
        <v>1</v>
      </c>
      <c r="D3" s="12">
        <v>2</v>
      </c>
      <c r="F3" s="26" t="s">
        <v>168</v>
      </c>
      <c r="G3" s="12">
        <f t="shared" si="59"/>
        <v>1</v>
      </c>
      <c r="J3" s="6" t="s">
        <v>169</v>
      </c>
      <c r="AG3" s="6" t="s">
        <v>38</v>
      </c>
      <c r="AO3" s="6" t="s">
        <v>38</v>
      </c>
      <c r="AU3" s="6" t="s">
        <v>170</v>
      </c>
      <c r="CC3" s="6" t="s">
        <v>20</v>
      </c>
    </row>
    <row r="4" ht="15.75">
      <c r="B4" s="11">
        <v>1</v>
      </c>
      <c r="C4" s="19" cm="1">
        <f t="array" ref="C4:D9">FRONTEND!M49:N54</f>
        <v>4.0296676785617889</v>
      </c>
      <c r="D4" s="16">
        <f/>
        <v>1.426184227044502</v>
      </c>
      <c r="F4" s="26" t="s">
        <v>171</v>
      </c>
      <c r="G4" s="12">
        <v>2</v>
      </c>
      <c r="H4" t="s">
        <v>172</v>
      </c>
      <c r="J4" s="19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73</v>
      </c>
      <c r="CE4" t="s">
        <v>25</v>
      </c>
      <c r="CF4" t="s">
        <v>74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>
      <c r="B5" s="11">
        <v>2</v>
      </c>
      <c r="C5" s="19">
        <f/>
        <v>3.1757752467270279</v>
      </c>
      <c r="D5" s="16">
        <f/>
        <v>0.83446165212430812</v>
      </c>
      <c r="F5" s="26" t="s">
        <v>175</v>
      </c>
      <c r="G5" s="12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7"/>
      <c r="AJ5" s="18" t="s">
        <v>40</v>
      </c>
      <c r="AK5" s="8"/>
      <c r="AL5" s="9"/>
      <c r="AN5" s="7"/>
      <c r="AO5" s="8" t="s">
        <v>41</v>
      </c>
      <c r="AP5" s="9" t="s">
        <v>42</v>
      </c>
      <c r="AT5" s="7"/>
      <c r="AU5" s="18" t="s">
        <v>183</v>
      </c>
      <c r="AV5" s="9" t="s">
        <v>184</v>
      </c>
      <c r="AX5" s="7" t="s">
        <v>185</v>
      </c>
      <c r="AY5" s="9" t="s">
        <v>186</v>
      </c>
      <c r="CC5">
        <v>1</v>
      </c>
      <c r="CD5" s="2" t="s">
        <v>75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ht="15.75">
      <c r="B6" s="11">
        <v>3</v>
      </c>
      <c r="C6" s="19">
        <f/>
        <v>3.3789276309323317</v>
      </c>
      <c r="D6" s="16">
        <f/>
        <v>1.8393159934697598</v>
      </c>
      <c r="F6" s="27" t="s">
        <v>187</v>
      </c>
      <c r="G6" s="14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11"/>
      <c r="AJ6" s="22">
        <v>1</v>
      </c>
      <c r="AK6" s="22">
        <v>2</v>
      </c>
      <c r="AL6" s="12">
        <v>3</v>
      </c>
      <c r="AN6" s="11"/>
      <c r="AO6">
        <v>1</v>
      </c>
      <c r="AP6" s="12"/>
      <c r="AT6" s="11"/>
      <c r="AU6">
        <v>1</v>
      </c>
      <c r="AV6" s="12">
        <v>2</v>
      </c>
      <c r="AX6" s="11">
        <v>1</v>
      </c>
      <c r="AY6" s="12">
        <v>2</v>
      </c>
      <c r="CB6">
        <v>1</v>
      </c>
      <c r="CC6" s="19" t="e" cm="1">
        <f t="array" ref="CC6:CC11">CA85:CA90</f>
        <v>#NUM!</v>
      </c>
      <c r="CD6">
        <f>MATCH(MAX(FRONTEND!$M28:$Q28),FRONTEND!$M28:$Q28,0)</f>
        <v>4</v>
      </c>
      <c r="CE6">
        <f t="shared" ref="CE6:CI11" si="60">IF($CD6=CE$5,$CC6,0)</f>
        <v>0</v>
      </c>
      <c r="CF6">
        <f t="shared" si="60"/>
        <v>0</v>
      </c>
      <c r="CG6">
        <f t="shared" si="60"/>
        <v>0</v>
      </c>
      <c r="CH6" t="e">
        <f t="shared" si="60"/>
        <v>#NUM!</v>
      </c>
      <c r="CI6">
        <f t="shared" si="60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ht="15.75">
      <c r="B7" s="11">
        <v>4</v>
      </c>
      <c r="C7" s="19">
        <f/>
        <v>1.5094131886761968</v>
      </c>
      <c r="D7" s="16">
        <f/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f/>
        <v>-0.85963907319556276</v>
      </c>
      <c r="R7">
        <f/>
        <v>-0.96082047701631357</v>
      </c>
      <c r="S7">
        <f/>
        <v>-1.4736332645785815</v>
      </c>
      <c r="T7">
        <f/>
        <v>-2.1737681629793459</v>
      </c>
      <c r="U7">
        <f/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0.061126275758747517</v>
      </c>
      <c r="AA7" cm="1">
        <f t="array" ref="AA7">EXP(T7)/SUM(EXP($P7:$U7))</f>
        <v>0.030350315732076607</v>
      </c>
      <c r="AB7" cm="1">
        <f t="array" ref="AB7">EXP(U7)/SUM(EXP($P7:$U7))</f>
        <v>0.38096695634323258</v>
      </c>
      <c r="AD7" s="19" cm="1">
        <f t="array" ref="AD7:AD12">MMULT(W7:AB12,_xlfn.ANCHORARRAY(N7))</f>
        <v>-1.2059822914038199</v>
      </c>
      <c r="AF7">
        <v>1</v>
      </c>
      <c r="AG7" s="19">
        <f t="shared" ref="AG7:AG10" si="61">W47</f>
        <v>4.7462823220890584</v>
      </c>
      <c r="AI7" s="11">
        <v>1</v>
      </c>
      <c r="AJ7" s="38">
        <v>-0.13400000000000001</v>
      </c>
      <c r="AK7" s="38">
        <v>-0.67100000000000004</v>
      </c>
      <c r="AL7" s="39">
        <v>-0.77800000000000002</v>
      </c>
      <c r="AN7" s="11">
        <v>1</v>
      </c>
      <c r="AO7" s="1">
        <f>-1/3*((2/(1+DATA!$I$16))*AI27/AH21-((2*DATA!$I$16)/(1+DATA!$I$16))*(1-AI27)*(1-AH21))</f>
        <v>0.068828125215118663</v>
      </c>
      <c r="AP7" s="12"/>
      <c r="AT7" s="11">
        <v>1</v>
      </c>
      <c r="AU7" cm="1">
        <f t="array" ref="AU7:AV8">C47:D48-$AH$32*MMULT(TRANSPOSE($M$38:$N$43),$AO$60:$AP$65)</f>
        <v>-0.7237549124508279</v>
      </c>
      <c r="AV7" s="12">
        <f/>
        <v>-0.84566184878084039</v>
      </c>
      <c r="AX7" s="13">
        <f>F47-$AH$32*SUM(AO75:AO80)</f>
        <v>1</v>
      </c>
      <c r="AY7" s="14">
        <f>G47-$AH$32*SUM(AP75:AP80)</f>
        <v>1</v>
      </c>
      <c r="CB7">
        <v>2</v>
      </c>
      <c r="CC7" s="19">
        <f/>
        <v>0</v>
      </c>
      <c r="CD7">
        <f>MATCH(MAX(FRONTEND!$M29:$Q29),FRONTEND!$M29:$Q29,0)</f>
        <v>2</v>
      </c>
      <c r="CE7">
        <f t="shared" si="60"/>
        <v>0</v>
      </c>
      <c r="CF7">
        <f t="shared" si="60"/>
        <v>0</v>
      </c>
      <c r="CG7">
        <f t="shared" si="60"/>
        <v>0</v>
      </c>
      <c r="CH7">
        <f t="shared" si="60"/>
        <v>0</v>
      </c>
      <c r="CI7">
        <f t="shared" si="60"/>
        <v>0</v>
      </c>
      <c r="CK7">
        <v>0</v>
      </c>
      <c r="CL7">
        <v>0</v>
      </c>
      <c r="CM7">
        <v>0</v>
      </c>
      <c r="CN7" s="7" cm="1">
        <f t="array" ref="CN7:CR12">FRONTEND!$B$4:$F$9</f>
        <v>0.098070127981472688</v>
      </c>
      <c r="CO7" s="8">
        <f/>
        <v>0.76989837351610546</v>
      </c>
      <c r="CP7" s="8">
        <f/>
        <v>1.0888675284528564</v>
      </c>
      <c r="CQ7" s="8">
        <f/>
        <v>0.41864132753818439</v>
      </c>
      <c r="CR7" s="9">
        <f/>
        <v>-0.54807215149909738</v>
      </c>
      <c r="CS7">
        <v>0</v>
      </c>
      <c r="CT7">
        <v>0</v>
      </c>
      <c r="CU7">
        <v>0</v>
      </c>
    </row>
    <row r="8" ht="15.75">
      <c r="B8" s="11">
        <v>5</v>
      </c>
      <c r="C8" s="19">
        <f/>
        <v>4.5198656803290973</v>
      </c>
      <c r="D8" s="16">
        <f/>
        <v>0.53701995183003415</v>
      </c>
      <c r="I8">
        <v>2</v>
      </c>
      <c r="J8">
        <f/>
        <v>-2.2530739685497512</v>
      </c>
      <c r="L8">
        <f/>
        <v>0.64222554727928216</v>
      </c>
      <c r="N8">
        <f/>
        <v>-1.0997438488189222</v>
      </c>
      <c r="P8">
        <f/>
        <v>0.26615120457224217</v>
      </c>
      <c r="Q8">
        <f/>
        <v>-1.4469816625125682</v>
      </c>
      <c r="R8">
        <f/>
        <v>-1.6172945769449703</v>
      </c>
      <c r="S8">
        <f/>
        <v>-2.4804832372116348</v>
      </c>
      <c r="T8">
        <f/>
        <v>-3.6589805750595339</v>
      </c>
      <c r="U8">
        <f/>
        <v>0.59946614047725577</v>
      </c>
      <c r="W8" cm="1">
        <f t="array" ref="W8">EXP(P8)/SUM(EXP($P8:$U8))</f>
        <v>0.35563965331313518</v>
      </c>
      <c r="X8" cm="1">
        <f t="array" ref="X8">EXP(Q8)/SUM(EXP($P8:$U8))</f>
        <v>0.064121847554714256</v>
      </c>
      <c r="Y8" cm="1">
        <f t="array" ref="Y8">EXP(R8)/SUM(EXP($P8:$U8))</f>
        <v>0.054080421564720919</v>
      </c>
      <c r="Z8" cm="1">
        <f t="array" ref="Z8">EXP(S8)/SUM(EXP($P8:$U8))</f>
        <v>0.022811928218710496</v>
      </c>
      <c r="AA8" cm="1">
        <f t="array" ref="AA8">EXP(T8)/SUM(EXP($P8:$U8))</f>
        <v>0.0070201615373774633</v>
      </c>
      <c r="AB8" cm="1">
        <f t="array" ref="AB8">EXP(U8)/SUM(EXP($P8:$U8))</f>
        <v>0.49632598781134168</v>
      </c>
      <c r="AD8" s="19">
        <f/>
        <v>-1.3104404012092385</v>
      </c>
      <c r="AF8">
        <v>2</v>
      </c>
      <c r="AG8" s="19">
        <f t="shared" si="61"/>
        <v>3.8524777316336736</v>
      </c>
      <c r="AI8" s="11">
        <v>2</v>
      </c>
      <c r="AJ8" s="38">
        <v>-0.94499999999999995</v>
      </c>
      <c r="AK8" s="38">
        <v>-0.040000000000000001</v>
      </c>
      <c r="AL8" s="39">
        <v>0.99099999999999999</v>
      </c>
      <c r="AN8" s="11">
        <v>2</v>
      </c>
      <c r="AO8" s="1">
        <f>-1/3*((2/(1+DATA!$I$17))*AI28/AH22-((2*DATA!$I$17)/(1+DATA!$I$17))*(1-AI28)*(1-AH22))</f>
        <v>-3.4656817087594676</v>
      </c>
      <c r="AP8" s="12"/>
      <c r="AT8" s="13">
        <v>2</v>
      </c>
      <c r="AU8" s="15">
        <f/>
        <v>-0.71666443133334401</v>
      </c>
      <c r="AV8" s="14">
        <f/>
        <v>0.069786216615415758</v>
      </c>
      <c r="CB8">
        <v>3</v>
      </c>
      <c r="CC8" s="19">
        <f/>
        <v>0</v>
      </c>
      <c r="CD8">
        <f>MATCH(MAX(FRONTEND!$M30:$Q30),FRONTEND!$M30:$Q30,0)</f>
        <v>3</v>
      </c>
      <c r="CE8">
        <f t="shared" si="60"/>
        <v>0</v>
      </c>
      <c r="CF8">
        <f t="shared" si="60"/>
        <v>0</v>
      </c>
      <c r="CG8">
        <f t="shared" si="60"/>
        <v>0</v>
      </c>
      <c r="CH8">
        <f t="shared" si="60"/>
        <v>0</v>
      </c>
      <c r="CI8">
        <f t="shared" si="60"/>
        <v>0</v>
      </c>
      <c r="CK8">
        <v>0</v>
      </c>
      <c r="CL8">
        <v>0</v>
      </c>
      <c r="CM8">
        <v>0</v>
      </c>
      <c r="CN8" s="11">
        <f/>
        <v>0.3947945813296071</v>
      </c>
      <c r="CO8">
        <f/>
        <v>0.76298402984034686</v>
      </c>
      <c r="CP8">
        <f/>
        <v>-1.5092547447204521</v>
      </c>
      <c r="CQ8">
        <f/>
        <v>0.78695236170270555</v>
      </c>
      <c r="CR8" s="12">
        <f/>
        <v>-1.6514230540804744</v>
      </c>
      <c r="CS8">
        <v>0</v>
      </c>
      <c r="CT8">
        <v>0</v>
      </c>
      <c r="CU8">
        <v>0</v>
      </c>
    </row>
    <row r="9" ht="15.75">
      <c r="B9" s="13">
        <v>6</v>
      </c>
      <c r="C9" s="20">
        <f/>
        <v>3.0540707238032767</v>
      </c>
      <c r="D9" s="17">
        <f/>
        <v>1.2588938475691771</v>
      </c>
      <c r="I9">
        <v>3</v>
      </c>
      <c r="J9">
        <f/>
        <v>-2.4440611416955038</v>
      </c>
      <c r="L9">
        <f/>
        <v>0.71781690238336182</v>
      </c>
      <c r="N9">
        <f/>
        <v>-1.1452013166892729</v>
      </c>
      <c r="P9">
        <f/>
        <v>0.28871214438164772</v>
      </c>
      <c r="Q9">
        <f/>
        <v>-1.5696385043094221</v>
      </c>
      <c r="R9">
        <f/>
        <v>-1.7543883979674093</v>
      </c>
      <c r="S9">
        <f/>
        <v>-2.6907472978342919</v>
      </c>
      <c r="T9">
        <f/>
        <v>-3.9691427651964397</v>
      </c>
      <c r="U9">
        <f/>
        <v>0.6502813135095199</v>
      </c>
      <c r="W9" cm="1">
        <f t="array" ref="W9">EXP(P9)/SUM(EXP($P9:$U9))</f>
        <v>0.3589234997659338</v>
      </c>
      <c r="X9" cm="1">
        <f t="array" ref="X9">EXP(Q9)/SUM(EXP($P9:$U9))</f>
        <v>0.055966798138138721</v>
      </c>
      <c r="Y9" cm="1">
        <f t="array" ref="Y9">EXP(R9)/SUM(EXP($P9:$U9))</f>
        <v>0.046525880648862636</v>
      </c>
      <c r="Z9" cm="1">
        <f t="array" ref="Z9">EXP(S9)/SUM(EXP($P9:$U9))</f>
        <v>0.018240599127166933</v>
      </c>
      <c r="AA9" cm="1">
        <f t="array" ref="AA9">EXP(T9)/SUM(EXP($P9:$U9))</f>
        <v>0.0050797109665776125</v>
      </c>
      <c r="AB9" cm="1">
        <f t="array" ref="AB9">EXP(U9)/SUM(EXP($P9:$U9))</f>
        <v>0.51526351135332027</v>
      </c>
      <c r="AD9" s="19">
        <f/>
        <v>-1.3207714547528537</v>
      </c>
      <c r="AF9">
        <v>3</v>
      </c>
      <c r="AG9" s="23">
        <f t="shared" si="61"/>
        <v>3.2038631037940193</v>
      </c>
      <c r="AI9" s="11">
        <v>3</v>
      </c>
      <c r="AJ9" s="38">
        <v>-0.62</v>
      </c>
      <c r="AK9" s="38">
        <v>0.312</v>
      </c>
      <c r="AL9" s="39">
        <v>-0.121</v>
      </c>
      <c r="AN9" s="13">
        <v>3</v>
      </c>
      <c r="AO9" s="24">
        <f>-1/3*((2/(1+DATA!$I$18))*AI29/AH23-((2*DATA!$I$18)/(1+DATA!$I$18))*(1-AI29)*(1-AH23))</f>
        <v>-0.66182685351006187</v>
      </c>
      <c r="AP9" s="14"/>
      <c r="CB9">
        <v>4</v>
      </c>
      <c r="CC9" s="19">
        <f/>
        <v>0</v>
      </c>
      <c r="CD9">
        <f>MATCH(MAX(FRONTEND!$M31:$Q31),FRONTEND!$M31:$Q31,0)</f>
        <v>4</v>
      </c>
      <c r="CE9">
        <f t="shared" si="60"/>
        <v>0</v>
      </c>
      <c r="CF9">
        <f t="shared" si="60"/>
        <v>0</v>
      </c>
      <c r="CG9">
        <f t="shared" si="60"/>
        <v>0</v>
      </c>
      <c r="CH9">
        <f t="shared" si="60"/>
        <v>0</v>
      </c>
      <c r="CI9">
        <f t="shared" si="60"/>
        <v>0</v>
      </c>
      <c r="CK9">
        <v>0</v>
      </c>
      <c r="CL9">
        <v>0</v>
      </c>
      <c r="CM9">
        <v>0</v>
      </c>
      <c r="CN9" s="11">
        <f/>
        <v>1.2610501600821225</v>
      </c>
      <c r="CO9">
        <f/>
        <v>1.0201001967063095</v>
      </c>
      <c r="CP9">
        <f/>
        <v>0.20946802791688546</v>
      </c>
      <c r="CQ9">
        <f/>
        <v>-1.5474479187727208</v>
      </c>
      <c r="CR9" s="12">
        <f/>
        <v>-0.51000095484744268</v>
      </c>
      <c r="CS9">
        <v>0</v>
      </c>
      <c r="CT9">
        <v>0</v>
      </c>
      <c r="CU9">
        <v>0</v>
      </c>
    </row>
    <row r="10" ht="15.75">
      <c r="B10" t="s">
        <v>45</v>
      </c>
      <c r="I10">
        <v>4</v>
      </c>
      <c r="J10">
        <f/>
        <v>-1.9375412579880391</v>
      </c>
      <c r="L10">
        <f/>
        <v>1.1009328907245159</v>
      </c>
      <c r="N10">
        <f/>
        <v>0.29323875590177673</v>
      </c>
      <c r="P10">
        <f/>
        <v>0.22887794494109043</v>
      </c>
      <c r="Q10">
        <f/>
        <v>-1.2443384947875573</v>
      </c>
      <c r="R10">
        <f/>
        <v>-1.3907998640489363</v>
      </c>
      <c r="S10">
        <f/>
        <v>-2.133102898054787</v>
      </c>
      <c r="T10">
        <f/>
        <v>-3.1465570706131496</v>
      </c>
      <c r="U10">
        <f/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0.079371476398795632</v>
      </c>
      <c r="Y10" cm="1">
        <f t="array" ref="Y10">EXP(R10)/SUM(EXP($P10:$U10))</f>
        <v>0.068557834967689191</v>
      </c>
      <c r="Z10" cm="1">
        <f t="array" ref="Z10">EXP(S10)/SUM(EXP($P10:$U10))</f>
        <v>0.032634651755303709</v>
      </c>
      <c r="AA10" cm="1">
        <f t="array" ref="AA10">EXP(T10)/SUM(EXP($P10:$U10))</f>
        <v>0.011845173541951365</v>
      </c>
      <c r="AB10" cm="1">
        <f t="array" ref="AB10">EXP(U10)/SUM(EXP($P10:$U10))</f>
        <v>0.46127352964497986</v>
      </c>
      <c r="AD10" s="19">
        <f/>
        <v>-1.2860235953106054</v>
      </c>
      <c r="AF10">
        <v>4</v>
      </c>
      <c r="AG10" s="23">
        <f t="shared" si="61"/>
        <v>3.2767731276474503</v>
      </c>
      <c r="AI10" s="13">
        <v>4</v>
      </c>
      <c r="AJ10" s="42">
        <v>-0.29099999999999998</v>
      </c>
      <c r="AK10" s="42">
        <v>-0.20200000000000001</v>
      </c>
      <c r="AL10" s="43">
        <v>0.186</v>
      </c>
      <c r="AU10" t="s">
        <v>188</v>
      </c>
      <c r="AW10" t="s">
        <v>189</v>
      </c>
      <c r="CB10">
        <v>5</v>
      </c>
      <c r="CC10" s="19">
        <f/>
        <v>0</v>
      </c>
      <c r="CD10">
        <f>MATCH(MAX(FRONTEND!$M32:$Q32),FRONTEND!$M32:$Q32,0)</f>
        <v>1</v>
      </c>
      <c r="CE10">
        <f t="shared" si="60"/>
        <v>0</v>
      </c>
      <c r="CF10">
        <f t="shared" si="60"/>
        <v>0</v>
      </c>
      <c r="CG10">
        <f t="shared" si="60"/>
        <v>0</v>
      </c>
      <c r="CH10">
        <f t="shared" si="60"/>
        <v>0</v>
      </c>
      <c r="CI10">
        <f t="shared" si="60"/>
        <v>0</v>
      </c>
      <c r="CK10">
        <v>0</v>
      </c>
      <c r="CL10">
        <v>0</v>
      </c>
      <c r="CM10">
        <v>0</v>
      </c>
      <c r="CN10" s="11">
        <f/>
        <v>-1.914822845899089</v>
      </c>
      <c r="CO10">
        <f/>
        <v>-0.96507706088431011</v>
      </c>
      <c r="CP10">
        <f/>
        <v>-0.73600695036684105</v>
      </c>
      <c r="CQ10">
        <f/>
        <v>-1.2146668976505628</v>
      </c>
      <c r="CR10" s="12">
        <f/>
        <v>0.61213976054071273</v>
      </c>
      <c r="CS10">
        <v>0</v>
      </c>
      <c r="CT10">
        <v>0</v>
      </c>
      <c r="CU10">
        <v>0</v>
      </c>
    </row>
    <row r="11" ht="15.75">
      <c r="I11">
        <v>5</v>
      </c>
      <c r="J11">
        <f/>
        <v>-3.3463892942377957</v>
      </c>
      <c r="L11">
        <f/>
        <v>1.6239948737301024</v>
      </c>
      <c r="N11">
        <f/>
        <v>-0.12010714808734235</v>
      </c>
      <c r="P11">
        <f/>
        <v>0.39530239755170199</v>
      </c>
      <c r="Q11">
        <f/>
        <v>-2.1491366959013991</v>
      </c>
      <c r="R11">
        <f/>
        <v>-2.4020947973586191</v>
      </c>
      <c r="S11">
        <f/>
        <v>-3.684150039194789</v>
      </c>
      <c r="T11">
        <f/>
        <v>-5.4345190593474753</v>
      </c>
      <c r="U11">
        <f/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0.028042477512422736</v>
      </c>
      <c r="Y11" cm="1">
        <f t="array" ref="Y11">EXP(R11)/SUM(EXP($P11:$U11))</f>
        <v>0.021774995436625918</v>
      </c>
      <c r="Z11" cm="1">
        <f t="array" ref="Z11">EXP(S11)/SUM(EXP($P11:$U11))</f>
        <v>0.0060418307560927429</v>
      </c>
      <c r="AA11" cm="1">
        <f t="array" ref="AA11">EXP(T11)/SUM(EXP($P11:$U11))</f>
        <v>0.0010495253886584404</v>
      </c>
      <c r="AB11" cm="1">
        <f t="array" ref="AB11">EXP(U11)/SUM(EXP($P11:$U11))</f>
        <v>0.58593986856404157</v>
      </c>
      <c r="AD11" s="19">
        <f/>
        <v>-1.3399990969793096</v>
      </c>
      <c r="AU11">
        <v>1</v>
      </c>
      <c r="AV11">
        <v>2</v>
      </c>
      <c r="CB11">
        <v>6</v>
      </c>
      <c r="CC11" s="19">
        <f/>
        <v>0</v>
      </c>
      <c r="CD11">
        <f>MATCH(MAX(FRONTEND!$M33:$Q33),FRONTEND!$M33:$Q33,0)</f>
        <v>5</v>
      </c>
      <c r="CE11">
        <f t="shared" si="60"/>
        <v>0</v>
      </c>
      <c r="CF11">
        <f t="shared" si="60"/>
        <v>0</v>
      </c>
      <c r="CG11">
        <f t="shared" si="60"/>
        <v>0</v>
      </c>
      <c r="CH11">
        <f t="shared" si="60"/>
        <v>0</v>
      </c>
      <c r="CI11">
        <f t="shared" si="60"/>
        <v>0</v>
      </c>
      <c r="CK11">
        <v>0</v>
      </c>
      <c r="CL11">
        <v>0</v>
      </c>
      <c r="CM11">
        <v>0</v>
      </c>
      <c r="CN11" s="11">
        <f/>
        <v>0.61185767787065537</v>
      </c>
      <c r="CO11">
        <f/>
        <v>-1.6862564508613829</v>
      </c>
      <c r="CP11">
        <f/>
        <v>-0.39331255882270999</v>
      </c>
      <c r="CQ11">
        <f/>
        <v>1.027314449369916</v>
      </c>
      <c r="CR11" s="12">
        <f/>
        <v>1.3115002107703582</v>
      </c>
      <c r="CS11">
        <v>0</v>
      </c>
      <c r="CT11">
        <v>0</v>
      </c>
      <c r="CU11">
        <v>0</v>
      </c>
    </row>
    <row r="12" ht="15.75">
      <c r="B12" s="7" t="s">
        <v>190</v>
      </c>
      <c r="C12" s="8"/>
      <c r="D12" s="9"/>
      <c r="E12" t="s">
        <v>191</v>
      </c>
      <c r="G12" t="s">
        <v>192</v>
      </c>
      <c r="I12">
        <v>6</v>
      </c>
      <c r="J12">
        <f/>
        <v>-0.44856693009028414</v>
      </c>
      <c r="L12">
        <f/>
        <v>-0.26606589434927319</v>
      </c>
      <c r="N12">
        <f/>
        <v>-1.1085239247602845</v>
      </c>
      <c r="P12">
        <f/>
        <v>0.052988330805511963</v>
      </c>
      <c r="Q12">
        <f/>
        <v>-0.28808114216862024</v>
      </c>
      <c r="R12">
        <f/>
        <v>-0.32198892426902176</v>
      </c>
      <c r="S12">
        <f/>
        <v>-0.49384208702771837</v>
      </c>
      <c r="T12">
        <f/>
        <v>-0.7284703949914707</v>
      </c>
      <c r="U12">
        <f/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9">
        <f/>
        <v>-0.98159933925249687</v>
      </c>
      <c r="AN12" s="7" t="s">
        <v>47</v>
      </c>
      <c r="AO12" s="8" t="s">
        <v>48</v>
      </c>
      <c r="AP12" s="9"/>
      <c r="AT12">
        <v>1</v>
      </c>
      <c r="AU12" s="19" cm="1">
        <f t="array" ref="AU12:AV17">MMULT($AO$60:$AP$65,TRANSPOSE($C$47:$D$48))</f>
        <v>0.084701945740574033</v>
      </c>
      <c r="AV12" s="23">
        <f/>
        <v>0.0064682812977152468</v>
      </c>
      <c r="CK12">
        <v>0</v>
      </c>
      <c r="CL12">
        <v>0</v>
      </c>
      <c r="CM12">
        <v>0</v>
      </c>
      <c r="CN12" s="13">
        <f/>
        <v>-0.45094970136476858</v>
      </c>
      <c r="CO12" s="15">
        <f/>
        <v>0.098350911682930572</v>
      </c>
      <c r="CP12" s="15">
        <f/>
        <v>1.3402386975402607</v>
      </c>
      <c r="CQ12" s="15">
        <f/>
        <v>0.52920667781247754</v>
      </c>
      <c r="CR12" s="14">
        <f/>
        <v>0.78585618911594302</v>
      </c>
      <c r="CS12">
        <v>0</v>
      </c>
      <c r="CT12">
        <v>0</v>
      </c>
      <c r="CU12">
        <v>0</v>
      </c>
    </row>
    <row r="13">
      <c r="B13" s="26" t="s">
        <v>193</v>
      </c>
      <c r="C13">
        <f>COUNT($C$3:$D$3)/2-1</f>
        <v>0</v>
      </c>
      <c r="D13" s="12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H13" t="s">
        <v>49</v>
      </c>
      <c r="AI13" t="s">
        <v>50</v>
      </c>
      <c r="AJ13" s="7"/>
      <c r="AK13" s="10" t="s">
        <v>23</v>
      </c>
      <c r="AN13" s="11"/>
      <c r="AO13">
        <v>1</v>
      </c>
      <c r="AP13" s="12"/>
      <c r="AT13">
        <v>2</v>
      </c>
      <c r="AU13" s="19">
        <f/>
        <v>0.0045332962365842262</v>
      </c>
      <c r="AV13" s="23">
        <f/>
        <v>0.011304441128582381</v>
      </c>
      <c r="CC13" t="s">
        <v>43</v>
      </c>
      <c r="CD13" t="s">
        <v>78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>
      <c r="B14" s="11">
        <v>1</v>
      </c>
      <c r="C14" s="19">
        <f t="shared" ref="C14:C19" si="62">C4+SIN(($B14-1)/POWER(10000,(2*$C$13/$G$4)))</f>
        <v>4.0296676785617889</v>
      </c>
      <c r="D14" s="16">
        <f t="shared" ref="D14:D19" si="63">D4+COS(($B14-1)/POWER(10000,(2*$D$13/$G$4)))</f>
        <v>2.426184227044502</v>
      </c>
      <c r="F14">
        <f t="shared" ref="F14:F19" si="64">SIN(($B14-1)/POWER(10000,(2*$C$13/$G$4)))</f>
        <v>0</v>
      </c>
      <c r="G14">
        <f t="shared" ref="G14:G19" si="65">COS(($B14-1)/POWER(10000,(2*$D$13/$G$4)))</f>
        <v>1</v>
      </c>
      <c r="J14" s="23" t="s">
        <v>194</v>
      </c>
      <c r="L14" t="s">
        <v>174</v>
      </c>
      <c r="N14" t="s">
        <v>174</v>
      </c>
      <c r="P14" t="s">
        <v>194</v>
      </c>
      <c r="AD14" t="s">
        <v>194</v>
      </c>
      <c r="AH14">
        <v>1</v>
      </c>
      <c r="AJ14" s="11"/>
      <c r="AK14" s="12">
        <v>1</v>
      </c>
      <c r="AN14" s="11">
        <v>1</v>
      </c>
      <c r="AO14">
        <f>-1/3*((2/(1+DATA!$I$16))*AI27*(1-AH21)-((2*DATA!$I$16)/(1+DATA!$I$16))*(1-AI27)*AH21)</f>
        <v>0.00013739202626064341</v>
      </c>
      <c r="AP14" s="12"/>
      <c r="AT14">
        <v>3</v>
      </c>
      <c r="AU14" s="19">
        <f/>
        <v>0.0045332962365842262</v>
      </c>
      <c r="AV14" s="23">
        <f/>
        <v>0.011304441128582381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>
      <c r="B15" s="11">
        <v>2</v>
      </c>
      <c r="C15" s="19">
        <f t="shared" si="62"/>
        <v>4.0172462315349247</v>
      </c>
      <c r="D15" s="16">
        <f t="shared" si="63"/>
        <v>1.3747639579924478</v>
      </c>
      <c r="F15">
        <f t="shared" si="64"/>
        <v>0.8414709848078965</v>
      </c>
      <c r="G15">
        <f t="shared" si="65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G15">
        <v>1</v>
      </c>
      <c r="AH15" cm="1">
        <f t="array" ref="AH15:AH17">TRANSPOSE(MMULT(TRANSPOSE(AG7:AG10),AJ7:AL10)+TRANSPOSE(AK15:AK17))</f>
        <v>-6.2165293920514548</v>
      </c>
      <c r="AJ15" s="11">
        <v>1</v>
      </c>
      <c r="AK15" s="12">
        <v>1</v>
      </c>
      <c r="AN15" s="11">
        <v>2</v>
      </c>
      <c r="AO15">
        <f>-1/3*((2/(1+DATA!$I$17))*AI28*(1-AH22)-((2*DATA!$I$17)/(1+DATA!$I$17))*(1-AI28)*AH22)</f>
        <v>-0.36355368616068484</v>
      </c>
      <c r="AP15" s="12"/>
      <c r="AT15">
        <v>4</v>
      </c>
      <c r="AU15" s="19">
        <f/>
        <v>0.0045332962365842262</v>
      </c>
      <c r="AV15" s="23">
        <f/>
        <v>0.011304441128582381</v>
      </c>
      <c r="CB15">
        <v>1</v>
      </c>
      <c r="CC15">
        <f t="shared" ref="CC15:CG20" si="66">CE6*IF(CE6&gt;0,1,0)</f>
        <v>0</v>
      </c>
      <c r="CD15">
        <f t="shared" si="66"/>
        <v>0</v>
      </c>
      <c r="CE15">
        <f t="shared" si="66"/>
        <v>0</v>
      </c>
      <c r="CF15" t="e">
        <f t="shared" si="66"/>
        <v>#NUM!</v>
      </c>
      <c r="CG15">
        <f t="shared" si="66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ht="15.75">
      <c r="B16" s="11">
        <v>3</v>
      </c>
      <c r="C16" s="19">
        <f t="shared" si="62"/>
        <v>4.2882250577580132</v>
      </c>
      <c r="D16" s="16">
        <f t="shared" si="63"/>
        <v>1.4231691569226175</v>
      </c>
      <c r="F16">
        <f t="shared" si="64"/>
        <v>0.90929742682568171</v>
      </c>
      <c r="G16">
        <f t="shared" si="65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G16">
        <v>2</v>
      </c>
      <c r="AH16">
        <f/>
        <v>-2.0011574307881563</v>
      </c>
      <c r="AJ16" s="11">
        <v>2</v>
      </c>
      <c r="AK16" s="12">
        <v>1</v>
      </c>
      <c r="AN16" s="13">
        <v>3</v>
      </c>
      <c r="AO16" s="15">
        <f>-1/3*((2/(1+DATA!$I$18))*AI29*(1-AH23)-((2*DATA!$I$18)/(1+DATA!$I$18))*(1-AI29)*AH23)</f>
        <v>-0.10839090378620878</v>
      </c>
      <c r="AP16" s="14"/>
      <c r="AT16">
        <v>5</v>
      </c>
      <c r="AU16" s="19">
        <f/>
        <v>-0.23443578759177866</v>
      </c>
      <c r="AV16" s="23">
        <f/>
        <v>-0.20140430381754285</v>
      </c>
      <c r="CB16">
        <v>2</v>
      </c>
      <c r="CC16">
        <f t="shared" si="66"/>
        <v>0</v>
      </c>
      <c r="CD16">
        <f t="shared" si="66"/>
        <v>0</v>
      </c>
      <c r="CE16">
        <f t="shared" si="66"/>
        <v>0</v>
      </c>
      <c r="CF16">
        <f t="shared" si="66"/>
        <v>0</v>
      </c>
      <c r="CG16">
        <f t="shared" si="66"/>
        <v>0</v>
      </c>
    </row>
    <row r="17" ht="15.75">
      <c r="B17" s="11">
        <v>4</v>
      </c>
      <c r="C17" s="19">
        <f t="shared" si="62"/>
        <v>1.6505331967360639</v>
      </c>
      <c r="D17" s="16">
        <f t="shared" si="63"/>
        <v>-0.58497913909267285</v>
      </c>
      <c r="F17">
        <f t="shared" si="64"/>
        <v>0.14112000805986721</v>
      </c>
      <c r="G17">
        <f t="shared" si="65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f/>
        <v>-1.2404180612620557</v>
      </c>
      <c r="R17">
        <f/>
        <v>-1.3291234518905983</v>
      </c>
      <c r="S17">
        <f/>
        <v>-0.64022672958849158</v>
      </c>
      <c r="T17">
        <f/>
        <v>-1.3214329849233588</v>
      </c>
      <c r="U17">
        <f/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3" cm="1">
        <f t="array" ref="AD17:AD22">MMULT(W17:AB22,_xlfn.ANCHORARRAY(N17))</f>
        <v>3.2185389216001647</v>
      </c>
      <c r="AG17">
        <v>3</v>
      </c>
      <c r="AH17">
        <f/>
        <v>1.3470101516470319</v>
      </c>
      <c r="AJ17" s="13">
        <v>3</v>
      </c>
      <c r="AK17" s="14">
        <v>1</v>
      </c>
      <c r="AT17">
        <v>6</v>
      </c>
      <c r="AU17" s="19">
        <f/>
        <v>0.0045332962365842262</v>
      </c>
      <c r="AV17" s="23">
        <f/>
        <v>0.011304441128582381</v>
      </c>
      <c r="CB17">
        <v>3</v>
      </c>
      <c r="CC17">
        <f t="shared" si="66"/>
        <v>0</v>
      </c>
      <c r="CD17">
        <f t="shared" si="66"/>
        <v>0</v>
      </c>
      <c r="CE17">
        <f t="shared" si="66"/>
        <v>0</v>
      </c>
      <c r="CF17">
        <f t="shared" si="66"/>
        <v>0</v>
      </c>
      <c r="CG17">
        <f t="shared" si="66"/>
        <v>0</v>
      </c>
    </row>
    <row r="18" ht="15.75">
      <c r="B18" s="11">
        <v>5</v>
      </c>
      <c r="C18" s="19">
        <f t="shared" si="62"/>
        <v>3.7630631850211689</v>
      </c>
      <c r="D18" s="16">
        <f t="shared" si="63"/>
        <v>-0.11662366903357779</v>
      </c>
      <c r="F18">
        <f t="shared" si="64"/>
        <v>-0.7568024953079282</v>
      </c>
      <c r="G18">
        <f t="shared" si="65"/>
        <v>-0.65364362086361194</v>
      </c>
      <c r="I18">
        <v>2</v>
      </c>
      <c r="J18">
        <f/>
        <v>-1.6292050927553057</v>
      </c>
      <c r="L18">
        <f/>
        <v>0.89559815955988531</v>
      </c>
      <c r="N18">
        <f/>
        <v>4.3943200105272187</v>
      </c>
      <c r="P18">
        <f/>
        <v>-1.3237282918196969</v>
      </c>
      <c r="Q18">
        <f/>
        <v>-1.459113082617244</v>
      </c>
      <c r="R18">
        <f/>
        <v>-1.5634578999065782</v>
      </c>
      <c r="S18">
        <f/>
        <v>-0.75310351095126915</v>
      </c>
      <c r="T18">
        <f/>
        <v>-1.5544115458475947</v>
      </c>
      <c r="U18">
        <f/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3">
        <f/>
        <v>3.1551819962318395</v>
      </c>
      <c r="CB18">
        <v>4</v>
      </c>
      <c r="CC18">
        <f t="shared" si="66"/>
        <v>0</v>
      </c>
      <c r="CD18">
        <f t="shared" si="66"/>
        <v>0</v>
      </c>
      <c r="CE18">
        <f t="shared" si="66"/>
        <v>0</v>
      </c>
      <c r="CF18">
        <f t="shared" si="66"/>
        <v>0</v>
      </c>
      <c r="CG18">
        <f t="shared" si="66"/>
        <v>0</v>
      </c>
    </row>
    <row r="19" ht="15.75">
      <c r="B19" s="13">
        <v>6</v>
      </c>
      <c r="C19" s="20">
        <f t="shared" si="62"/>
        <v>2.0951464491401381</v>
      </c>
      <c r="D19" s="17">
        <f t="shared" si="63"/>
        <v>1.5425560330324033</v>
      </c>
      <c r="F19">
        <f t="shared" si="64"/>
        <v>-0.95892427466313845</v>
      </c>
      <c r="G19">
        <f t="shared" si="65"/>
        <v>0.28366218546322625</v>
      </c>
      <c r="I19">
        <v>3</v>
      </c>
      <c r="J19">
        <f/>
        <v>-1.7496513437805694</v>
      </c>
      <c r="L19">
        <f/>
        <v>0.9596446186296067</v>
      </c>
      <c r="N19">
        <f/>
        <v>4.6714512628426608</v>
      </c>
      <c r="P19">
        <f/>
        <v>-1.4215908082301492</v>
      </c>
      <c r="Q19">
        <f/>
        <v>-1.5669845233613582</v>
      </c>
      <c r="R19">
        <f/>
        <v>-1.6790434965370835</v>
      </c>
      <c r="S19">
        <f/>
        <v>-0.80878004604890885</v>
      </c>
      <c r="T19">
        <f/>
        <v>-1.6693283504170529</v>
      </c>
      <c r="U19">
        <f/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3">
        <f/>
        <v>3.1240655069345546</v>
      </c>
      <c r="AG19" s="7"/>
      <c r="AH19" s="18" t="s">
        <v>55</v>
      </c>
      <c r="AI19" s="9"/>
      <c r="AJ19" t="s">
        <v>56</v>
      </c>
      <c r="AN19" s="7"/>
      <c r="AO19" s="18" t="s">
        <v>40</v>
      </c>
      <c r="AP19" s="8" t="s">
        <v>57</v>
      </c>
      <c r="AQ19" s="9"/>
      <c r="AU19" t="s">
        <v>28</v>
      </c>
      <c r="AV19" t="s">
        <v>195</v>
      </c>
      <c r="CB19">
        <v>5</v>
      </c>
      <c r="CC19">
        <f t="shared" si="66"/>
        <v>0</v>
      </c>
      <c r="CD19">
        <f t="shared" si="66"/>
        <v>0</v>
      </c>
      <c r="CE19">
        <f t="shared" si="66"/>
        <v>0</v>
      </c>
      <c r="CF19">
        <f t="shared" si="66"/>
        <v>0</v>
      </c>
      <c r="CG19">
        <f t="shared" si="66"/>
        <v>0</v>
      </c>
    </row>
    <row r="20">
      <c r="I20">
        <v>4</v>
      </c>
      <c r="J20">
        <f/>
        <v>-0.94303470191451921</v>
      </c>
      <c r="L20">
        <f/>
        <v>0.46225212178635122</v>
      </c>
      <c r="N20">
        <f/>
        <v>1.3052879454102677</v>
      </c>
      <c r="P20">
        <f/>
        <v>-0.76621520558890865</v>
      </c>
      <c r="Q20">
        <f/>
        <v>-0.8445801434357485</v>
      </c>
      <c r="R20">
        <f/>
        <v>-0.90497817687324367</v>
      </c>
      <c r="S20">
        <f/>
        <v>-0.43591979187814578</v>
      </c>
      <c r="T20">
        <f/>
        <v>-0.89974186510294385</v>
      </c>
      <c r="U20">
        <f/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3">
        <f/>
        <v>3.3328936729151057</v>
      </c>
      <c r="AG20" s="11"/>
      <c r="AH20">
        <v>1</v>
      </c>
      <c r="AI20" s="12"/>
      <c r="AN20" s="11"/>
      <c r="AO20" s="22">
        <v>1</v>
      </c>
      <c r="AP20" s="22">
        <v>2</v>
      </c>
      <c r="AQ20" s="12">
        <v>3</v>
      </c>
      <c r="AU20">
        <v>1</v>
      </c>
      <c r="AV20">
        <v>2</v>
      </c>
      <c r="CB20">
        <v>6</v>
      </c>
      <c r="CC20">
        <f t="shared" si="66"/>
        <v>0</v>
      </c>
      <c r="CD20">
        <f t="shared" si="66"/>
        <v>0</v>
      </c>
      <c r="CE20">
        <f t="shared" si="66"/>
        <v>0</v>
      </c>
      <c r="CF20">
        <f t="shared" si="66"/>
        <v>0</v>
      </c>
      <c r="CG20">
        <f t="shared" si="66"/>
        <v>0</v>
      </c>
    </row>
    <row r="21" ht="15.75">
      <c r="I21">
        <v>5</v>
      </c>
      <c r="J21">
        <f/>
        <v>-1.8603682043353007</v>
      </c>
      <c r="L21">
        <f/>
        <v>0.95409200030106678</v>
      </c>
      <c r="N21">
        <f/>
        <v>3.505363413815398</v>
      </c>
      <c r="P21">
        <f/>
        <v>-1.5115481999357532</v>
      </c>
      <c r="Q21">
        <f/>
        <v>-1.6661423399064239</v>
      </c>
      <c r="R21">
        <f/>
        <v>-1.7852923359599959</v>
      </c>
      <c r="S21">
        <f/>
        <v>-0.85995914975785692</v>
      </c>
      <c r="T21">
        <f/>
        <v>-1.7749624213707709</v>
      </c>
      <c r="U21">
        <f/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3">
        <f/>
        <v>3.0956021153893531</v>
      </c>
      <c r="AG21" s="11">
        <v>1</v>
      </c>
      <c r="AH21">
        <f t="shared" ref="AH21:AH23" si="67">1/(1+EXP(-AH15))</f>
        <v>0.0019921843807793297</v>
      </c>
      <c r="AI21" s="12" t="s">
        <v>10</v>
      </c>
      <c r="AN21" s="11">
        <v>1</v>
      </c>
      <c r="AO21" s="22" cm="1">
        <f t="array" ref="AO21:AO24">AJ7:AJ10-$AH$32*$AO14*$AG$7:$AG$10</f>
        <v>-0.1340652101345437</v>
      </c>
      <c r="AP21" s="22" cm="1">
        <f t="array" ref="AP21:AP24">AK7:AK10-$AH$32*$AO15*$AG$7:$AG$10</f>
        <v>-0.49844715662452282</v>
      </c>
      <c r="AQ21" s="12" cm="1">
        <f t="array" ref="AQ21:AQ24">AL7:AL10-$AH$32*$AO16*$AG$7:$AG$10</f>
        <v>-0.72655461694842616</v>
      </c>
      <c r="AT21">
        <v>1</v>
      </c>
      <c r="AU21">
        <f t="shared" ref="AU21:AV26" si="68">AU12*IF(AU12&gt;0,1,0)</f>
        <v>0.084701945740574033</v>
      </c>
      <c r="AV21">
        <f>AV12*IF(AV12&gt;0,1,0)</f>
        <v>0.0064682812977152468</v>
      </c>
    </row>
    <row r="22" ht="15.75">
      <c r="I22">
        <v>6</v>
      </c>
      <c r="J22">
        <f/>
        <v>-0.65320798486953535</v>
      </c>
      <c r="L22">
        <f/>
        <v>0.39939216402551758</v>
      </c>
      <c r="N22">
        <f/>
        <v>2.6509252688065259</v>
      </c>
      <c r="P22">
        <f/>
        <v>-0.53073114849647929</v>
      </c>
      <c r="Q22">
        <f/>
        <v>-0.58501186905897729</v>
      </c>
      <c r="R22">
        <f/>
        <v>-0.6268475275259392</v>
      </c>
      <c r="S22">
        <f/>
        <v>-0.30194677697372951</v>
      </c>
      <c r="T22">
        <f/>
        <v>-0.62322051289680391</v>
      </c>
      <c r="U22">
        <f/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3">
        <f/>
        <v>3.4066135490996676</v>
      </c>
      <c r="AG22" s="11">
        <v>2</v>
      </c>
      <c r="AH22">
        <f t="shared" si="67"/>
        <v>0.11908145276449437</v>
      </c>
      <c r="AI22" s="12" t="s">
        <v>11</v>
      </c>
      <c r="AN22" s="11">
        <v>2</v>
      </c>
      <c r="AO22" s="22">
        <f/>
        <v>-0.94505292997216728</v>
      </c>
      <c r="AP22" s="22">
        <f/>
        <v>0.10005824801873756</v>
      </c>
      <c r="AQ22" s="12">
        <f/>
        <v>1.0327573543148016</v>
      </c>
      <c r="AT22">
        <v>2</v>
      </c>
      <c r="AU22">
        <f t="shared" si="68"/>
        <v>0.0045332962365842262</v>
      </c>
      <c r="AV22">
        <f t="shared" si="68"/>
        <v>0.011304441128582381</v>
      </c>
      <c r="CB22" s="7"/>
      <c r="CC22" s="18" t="s">
        <v>22</v>
      </c>
      <c r="CD22" s="8" t="s">
        <v>80</v>
      </c>
      <c r="CE22" s="9"/>
      <c r="CG22" s="7"/>
      <c r="CH22" s="10" t="s">
        <v>23</v>
      </c>
      <c r="CI22" t="s">
        <v>81</v>
      </c>
    </row>
    <row r="23" ht="15.75">
      <c r="B23" s="7"/>
      <c r="C23" s="9" t="s">
        <v>196</v>
      </c>
      <c r="E23" s="29" t="s">
        <v>197</v>
      </c>
      <c r="G23" s="29" t="s">
        <v>198</v>
      </c>
      <c r="AG23" s="13">
        <v>3</v>
      </c>
      <c r="AH23" s="15">
        <f t="shared" si="67"/>
        <v>0.79364039471471792</v>
      </c>
      <c r="AI23" s="14" t="s">
        <v>12</v>
      </c>
      <c r="AN23" s="11">
        <v>3</v>
      </c>
      <c r="AO23" s="22">
        <f/>
        <v>-0.62004401852436919</v>
      </c>
      <c r="AP23" s="22">
        <f/>
        <v>0.42847762413385287</v>
      </c>
      <c r="AQ23" s="12">
        <f/>
        <v>-0.086273038257247817</v>
      </c>
      <c r="AT23">
        <v>3</v>
      </c>
      <c r="AU23">
        <f t="shared" si="68"/>
        <v>0.0045332962365842262</v>
      </c>
      <c r="AV23">
        <f t="shared" si="68"/>
        <v>0.011304441128582381</v>
      </c>
      <c r="CB23" s="11"/>
      <c r="CC23">
        <v>1</v>
      </c>
      <c r="CD23">
        <v>2</v>
      </c>
      <c r="CE23" s="12">
        <v>3</v>
      </c>
      <c r="CG23" s="11"/>
      <c r="CH23" s="12">
        <v>1</v>
      </c>
    </row>
    <row r="24" ht="15.75">
      <c r="B24" s="11"/>
      <c r="C24" s="12">
        <v>1</v>
      </c>
      <c r="E24" s="30">
        <v>1</v>
      </c>
      <c r="G24" s="30">
        <v>1</v>
      </c>
      <c r="J24" t="s">
        <v>174</v>
      </c>
      <c r="M24" t="s">
        <v>199</v>
      </c>
      <c r="AN24" s="13">
        <v>4</v>
      </c>
      <c r="AO24" s="15">
        <f/>
        <v>-0.29104502024996037</v>
      </c>
      <c r="AP24" s="15">
        <f/>
        <v>-0.082871705073149324</v>
      </c>
      <c r="AQ24" s="14">
        <f/>
        <v>0.22151724008080692</v>
      </c>
      <c r="AT24">
        <v>4</v>
      </c>
      <c r="AU24">
        <f t="shared" si="68"/>
        <v>0.0045332962365842262</v>
      </c>
      <c r="AV24">
        <f t="shared" si="68"/>
        <v>0.011304441128582381</v>
      </c>
      <c r="CB24" s="11">
        <v>1</v>
      </c>
      <c r="CC24" t="e" cm="1">
        <f t="array" ref="CC24">FRONTEND!$M7-$AH$32*SUM($CC$15:$CG$20*CM5:CQ10)</f>
        <v>#NUM!</v>
      </c>
      <c r="CD24" t="e" cm="1">
        <f t="array" ref="CD24">FRONTEND!$N7-$AH$32*SUM($CC$15:$CG$20*CN5:CR10)</f>
        <v>#NUM!</v>
      </c>
      <c r="CE24" s="12" t="e" cm="1">
        <f t="array" ref="CE24">FRONTEND!$O7-$AH$32*SUM($CC$15:$CG$20*CO5:CS10)</f>
        <v>#NUM!</v>
      </c>
      <c r="CG24" s="13">
        <v>1</v>
      </c>
      <c r="CH24" s="14" t="e">
        <f>FRONTEND!$W7-$AH$32*SUM(CA85:CA90)</f>
        <v>#NUM!</v>
      </c>
    </row>
    <row r="25" ht="15.75">
      <c r="B25" s="11">
        <v>1</v>
      </c>
      <c r="C25" s="39">
        <v>-0.86199999999999999</v>
      </c>
      <c r="E25" s="65">
        <v>0.40899999999999997</v>
      </c>
      <c r="G25" s="65">
        <v>-0.051999999999999998</v>
      </c>
      <c r="J25" t="s">
        <v>35</v>
      </c>
      <c r="M25" s="66" t="s">
        <v>200</v>
      </c>
      <c r="N25" s="9"/>
      <c r="AG25" s="7"/>
      <c r="AH25" s="18" t="s">
        <v>61</v>
      </c>
      <c r="AI25" s="9"/>
      <c r="AJ25" t="s">
        <v>62</v>
      </c>
      <c r="AT25">
        <v>5</v>
      </c>
      <c r="AU25">
        <f t="shared" si="68"/>
        <v>0</v>
      </c>
      <c r="AV25">
        <f t="shared" si="68"/>
        <v>0</v>
      </c>
      <c r="CB25" s="11">
        <v>2</v>
      </c>
      <c r="CC25" t="e" cm="1">
        <f t="array" ref="CC25">FRONTEND!$M8-$AH$32*SUM($CC$15:$CG$20*CM6:CQ11)</f>
        <v>#NUM!</v>
      </c>
      <c r="CD25" t="e" cm="1">
        <f t="array" ref="CD25">FRONTEND!$N8-$AH$32*SUM($CC$15:$CG$20*CN6:CR11)</f>
        <v>#NUM!</v>
      </c>
      <c r="CE25" s="12" t="e" cm="1">
        <f t="array" ref="CE25">FRONTEND!$O8-$AH$32*SUM($CC$15:$CG$20*CO6:CS11)</f>
        <v>#NUM!</v>
      </c>
    </row>
    <row r="26" ht="15.75">
      <c r="B26" s="13">
        <v>2</v>
      </c>
      <c r="C26" s="43">
        <v>0.88</v>
      </c>
      <c r="E26" s="67">
        <v>-0.72799999999999998</v>
      </c>
      <c r="G26" s="67">
        <v>-0.64800000000000002</v>
      </c>
      <c r="J26">
        <v>1</v>
      </c>
      <c r="K26">
        <v>2</v>
      </c>
      <c r="M26" s="11">
        <v>1</v>
      </c>
      <c r="N26" s="12">
        <v>2</v>
      </c>
      <c r="AG26" s="11"/>
      <c r="AH26">
        <v>1</v>
      </c>
      <c r="AI26" s="25" t="s">
        <v>63</v>
      </c>
      <c r="AN26" s="7"/>
      <c r="AO26" s="10" t="s">
        <v>23</v>
      </c>
      <c r="AP26" t="s">
        <v>64</v>
      </c>
      <c r="AT26">
        <v>6</v>
      </c>
      <c r="AU26">
        <f t="shared" si="68"/>
        <v>0.0045332962365842262</v>
      </c>
      <c r="AV26">
        <f t="shared" si="68"/>
        <v>0.011304441128582381</v>
      </c>
      <c r="CB26" s="11">
        <v>3</v>
      </c>
      <c r="CC26" t="e" cm="1">
        <f t="array" ref="CC26">FRONTEND!$M9-$AH$32*SUM($CC$15:$CG$20*CM7:CQ12)</f>
        <v>#NUM!</v>
      </c>
      <c r="CD26" t="e" cm="1">
        <f t="array" ref="CD26">FRONTEND!$N9-$AH$32*SUM($CC$15:$CG$20*CN7:CR12)</f>
        <v>#NUM!</v>
      </c>
      <c r="CE26" s="12" t="e" cm="1">
        <f t="array" ref="CE26">FRONTEND!$O9-$AH$32*SUM($CC$15:$CG$20*CO7:CS12)</f>
        <v>#NUM!</v>
      </c>
    </row>
    <row r="27" ht="15.75">
      <c r="I27">
        <v>1</v>
      </c>
      <c r="J27" s="19" cm="1">
        <f t="array" ref="J27:J32">_xlfn.ANCHORARRAY(AD7)</f>
        <v>-1.2059822914038199</v>
      </c>
      <c r="K27" s="23" cm="1">
        <f t="array" ref="K27:K32">_xlfn.ANCHORARRAY(AD17)</f>
        <v>3.2185389216001647</v>
      </c>
      <c r="M27" s="68" cm="1">
        <f t="array" ref="M27:N32">C14:D19+MMULT(J27:K32,C36:D37)</f>
        <v>6.3200030688216877</v>
      </c>
      <c r="N27" s="16">
        <f/>
        <v>5.0443996930808916</v>
      </c>
      <c r="AG27" s="26" t="s">
        <v>65</v>
      </c>
      <c r="AH27" s="1">
        <f>((2/(1+DATA!$I$16))*AI27*LN(AH21)+((2*DATA!$I$16)/(1+DATA!$I$16))*(1-AI27)*LN(1-AH21))</f>
        <v>-0.00041258719025237398</v>
      </c>
      <c r="AI27" s="12">
        <v>0</v>
      </c>
      <c r="AN27" s="11"/>
      <c r="AO27" s="12">
        <v>1</v>
      </c>
      <c r="CB27" s="11">
        <v>4</v>
      </c>
      <c r="CC27" t="e" cm="1">
        <f t="array" ref="CC27">FRONTEND!$M10-$AH$32*SUM($CC$15:$CG$20*CM8:CQ13)</f>
        <v>#NUM!</v>
      </c>
      <c r="CD27" t="e" cm="1">
        <f t="array" ref="CD27">FRONTEND!$N10-$AH$32*SUM($CC$15:$CG$20*CN8:CR13)</f>
        <v>#NUM!</v>
      </c>
      <c r="CE27" s="12" t="e" cm="1">
        <f t="array" ref="CE27">FRONTEND!$O10-$AH$32*SUM($CC$15:$CG$20*CO8:CS13)</f>
        <v>#NUM!</v>
      </c>
    </row>
    <row r="28" ht="15.75">
      <c r="I28">
        <v>2</v>
      </c>
      <c r="J28" s="19">
        <f/>
        <v>-1.3104404012092385</v>
      </c>
      <c r="K28" s="23">
        <f/>
        <v>3.1551819962318395</v>
      </c>
      <c r="M28" s="68">
        <f/>
        <v>6.3232621676959067</v>
      </c>
      <c r="N28" s="16">
        <f/>
        <v>3.9501573183053655</v>
      </c>
      <c r="AG28" s="11">
        <v>2</v>
      </c>
      <c r="AH28" s="1">
        <f>((2/(1+DATA!$I$17))*AI28*LN(AH22)+((2*DATA!$I$17)/(1+DATA!$I$17))*(1-AI28)*LN(1-AH22))</f>
        <v>-2.6346017199116964</v>
      </c>
      <c r="AI28" s="12">
        <v>1</v>
      </c>
      <c r="AN28" s="11">
        <v>1</v>
      </c>
      <c r="AO28" s="12">
        <f t="shared" ref="AO28:AO30" si="69">AK15-$AH$32*$AO14</f>
        <v>0.99998626079737396</v>
      </c>
      <c r="AT28" s="7"/>
      <c r="AU28" s="18" t="s">
        <v>201</v>
      </c>
      <c r="AV28" s="9" t="s">
        <v>202</v>
      </c>
      <c r="AX28" s="66" t="s">
        <v>203</v>
      </c>
      <c r="AY28" s="9" t="s">
        <v>204</v>
      </c>
      <c r="CB28" s="13">
        <v>5</v>
      </c>
      <c r="CC28" s="15" t="e" cm="1">
        <f t="array" ref="CC28">FRONTEND!$M11-$AH$32*SUM($CC$15:$CG$20*CM9:CQ14)</f>
        <v>#NUM!</v>
      </c>
      <c r="CD28" s="15" t="e" cm="1">
        <f t="array" ref="CD28">FRONTEND!$N11-$AH$32*SUM($CC$15:$CG$20*CN9:CR14)</f>
        <v>#NUM!</v>
      </c>
      <c r="CE28" s="14" t="e" cm="1">
        <f t="array" ref="CE28">FRONTEND!$O11-$AH$32*SUM($CC$15:$CG$20*CO9:CS14)</f>
        <v>#NUM!</v>
      </c>
    </row>
    <row r="29">
      <c r="B29" s="7"/>
      <c r="C29" s="9" t="s">
        <v>205</v>
      </c>
      <c r="E29" s="29" t="s">
        <v>206</v>
      </c>
      <c r="G29" s="29" t="s">
        <v>207</v>
      </c>
      <c r="I29">
        <v>3</v>
      </c>
      <c r="J29" s="19">
        <f/>
        <v>-1.3207714547528537</v>
      </c>
      <c r="K29" s="23">
        <f/>
        <v>3.1240655069345546</v>
      </c>
      <c r="M29" s="68">
        <f/>
        <v>6.5825217080139184</v>
      </c>
      <c r="N29" s="16">
        <f/>
        <v>3.9747452353102402</v>
      </c>
      <c r="AG29" s="11">
        <v>3</v>
      </c>
      <c r="AH29" s="1">
        <f>((2/(1+DATA!$I$18))*AI29*LN(AH23)+((2*DATA!$I$18)/(1+DATA!$I$18))*(1-AI29)*LN(1-AH23))</f>
        <v>-0.36419669190459086</v>
      </c>
      <c r="AI29" s="12">
        <v>1</v>
      </c>
      <c r="AN29" s="11">
        <v>2</v>
      </c>
      <c r="AO29" s="12">
        <f t="shared" si="69"/>
        <v>1.0363553686160685</v>
      </c>
      <c r="AT29" s="11"/>
      <c r="AU29">
        <v>1</v>
      </c>
      <c r="AV29" s="12">
        <v>2</v>
      </c>
      <c r="AX29" s="11">
        <v>1</v>
      </c>
      <c r="AY29" s="12">
        <v>2</v>
      </c>
    </row>
    <row r="30" ht="15.75">
      <c r="B30" s="11"/>
      <c r="C30" s="12">
        <v>1</v>
      </c>
      <c r="E30" s="30">
        <v>1</v>
      </c>
      <c r="G30" s="30">
        <v>1</v>
      </c>
      <c r="I30">
        <v>4</v>
      </c>
      <c r="J30" s="19">
        <f/>
        <v>-1.2860235953106054</v>
      </c>
      <c r="K30" s="23">
        <f/>
        <v>3.3328936729151057</v>
      </c>
      <c r="M30" s="68">
        <f/>
        <v>4.0398736022499575</v>
      </c>
      <c r="N30" s="16">
        <f/>
        <v>2.1287906796455518</v>
      </c>
      <c r="AG30" s="27" t="s">
        <v>6</v>
      </c>
      <c r="AH30" s="15">
        <f>-1*SUM(AH27:AH29)/3</f>
        <v>0.99973699966884644</v>
      </c>
      <c r="AI30" s="14"/>
      <c r="AN30" s="13">
        <v>3</v>
      </c>
      <c r="AO30" s="14">
        <f t="shared" si="69"/>
        <v>1.0108390903786209</v>
      </c>
      <c r="AT30" s="11">
        <v>1</v>
      </c>
      <c r="AU30" cm="1">
        <f t="array" ref="AU30:AV31">C42:D43-$AH$32*MMULT(TRANSPOSE(_xlfn.ANCHORARRAY($M$27)),AU21:AV26)</f>
      </c>
      <c r="AV30" s="12">
        <f/>
      </c>
      <c r="AX30" s="13">
        <f>F47-AH32*SUM(AU21:AU26)</f>
        <v>0.98971648693130887</v>
      </c>
      <c r="AY30" s="14">
        <f>G47-AH32*SUM(AV21:AV26)</f>
        <v>0.99483139541879551</v>
      </c>
    </row>
    <row r="31" ht="26.25">
      <c r="B31" s="11">
        <v>1</v>
      </c>
      <c r="C31" s="39">
        <v>-0.48699999999999999</v>
      </c>
      <c r="E31" s="65">
        <v>0.251</v>
      </c>
      <c r="G31" s="65">
        <v>0.94499999999999995</v>
      </c>
      <c r="I31">
        <v>5</v>
      </c>
      <c r="J31" s="19">
        <f/>
        <v>-1.3399990969793096</v>
      </c>
      <c r="K31" s="23">
        <f/>
        <v>3.0956021153893531</v>
      </c>
      <c r="M31" s="68">
        <f/>
        <v>6.051274286607276</v>
      </c>
      <c r="N31" s="16">
        <f/>
        <v>2.4138307364878253</v>
      </c>
      <c r="AT31" s="13">
        <v>2</v>
      </c>
      <c r="AU31" s="15">
        <f/>
      </c>
      <c r="AV31" s="14">
        <f/>
      </c>
      <c r="CC31" s="6" t="s">
        <v>68</v>
      </c>
    </row>
    <row r="32" ht="26.25">
      <c r="B32" s="13">
        <v>2</v>
      </c>
      <c r="C32" s="43">
        <v>0.23799999999999999</v>
      </c>
      <c r="E32" s="67">
        <v>-0.082000000000000003</v>
      </c>
      <c r="G32" s="67">
        <v>0.435</v>
      </c>
      <c r="I32">
        <v>6</v>
      </c>
      <c r="J32" s="19">
        <f/>
        <v>-0.98159933925249687</v>
      </c>
      <c r="K32" s="23">
        <f/>
        <v>3.4066135490996676</v>
      </c>
      <c r="M32" s="69">
        <f/>
        <v>4.3795561711650439</v>
      </c>
      <c r="N32" s="17">
        <f/>
        <v>4.2937162647921117</v>
      </c>
      <c r="AG32" s="2" t="s">
        <v>67</v>
      </c>
      <c r="AH32">
        <v>0.10000000000000001</v>
      </c>
      <c r="CC32" s="6" t="s">
        <v>21</v>
      </c>
      <c r="CK32">
        <v>0</v>
      </c>
      <c r="CL32">
        <v>0</v>
      </c>
      <c r="CM32">
        <v>0</v>
      </c>
    </row>
    <row r="33" ht="15.75">
      <c r="M33" t="s">
        <v>208</v>
      </c>
      <c r="AO33" t="s">
        <v>69</v>
      </c>
      <c r="AT33" s="7"/>
      <c r="AU33" s="18" t="s">
        <v>209</v>
      </c>
      <c r="AV33" s="9"/>
      <c r="AW33" t="s">
        <v>210</v>
      </c>
      <c r="CC33" t="s">
        <v>43</v>
      </c>
      <c r="CD33" t="s">
        <v>83</v>
      </c>
      <c r="CK33">
        <v>0</v>
      </c>
      <c r="CL33" s="29" cm="1">
        <f t="array" ref="CL33:CL38">FRONTEND!$B$26:$B$31</f>
        <v>0.36548104119790437</v>
      </c>
      <c r="CM33">
        <v>0</v>
      </c>
    </row>
    <row r="34">
      <c r="B34" s="7"/>
      <c r="C34" s="8" t="s">
        <v>211</v>
      </c>
      <c r="D34" s="9"/>
      <c r="AO34">
        <v>1</v>
      </c>
      <c r="AP34" t="s">
        <v>72</v>
      </c>
      <c r="AT34" s="11"/>
      <c r="AU34">
        <v>1</v>
      </c>
      <c r="AV34" s="12">
        <v>2</v>
      </c>
      <c r="CC34">
        <v>1</v>
      </c>
      <c r="CK34">
        <v>0</v>
      </c>
      <c r="CL34" s="30">
        <f/>
        <v>-0.24318936518565337</v>
      </c>
      <c r="CM34">
        <v>0</v>
      </c>
    </row>
    <row r="35" ht="26.25">
      <c r="B35" s="11"/>
      <c r="C35">
        <v>1</v>
      </c>
      <c r="D35" s="12">
        <v>2</v>
      </c>
      <c r="J35" s="6" t="s">
        <v>170</v>
      </c>
      <c r="AN35">
        <v>1</v>
      </c>
      <c r="AO35" s="19" cm="1">
        <f t="array" ref="AO35">SUM(MMULT(TRANSPOSE($AO$14:$AO$16),TRANSPOSE(AJ7:AL7)))</f>
        <v>0.32825423602797099</v>
      </c>
      <c r="AT35" s="11">
        <v>1</v>
      </c>
      <c r="AU35" s="19" cm="1">
        <f t="array" ref="AU35:AV40">AO60:AP65+MMULT(AU21:AV26,TRANSPOSE(C42:D43))</f>
        <v>-0.055258289305352898</v>
      </c>
      <c r="AV35" s="16">
        <f/>
        <v>-0.0025474247600595218</v>
      </c>
      <c r="CB35">
        <v>1</v>
      </c>
      <c r="CC35" s="23">
        <f t="shared" ref="CC35:CC40" si="70">CB85*IF(CB85&gt;0,1,0)</f>
        <v>0</v>
      </c>
      <c r="CK35">
        <v>0</v>
      </c>
      <c r="CL35" s="30">
        <f/>
        <v>0.086633902217030781</v>
      </c>
      <c r="CM35">
        <v>0</v>
      </c>
    </row>
    <row r="36">
      <c r="B36" s="11">
        <v>1</v>
      </c>
      <c r="C36" s="38">
        <v>-0.47399999999999998</v>
      </c>
      <c r="D36" s="39">
        <v>-0.068000000000000005</v>
      </c>
      <c r="J36" t="s">
        <v>212</v>
      </c>
      <c r="K36" t="s">
        <v>213</v>
      </c>
      <c r="M36" t="s">
        <v>28</v>
      </c>
      <c r="N36" t="s">
        <v>213</v>
      </c>
      <c r="AN36">
        <v>2</v>
      </c>
      <c r="AO36" s="19" cm="1">
        <f t="array" ref="AO36">SUM(MMULT(TRANSPOSE($AO$14:$AO$16),TRANSPOSE(AJ8:AL8)))</f>
        <v>-0.09300307367052181</v>
      </c>
      <c r="AT36" s="11">
        <v>2</v>
      </c>
      <c r="AU36" s="19">
        <f/>
        <v>-0.016044473322914081</v>
      </c>
      <c r="AV36" s="16">
        <f/>
        <v>0.015847281168938313</v>
      </c>
      <c r="CB36">
        <v>2</v>
      </c>
      <c r="CC36" s="23">
        <f t="shared" si="70"/>
        <v>0</v>
      </c>
      <c r="CK36">
        <v>0</v>
      </c>
      <c r="CL36" s="30">
        <f/>
        <v>-0.84368679885201792</v>
      </c>
      <c r="CM36">
        <v>0</v>
      </c>
    </row>
    <row r="37" ht="15.75">
      <c r="B37" s="13">
        <v>2</v>
      </c>
      <c r="C37" s="42">
        <v>0.53400000000000003</v>
      </c>
      <c r="D37" s="43">
        <v>0.78800000000000003</v>
      </c>
      <c r="J37">
        <v>1</v>
      </c>
      <c r="K37">
        <v>2</v>
      </c>
      <c r="M37">
        <v>1</v>
      </c>
      <c r="N37">
        <v>2</v>
      </c>
      <c r="AN37">
        <v>3</v>
      </c>
      <c r="AO37" s="23" cm="1">
        <f t="array" ref="AO37">SUM(MMULT(TRANSPOSE($AO$14:$AO$16),TRANSPOSE(AJ9:AL9)))</f>
        <v>-0.10039863378028401</v>
      </c>
      <c r="AT37" s="11">
        <v>3</v>
      </c>
      <c r="AU37" s="19">
        <f/>
        <v>-0.016044473322914081</v>
      </c>
      <c r="AV37" s="16">
        <f/>
        <v>0.015847281168938313</v>
      </c>
      <c r="CB37">
        <v>3</v>
      </c>
      <c r="CC37" s="23">
        <f t="shared" si="70"/>
        <v>0</v>
      </c>
      <c r="CK37">
        <v>0</v>
      </c>
      <c r="CL37" s="30">
        <f/>
        <v>0.17422066566536737</v>
      </c>
      <c r="CM37">
        <v>0</v>
      </c>
    </row>
    <row r="38" ht="15.75">
      <c r="I38">
        <v>1</v>
      </c>
      <c r="J38" cm="1">
        <f t="array" ref="J38:K38">MMULT(M27:N27,$C$42:$D$43)+$F$42:$G$42</f>
        <v>2.7712762553399624</v>
      </c>
      <c r="K38">
        <f/>
        <v>3.786887897227496</v>
      </c>
      <c r="M38">
        <f t="shared" ref="M38:N43" si="71">MAX(0,J38)</f>
        <v>2.7712762553399624</v>
      </c>
      <c r="N38">
        <f t="shared" si="71"/>
        <v>3.786887897227496</v>
      </c>
      <c r="AN38">
        <v>4</v>
      </c>
      <c r="AO38" s="23" cm="1">
        <f t="array" ref="AO38">SUM(MMULT(TRANSPOSE($AO$14:$AO$16),TRANSPOSE(AJ10:AL10)))</f>
        <v>0.053237155420581675</v>
      </c>
      <c r="AT38" s="11">
        <v>4</v>
      </c>
      <c r="AU38" s="19">
        <f/>
        <v>-0.016044473322914081</v>
      </c>
      <c r="AV38" s="16">
        <f/>
        <v>0.015847281168938313</v>
      </c>
      <c r="CB38">
        <v>4</v>
      </c>
      <c r="CC38" s="23">
        <f t="shared" si="70"/>
        <v>0</v>
      </c>
      <c r="CK38">
        <v>0</v>
      </c>
      <c r="CL38" s="31">
        <f/>
        <v>0.46054055495736873</v>
      </c>
      <c r="CM38">
        <v>0</v>
      </c>
    </row>
    <row r="39" ht="15.75">
      <c r="I39">
        <v>2</v>
      </c>
      <c r="J39" cm="1">
        <f t="array" ref="J39:K39">MMULT(M28:N28,$C$42:$D$43)+$F$42:$G$42</f>
        <v>1.7356723983107103</v>
      </c>
      <c r="K39">
        <f/>
        <v>3.5272762458483493</v>
      </c>
      <c r="M39">
        <f t="shared" si="71"/>
        <v>1.7356723983107103</v>
      </c>
      <c r="N39">
        <f t="shared" si="71"/>
        <v>3.5272762458483493</v>
      </c>
      <c r="AT39" s="11">
        <v>5</v>
      </c>
      <c r="AU39" s="19">
        <f/>
        <v>0.31152113039792367</v>
      </c>
      <c r="AV39" s="16">
        <f/>
        <v>0.0088728592367636125</v>
      </c>
      <c r="CB39">
        <v>5</v>
      </c>
      <c r="CC39" s="23">
        <f t="shared" si="70"/>
        <v>0</v>
      </c>
      <c r="CK39">
        <v>0</v>
      </c>
      <c r="CL39">
        <v>0</v>
      </c>
      <c r="CM39">
        <v>0</v>
      </c>
    </row>
    <row r="40" ht="15.75">
      <c r="B40" s="7"/>
      <c r="C40" s="8" t="s">
        <v>201</v>
      </c>
      <c r="D40" s="9"/>
      <c r="F40" s="7" t="s">
        <v>203</v>
      </c>
      <c r="G40" s="9"/>
      <c r="I40">
        <v>3</v>
      </c>
      <c r="J40" cm="1">
        <f t="array" ref="J40:K40">MMULT(M29:N29,$C$42:$D$43)+$F$42:$G$42</f>
        <v>1.6360189577695796</v>
      </c>
      <c r="K40">
        <f/>
        <v>3.5982023147153308</v>
      </c>
      <c r="M40">
        <f t="shared" si="71"/>
        <v>1.6360189577695796</v>
      </c>
      <c r="N40">
        <f t="shared" si="71"/>
        <v>3.5982023147153308</v>
      </c>
      <c r="AM40" t="s">
        <v>77</v>
      </c>
      <c r="AN40" s="19" t="s">
        <v>33</v>
      </c>
      <c r="AQ40" s="2" t="s">
        <v>25</v>
      </c>
      <c r="AT40" s="13">
        <v>6</v>
      </c>
      <c r="AU40" s="20">
        <f/>
        <v>-0.016044473322914081</v>
      </c>
      <c r="AV40" s="17">
        <f/>
        <v>0.015847281168938313</v>
      </c>
      <c r="CB40">
        <v>6</v>
      </c>
      <c r="CC40" s="23">
        <f t="shared" si="70"/>
        <v>0</v>
      </c>
    </row>
    <row r="41" ht="15.75">
      <c r="B41" s="11"/>
      <c r="C41">
        <v>1</v>
      </c>
      <c r="D41" s="12">
        <v>2</v>
      </c>
      <c r="F41" s="11">
        <v>1</v>
      </c>
      <c r="G41" s="12">
        <v>2</v>
      </c>
      <c r="I41">
        <v>4</v>
      </c>
      <c r="J41" cm="1">
        <f t="array" ref="J41:K41">MMULT(M30:N30,$C$42:$D$43)+$F$42:$G$42</f>
        <v>1.0968071047985668</v>
      </c>
      <c r="K41">
        <f/>
        <v>2.5206604559203809</v>
      </c>
      <c r="M41">
        <f t="shared" si="71"/>
        <v>1.0968071047985668</v>
      </c>
      <c r="N41">
        <f t="shared" si="71"/>
        <v>2.5206604559203809</v>
      </c>
      <c r="AN41">
        <v>1</v>
      </c>
      <c r="AO41" s="2" t="s">
        <v>75</v>
      </c>
      <c r="AQ41">
        <v>1</v>
      </c>
      <c r="AR41">
        <v>2</v>
      </c>
    </row>
    <row r="42" ht="15.75">
      <c r="B42" s="11">
        <v>1</v>
      </c>
      <c r="C42" s="38">
        <v>-0.47399999999999998</v>
      </c>
      <c r="D42" s="39">
        <v>0.251</v>
      </c>
      <c r="F42" s="13">
        <v>1</v>
      </c>
      <c r="G42" s="14">
        <v>1</v>
      </c>
      <c r="I42">
        <v>5</v>
      </c>
      <c r="J42" cm="1">
        <f t="array" ref="J42:K42">MMULT(M31:N31,$C$42:$D$43)+$F$42:$G$42</f>
        <v>0.41276603412914614</v>
      </c>
      <c r="K42">
        <f/>
        <v>3.0933615612225287</v>
      </c>
      <c r="M42">
        <f t="shared" si="71"/>
        <v>0.41276603412914614</v>
      </c>
      <c r="N42">
        <f t="shared" si="71"/>
        <v>3.0933615612225287</v>
      </c>
      <c r="AM42">
        <v>1</v>
      </c>
      <c r="AN42">
        <f t="shared" ref="AN42:AN43" si="72">AO35</f>
        <v>0.32825423602797099</v>
      </c>
      <c r="AO42">
        <f>MATCH(MAX(M47:M52),M47:M52,0)</f>
        <v>5</v>
      </c>
      <c r="AP42">
        <v>1</v>
      </c>
      <c r="AQ42">
        <f t="shared" ref="AQ42:AQ47" si="73">IF(AP42=$AO$42,$AN$42,0)</f>
        <v>0</v>
      </c>
      <c r="AR42">
        <f t="shared" ref="AR42:AR47" si="74">IF(AP42=$AO$43,$AN$43,0)</f>
        <v>-0.09300307367052181</v>
      </c>
      <c r="CB42" s="7"/>
      <c r="CC42" s="10" t="s">
        <v>22</v>
      </c>
      <c r="CD42" t="s">
        <v>84</v>
      </c>
      <c r="CE42" s="7"/>
      <c r="CF42" s="10" t="s">
        <v>23</v>
      </c>
      <c r="CG42" t="s">
        <v>85</v>
      </c>
    </row>
    <row r="43" ht="26.25">
      <c r="B43" s="13">
        <v>2</v>
      </c>
      <c r="C43" s="42">
        <v>0.94499999999999995</v>
      </c>
      <c r="D43" s="43">
        <v>0.23799999999999999</v>
      </c>
      <c r="I43">
        <v>6</v>
      </c>
      <c r="J43" cm="1">
        <f t="array" ref="J43:K43">MMULT(M32:N32,$C$42:$D$43)+$F$42:$G$42</f>
        <v>2.9816522450963143</v>
      </c>
      <c r="K43">
        <f/>
        <v>3.1211730699829485</v>
      </c>
      <c r="M43">
        <f t="shared" si="71"/>
        <v>2.9816522450963143</v>
      </c>
      <c r="N43">
        <f t="shared" si="71"/>
        <v>3.1211730699829485</v>
      </c>
      <c r="AM43">
        <v>2</v>
      </c>
      <c r="AN43">
        <f t="shared" si="72"/>
        <v>-0.09300307367052181</v>
      </c>
      <c r="AO43">
        <f>MATCH(MAX(N47:N52),N47:N52,0)</f>
        <v>1</v>
      </c>
      <c r="AP43">
        <v>2</v>
      </c>
      <c r="AQ43">
        <f t="shared" si="73"/>
        <v>0</v>
      </c>
      <c r="AR43">
        <f t="shared" si="74"/>
        <v>0</v>
      </c>
      <c r="AU43" s="6" t="s">
        <v>37</v>
      </c>
      <c r="CB43" s="11"/>
      <c r="CC43" s="12">
        <v>1</v>
      </c>
      <c r="CE43" s="11"/>
      <c r="CF43" s="12">
        <v>1</v>
      </c>
    </row>
    <row r="44" ht="26.25">
      <c r="P44" t="s">
        <v>162</v>
      </c>
      <c r="S44" t="s">
        <v>162</v>
      </c>
      <c r="W44" t="s">
        <v>162</v>
      </c>
      <c r="AP44">
        <v>3</v>
      </c>
      <c r="AQ44">
        <f t="shared" si="73"/>
        <v>0</v>
      </c>
      <c r="AR44">
        <f t="shared" si="74"/>
        <v>0</v>
      </c>
      <c r="AU44" s="6" t="s">
        <v>169</v>
      </c>
      <c r="CB44" s="11">
        <v>1</v>
      </c>
      <c r="CC44" s="12" cm="1">
        <f t="array" ref="CC44">FRONTEND!T7-$AH32*SUM($CC$35:$CC$40*CL32:CL37)</f>
        <v>0.122</v>
      </c>
      <c r="CE44" s="13">
        <v>1</v>
      </c>
      <c r="CF44" s="14">
        <f>FRONTEND!$W7-$AH$32*SUM(CB85:CB90)</f>
        <v>1</v>
      </c>
    </row>
    <row r="45" ht="15.75">
      <c r="B45" s="7"/>
      <c r="C45" s="8" t="s">
        <v>183</v>
      </c>
      <c r="D45" s="9"/>
      <c r="F45" s="7" t="s">
        <v>185</v>
      </c>
      <c r="G45" s="9"/>
      <c r="J45" t="s">
        <v>214</v>
      </c>
      <c r="K45" t="s">
        <v>213</v>
      </c>
      <c r="M45" s="66" t="s">
        <v>215</v>
      </c>
      <c r="N45" s="9" t="s">
        <v>213</v>
      </c>
      <c r="P45" t="s">
        <v>33</v>
      </c>
      <c r="S45" t="s">
        <v>76</v>
      </c>
      <c r="V45" s="7"/>
      <c r="W45" s="10" t="s">
        <v>165</v>
      </c>
      <c r="AP45">
        <v>4</v>
      </c>
      <c r="AQ45">
        <f t="shared" si="73"/>
        <v>0</v>
      </c>
      <c r="AR45">
        <f t="shared" si="74"/>
        <v>0</v>
      </c>
      <c r="CB45" s="11">
        <v>2</v>
      </c>
      <c r="CC45" s="12" cm="1">
        <f t="array" ref="CC45">FRONTEND!T8-$AG40*SUM($CC$35:$CC$40*CL33:CL38)</f>
        <v>0.51600000000000001</v>
      </c>
    </row>
    <row r="46" ht="15.75">
      <c r="B46" s="11"/>
      <c r="C46">
        <v>1</v>
      </c>
      <c r="D46" s="12">
        <v>2</v>
      </c>
      <c r="F46" s="11">
        <v>1</v>
      </c>
      <c r="G46" s="12">
        <v>2</v>
      </c>
      <c r="J46">
        <v>1</v>
      </c>
      <c r="K46">
        <v>2</v>
      </c>
      <c r="M46" s="11">
        <v>1</v>
      </c>
      <c r="N46" s="12">
        <v>2</v>
      </c>
      <c r="P46">
        <v>1</v>
      </c>
      <c r="Q46">
        <v>2</v>
      </c>
      <c r="S46">
        <v>1</v>
      </c>
      <c r="T46">
        <v>3</v>
      </c>
      <c r="V46" s="11"/>
      <c r="W46" s="12">
        <v>1</v>
      </c>
      <c r="AP46">
        <v>5</v>
      </c>
      <c r="AQ46">
        <f t="shared" si="73"/>
        <v>0.32825423602797099</v>
      </c>
      <c r="AR46">
        <f t="shared" si="74"/>
        <v>0</v>
      </c>
      <c r="AT46" s="7"/>
      <c r="AU46" s="18" t="s">
        <v>211</v>
      </c>
      <c r="AV46" s="9" t="s">
        <v>216</v>
      </c>
      <c r="CB46" s="13">
        <v>3</v>
      </c>
      <c r="CC46" s="14" cm="1">
        <f t="array" ref="CC46">FRONTEND!T9-$AG41*SUM($CC$35:$CC$40*CL34:CL39)</f>
        <v>-0.97699999999999998</v>
      </c>
    </row>
    <row r="47" ht="15.75">
      <c r="B47" s="11">
        <v>1</v>
      </c>
      <c r="C47" s="38">
        <v>-0.72799999999999998</v>
      </c>
      <c r="D47" s="39">
        <v>-0.86199999999999999</v>
      </c>
      <c r="F47" s="13">
        <v>1</v>
      </c>
      <c r="G47" s="14">
        <v>1</v>
      </c>
      <c r="I47">
        <v>1</v>
      </c>
      <c r="J47" cm="1">
        <f t="array" ref="J47:K47">MMULT(M38:N38,$C$47:$D$48)+$F$47:$G$47</f>
        <v>-3.4713924712909101</v>
      </c>
      <c r="K47">
        <f/>
        <v>-1.1919219614472181</v>
      </c>
      <c r="M47" s="11">
        <f t="shared" ref="M47:N52" si="75">M27+J47</f>
        <v>2.8486105975307776</v>
      </c>
      <c r="N47" s="12">
        <f>N27+K47</f>
        <v>3.8524777316336736</v>
      </c>
      <c r="P47" s="19">
        <f>MAX(M47:M52)</f>
        <v>4.7462823220890584</v>
      </c>
      <c r="Q47" s="19">
        <f>MAX(N47:N52)</f>
        <v>3.8524777316336736</v>
      </c>
      <c r="S47" s="23">
        <f>AVERAGE(M47:M52)</f>
        <v>3.2038631037940193</v>
      </c>
      <c r="T47" s="23">
        <f>AVERAGE(N47:N52)</f>
        <v>3.2767731276474503</v>
      </c>
      <c r="V47" s="11">
        <v>1</v>
      </c>
      <c r="W47" s="57" cm="1">
        <f t="array" ref="W47:W48">TRANSPOSE(P47:Q47)</f>
        <v>4.7462823220890584</v>
      </c>
      <c r="AP47">
        <v>6</v>
      </c>
      <c r="AQ47">
        <f t="shared" si="73"/>
        <v>0</v>
      </c>
      <c r="AR47">
        <f t="shared" si="74"/>
        <v>0</v>
      </c>
      <c r="AT47" s="11"/>
      <c r="AU47">
        <v>1</v>
      </c>
      <c r="AV47" s="12">
        <v>2</v>
      </c>
    </row>
    <row r="48" ht="15.75">
      <c r="B48" s="13">
        <v>2</v>
      </c>
      <c r="C48" s="42">
        <v>-0.64800000000000002</v>
      </c>
      <c r="D48" s="43">
        <v>0.051999999999999998</v>
      </c>
      <c r="I48">
        <v>2</v>
      </c>
      <c r="J48" cm="1">
        <f t="array" ref="J48:K48">MMULT(M39:N39,$C$47:$D$48)+$F$47:$G$47</f>
        <v>-2.5492445132799277</v>
      </c>
      <c r="K48">
        <f/>
        <v>-0.31273124255971818</v>
      </c>
      <c r="M48" s="11">
        <f t="shared" si="75"/>
        <v>3.7740176544159789</v>
      </c>
      <c r="N48" s="12">
        <f t="shared" si="75"/>
        <v>3.6374260757456476</v>
      </c>
      <c r="V48" s="11">
        <v>2</v>
      </c>
      <c r="W48" s="57">
        <f/>
        <v>3.8524777316336736</v>
      </c>
      <c r="AT48" s="11">
        <v>1</v>
      </c>
      <c r="AU48" cm="1">
        <f t="array" ref="AU48:AV49">C36:D37-$AH$32*MMULT(TRANSPOSE(J27:K32),_xlfn.ANCHORARRAY(AU35))</f>
      </c>
      <c r="AV48" s="12">
        <f/>
      </c>
    </row>
    <row r="49" ht="15.75">
      <c r="I49">
        <v>3</v>
      </c>
      <c r="J49" cm="1">
        <f t="array" ref="J49:K49">MMULT(M40:N40,$C$47:$D$48)+$F$47:$G$47</f>
        <v>-2.5226569011917883</v>
      </c>
      <c r="K49">
        <f/>
        <v>-0.22314182123218052</v>
      </c>
      <c r="M49" s="11">
        <f t="shared" si="75"/>
        <v>4.0598648068221301</v>
      </c>
      <c r="N49" s="12">
        <f t="shared" si="75"/>
        <v>3.7516034140780596</v>
      </c>
      <c r="V49" s="11">
        <v>3</v>
      </c>
      <c r="W49" s="16" cm="1">
        <f t="array" ref="W49:W50">TRANSPOSE(S47:T47)</f>
        <v>3.2038631037940193</v>
      </c>
      <c r="AM49" t="s">
        <v>77</v>
      </c>
      <c r="AN49" s="23" t="s">
        <v>76</v>
      </c>
      <c r="AP49" s="2" t="s">
        <v>79</v>
      </c>
      <c r="AT49" s="13">
        <v>2</v>
      </c>
      <c r="AU49" s="15">
        <f/>
      </c>
      <c r="AV49" s="14">
        <f/>
      </c>
    </row>
    <row r="50" ht="15.75">
      <c r="I50">
        <v>4</v>
      </c>
      <c r="J50" cm="1">
        <f t="array" ref="J50:K50">MMULT(M41:N41,$C$47:$D$48)+$F$47:$G$47</f>
        <v>-1.4318635477297637</v>
      </c>
      <c r="K50">
        <f/>
        <v>0.18562661937149527</v>
      </c>
      <c r="M50" s="11">
        <f t="shared" si="75"/>
        <v>2.6080100545201939</v>
      </c>
      <c r="N50" s="12">
        <f t="shared" si="75"/>
        <v>2.3144172990170473</v>
      </c>
      <c r="V50" s="13">
        <v>4</v>
      </c>
      <c r="W50" s="17">
        <f/>
        <v>3.2767731276474503</v>
      </c>
      <c r="AN50">
        <v>1</v>
      </c>
      <c r="AO50">
        <v>2</v>
      </c>
      <c r="AP50" s="2">
        <v>6</v>
      </c>
    </row>
    <row r="51">
      <c r="I51">
        <v>5</v>
      </c>
      <c r="J51" cm="1">
        <f t="array" ref="J51:K51">MMULT(M42:N42,$C$47:$D$48)+$F$47:$G$47</f>
        <v>-1.3049919645182171</v>
      </c>
      <c r="K51">
        <f/>
        <v>0.80505047976424748</v>
      </c>
      <c r="M51" s="11">
        <f t="shared" si="75"/>
        <v>4.7462823220890584</v>
      </c>
      <c r="N51" s="12">
        <f t="shared" si="75"/>
        <v>3.2188812162520728</v>
      </c>
      <c r="AM51">
        <v>1</v>
      </c>
      <c r="AN51">
        <f t="shared" ref="AN51:AN56" si="76">$AO$37/$AP$50</f>
        <v>-0.016733105630047335</v>
      </c>
      <c r="AO51">
        <f t="shared" ref="AO51:AO56" si="77">$AO$38/$AP$50</f>
        <v>0.0088728592367636125</v>
      </c>
      <c r="AU51" t="s">
        <v>217</v>
      </c>
      <c r="AV51" t="s">
        <v>218</v>
      </c>
    </row>
    <row r="52" ht="15.75">
      <c r="I52">
        <v>6</v>
      </c>
      <c r="J52" cm="1">
        <f t="array" ref="J52:K52">MMULT(M43:N43,$C$47:$D$48)+$F$47:$G$47</f>
        <v>-3.193162983779068</v>
      </c>
      <c r="K52">
        <f/>
        <v>-1.4078832356339097</v>
      </c>
      <c r="M52" s="13">
        <f t="shared" si="75"/>
        <v>1.1863931873859759</v>
      </c>
      <c r="N52" s="14">
        <f t="shared" si="75"/>
        <v>2.8858330291582019</v>
      </c>
      <c r="AM52">
        <v>2</v>
      </c>
      <c r="AN52">
        <f t="shared" si="76"/>
        <v>-0.016733105630047335</v>
      </c>
      <c r="AO52">
        <f t="shared" si="77"/>
        <v>0.0088728592367636125</v>
      </c>
      <c r="AU52">
        <v>1</v>
      </c>
      <c r="AV52">
        <v>2</v>
      </c>
    </row>
    <row r="53">
      <c r="M53" t="s">
        <v>208</v>
      </c>
      <c r="AM53">
        <v>3</v>
      </c>
      <c r="AN53">
        <f t="shared" si="76"/>
        <v>-0.016733105630047335</v>
      </c>
      <c r="AO53">
        <f t="shared" si="77"/>
        <v>0.0088728592367636125</v>
      </c>
      <c r="AT53">
        <v>1</v>
      </c>
      <c r="AU53" s="19" cm="1">
        <f t="array" ref="AU53">MMULT(_xlfn.ANCHORARRAY(AU35),TRANSPOSE(C36:D37))</f>
      </c>
      <c r="AV53" s="23"/>
    </row>
    <row r="54">
      <c r="AM54">
        <v>4</v>
      </c>
      <c r="AN54">
        <f t="shared" si="76"/>
        <v>-0.016733105630047335</v>
      </c>
      <c r="AO54">
        <f t="shared" si="77"/>
        <v>0.0088728592367636125</v>
      </c>
      <c r="AT54">
        <v>2</v>
      </c>
      <c r="AU54" s="19"/>
      <c r="AV54" s="23"/>
    </row>
    <row r="55">
      <c r="AM55">
        <v>5</v>
      </c>
      <c r="AN55">
        <f t="shared" si="76"/>
        <v>-0.016733105630047335</v>
      </c>
      <c r="AO55">
        <f t="shared" si="77"/>
        <v>0.0088728592367636125</v>
      </c>
      <c r="AT55">
        <v>3</v>
      </c>
      <c r="AU55" s="19"/>
      <c r="AV55" s="23"/>
      <c r="BT55" t="s">
        <v>219</v>
      </c>
    </row>
    <row r="56">
      <c r="AM56">
        <v>6</v>
      </c>
      <c r="AN56">
        <f t="shared" si="76"/>
        <v>-0.016733105630047335</v>
      </c>
      <c r="AO56">
        <f t="shared" si="77"/>
        <v>0.0088728592367636125</v>
      </c>
      <c r="AT56">
        <v>4</v>
      </c>
      <c r="AU56" s="19"/>
      <c r="AV56" s="23"/>
    </row>
    <row r="57" ht="15.75">
      <c r="AO57" s="1"/>
      <c r="AT57">
        <v>5</v>
      </c>
      <c r="AU57" s="19"/>
      <c r="AV57" s="23"/>
    </row>
    <row r="58">
      <c r="AN58" s="7"/>
      <c r="AO58" s="18" t="s">
        <v>82</v>
      </c>
      <c r="AP58" s="9"/>
      <c r="AQ58" t="s">
        <v>77</v>
      </c>
      <c r="AT58">
        <v>6</v>
      </c>
      <c r="AU58" s="19"/>
      <c r="AV58" s="23"/>
    </row>
    <row r="59">
      <c r="AN59" s="11"/>
      <c r="AO59" s="22">
        <v>1</v>
      </c>
      <c r="AP59" s="12">
        <v>2</v>
      </c>
      <c r="BK59" s="1"/>
    </row>
    <row r="60">
      <c r="AN60" s="11">
        <v>1</v>
      </c>
      <c r="AO60" s="19">
        <f t="shared" ref="AO60:AP65" si="78">AQ42+AN51</f>
        <v>-0.016733105630047335</v>
      </c>
      <c r="AP60" s="16">
        <f>AR42+AO51</f>
        <v>-0.084130214433758205</v>
      </c>
      <c r="BK60" s="19" t="s">
        <v>173</v>
      </c>
      <c r="BX60" t="s">
        <v>219</v>
      </c>
    </row>
    <row r="61">
      <c r="AN61" s="11">
        <v>2</v>
      </c>
      <c r="AO61" s="19">
        <f t="shared" si="78"/>
        <v>-0.016733105630047335</v>
      </c>
      <c r="AP61" s="16">
        <f t="shared" si="78"/>
        <v>0.0088728592367636125</v>
      </c>
      <c r="AU61" s="19" t="s">
        <v>173</v>
      </c>
      <c r="BD61" t="s">
        <v>220</v>
      </c>
      <c r="BK61" t="s">
        <v>221</v>
      </c>
      <c r="BL61" s="35" t="s">
        <v>222</v>
      </c>
      <c r="BM61" s="70" t="s">
        <v>223</v>
      </c>
      <c r="BN61" s="71" t="s">
        <v>224</v>
      </c>
      <c r="BO61" t="s">
        <v>225</v>
      </c>
      <c r="BS61" s="37"/>
      <c r="BU61" s="37"/>
      <c r="BX61" s="5" t="s">
        <v>173</v>
      </c>
    </row>
    <row r="62">
      <c r="AN62" s="11">
        <v>3</v>
      </c>
      <c r="AO62" s="19">
        <f t="shared" si="78"/>
        <v>-0.016733105630047335</v>
      </c>
      <c r="AP62" s="16">
        <f t="shared" si="78"/>
        <v>0.0088728592367636125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5" t="s">
        <v>232</v>
      </c>
      <c r="BM62" s="70" t="s">
        <v>233</v>
      </c>
      <c r="BN62" s="71" t="s">
        <v>234</v>
      </c>
      <c r="BO62" t="s">
        <v>235</v>
      </c>
      <c r="BQ62" t="s">
        <v>236</v>
      </c>
      <c r="BS62" s="37" t="s">
        <v>237</v>
      </c>
      <c r="BU62" s="37" t="s">
        <v>238</v>
      </c>
      <c r="BX62" t="s">
        <v>239</v>
      </c>
    </row>
    <row r="63">
      <c r="AN63" s="11">
        <v>4</v>
      </c>
      <c r="AO63" s="19">
        <f t="shared" si="78"/>
        <v>-0.016733105630047335</v>
      </c>
      <c r="AP63" s="16">
        <f t="shared" si="78"/>
        <v>0.0088728592367636125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5">
        <v>1</v>
      </c>
      <c r="BM63" s="70">
        <v>1</v>
      </c>
      <c r="BN63" s="71">
        <v>1</v>
      </c>
      <c r="BO63">
        <v>1</v>
      </c>
      <c r="BQ63">
        <v>1</v>
      </c>
      <c r="BR63">
        <v>2</v>
      </c>
      <c r="BS63" s="37">
        <v>1</v>
      </c>
      <c r="BT63">
        <v>2</v>
      </c>
      <c r="BU63" s="37">
        <v>1</v>
      </c>
      <c r="BV63">
        <v>2</v>
      </c>
      <c r="BX63">
        <v>1</v>
      </c>
      <c r="BY63">
        <v>2</v>
      </c>
    </row>
    <row r="64">
      <c r="AN64" s="11">
        <v>5</v>
      </c>
      <c r="AO64" s="19">
        <f t="shared" si="78"/>
        <v>0.31152113039792367</v>
      </c>
      <c r="AP64" s="16">
        <f t="shared" si="78"/>
        <v>0.0088728592367636125</v>
      </c>
      <c r="AT64">
        <v>1</v>
      </c>
      <c r="AU64" t="e" cm="1">
        <f t="array" ref="AU64">MMULT(TRANSPOSE(W7:AB12),AU53:AU58)</f>
        <v>#VALUE!</v>
      </c>
      <c r="AW64" cm="1">
        <f t="array" ref="AW64">MMULT(AU53:AU58,TRANSPOSE(_xlfn.ANCHORARRAY(N7)))</f>
      </c>
      <c r="BD64" s="1" t="e" cm="1">
        <f t="array" ref="BD64">SUM($AW64:$BB64*$W7:$AB7*(IF((ROW(AW64)-$BH$62)=(COLUMN(AW64)-$BI$62),1,0)-W7))</f>
        <v>#NUM!</v>
      </c>
      <c r="BE64" s="1" t="e" cm="1">
        <f t="array" ref="BE64">SUM($AW64:$BB64*$W7:$AB7*(IF((ROW(AX64)-$BH$62)=(COLUMN(AX64)-$BI$62),1,0)-X7))</f>
        <v>#NUM!</v>
      </c>
      <c r="BF64" s="1" t="e" cm="1">
        <f t="array" ref="BF64">SUM($AW64:$BB64*$W7:$AB7*(IF((ROW(AY64)-$BH$62)=(COLUMN(AY64)-$BI$62),1,0)-Y7))</f>
        <v>#NUM!</v>
      </c>
      <c r="BG64" s="1" t="e" cm="1">
        <f t="array" ref="BG64">SUM($AW64:$BB64*$W7:$AB7*(IF((ROW(AZ64)-$BH$62)=(COLUMN(AZ64)-$BI$62),1,0)-Z7))</f>
        <v>#NUM!</v>
      </c>
      <c r="BH64" s="1" t="e" cm="1">
        <f t="array" ref="BH64">SUM($AW64:$BB64*$W7:$AB7*(IF((ROW(BA64)-$BH$62)=(COLUMN(BA64)-$BI$62),1,0)-AA7))</f>
        <v>#NUM!</v>
      </c>
      <c r="BI64" s="1" t="e" cm="1">
        <f t="array" ref="BI64">SUM($AW64:$BB64*$W7:$AB7*(IF((ROW(BB64)-$BH$62)=(COLUMN(BB64)-$BI$62),1,0)-AB7))</f>
        <v>#NUM!</v>
      </c>
      <c r="BK64" cm="1">
        <f t="array" ref="BK64">(1/SQRT($G$2))*MMULT(TRANSPOSE($BD$64:$BI$69),_xlfn.ANCHORARRAY($J$7))</f>
      </c>
      <c r="BL64" s="35" cm="1">
        <f t="array" ref="BL64">(1/SQRT($G$2))*MMULT($BD$64:$BI$69,_xlfn.ANCHORARRAY(L7))</f>
      </c>
      <c r="BM64" s="70" cm="1">
        <f t="array" ref="BM64:BM65">C25:C26-$AH$32*MMULT(TRANSPOSE(_xlfn.ANCHORARRAY($C$4)),_xlfn.ANCHORARRAY($BL$64))</f>
      </c>
      <c r="BN64" s="71" cm="1">
        <f t="array" ref="BN64:BN65">E25:E26-$AH$32*MMULT(TRANSPOSE(_xlfn.ANCHORARRAY($C$4)),_xlfn.ANCHORARRAY($BK$64))</f>
      </c>
      <c r="BO64" cm="1">
        <f t="array" ref="BO64:BO65">G25:G26-$AH$32*MMULT(TRANSPOSE(_xlfn.ANCHORARRAY($C$4)),_xlfn.ANCHORARRAY($AU$64))</f>
      </c>
      <c r="BQ64" cm="1">
        <f t="array" ref="BQ64">MMULT(_xlfn.ANCHORARRAY(BL64),TRANSPOSE(C25:C26))</f>
      </c>
      <c r="BS64" s="37" cm="1">
        <f t="array" ref="BS64">MMULT(_xlfn.ANCHORARRAY(BK64),TRANSPOSE(E25:E26))</f>
      </c>
      <c r="BU64" s="37" cm="1">
        <f t="array" ref="BU64">MMULT(_xlfn.ANCHORARRAY(AU64),TRANSPOSE(G25:G26))</f>
      </c>
      <c r="BX64" cm="1">
        <f t="array" ref="BX64">_xlfn.ANCHORARRAY(BQ64)+_xlfn.ANCHORARRAY(BS64)+_xlfn.ANCHORARRAY(BU64)</f>
      </c>
    </row>
    <row r="65" ht="15.75">
      <c r="AN65" s="13">
        <v>6</v>
      </c>
      <c r="AO65" s="20">
        <f t="shared" si="78"/>
        <v>-0.016733105630047335</v>
      </c>
      <c r="AP65" s="17">
        <f t="shared" si="78"/>
        <v>0.0088728592367636125</v>
      </c>
      <c r="AT65">
        <v>2</v>
      </c>
      <c r="BD65" s="1" cm="1">
        <f t="array" ref="BD65">SUM($AW65:$BB65*$W8:$AB8*(IF((ROW(AW65)-$BH$62)=(COLUMN(AW65)-$BI$62),1,0)-W8))</f>
        <v>0</v>
      </c>
      <c r="BE65" s="1" cm="1">
        <f t="array" ref="BE65">SUM($AW65:$BB65*$W8:$AB8*(IF((ROW(AX65)-$BH$62)=(COLUMN(AX65)-$BI$62),1,0)-X8))</f>
        <v>0</v>
      </c>
      <c r="BF65" s="1" cm="1">
        <f t="array" ref="BF65">SUM($AW65:$BB65*$W8:$AB8*(IF((ROW(AY65)-$BH$62)=(COLUMN(AY65)-$BI$62),1,0)-Y8))</f>
        <v>0</v>
      </c>
      <c r="BG65" s="1" cm="1">
        <f t="array" ref="BG65">SUM($AW65:$BB65*$W8:$AB8*(IF((ROW(AZ65)-$BH$62)=(COLUMN(AZ65)-$BI$62),1,0)-Z8))</f>
        <v>0</v>
      </c>
      <c r="BH65" s="1" cm="1">
        <f t="array" ref="BH65">SUM($AW65:$BB65*$W8:$AB8*(IF((ROW(BA65)-$BH$62)=(COLUMN(BA65)-$BI$62),1,0)-AA8))</f>
        <v>0</v>
      </c>
      <c r="BI65" s="1" cm="1">
        <f t="array" ref="BI65">SUM($AW65:$BB65*$W8:$AB8*(IF((ROW(BB65)-$BH$62)=(COLUMN(BB65)-$BI$62),1,0)-AB8))</f>
        <v>0</v>
      </c>
      <c r="BL65" s="35"/>
      <c r="BM65" s="70">
        <f/>
      </c>
      <c r="BN65" s="71">
        <f/>
      </c>
      <c r="BO65">
        <f/>
      </c>
      <c r="BS65" s="37"/>
      <c r="BU65" s="37"/>
    </row>
    <row r="66">
      <c r="AT66">
        <v>3</v>
      </c>
      <c r="BD66" s="1" cm="1">
        <f t="array" ref="BD66">SUM($AW66:$BB66*$W9:$AB9*(IF((ROW(AW66)-$BH$62)=(COLUMN(AW66)-$BI$62),1,0)-W9))</f>
        <v>0</v>
      </c>
      <c r="BE66" s="1" cm="1">
        <f t="array" ref="BE66">SUM($AW66:$BB66*$W9:$AB9*(IF((ROW(AX66)-$BH$62)=(COLUMN(AX66)-$BI$62),1,0)-X9))</f>
        <v>0</v>
      </c>
      <c r="BF66" s="1" cm="1">
        <f t="array" ref="BF66">SUM($AW66:$BB66*$W9:$AB9*(IF((ROW(AY66)-$BH$62)=(COLUMN(AY66)-$BI$62),1,0)-Y9))</f>
        <v>0</v>
      </c>
      <c r="BG66" s="1" cm="1">
        <f t="array" ref="BG66">SUM($AW66:$BB66*$W9:$AB9*(IF((ROW(AZ66)-$BH$62)=(COLUMN(AZ66)-$BI$62),1,0)-Z9))</f>
        <v>0</v>
      </c>
      <c r="BH66" s="1" cm="1">
        <f t="array" ref="BH66">SUM($AW66:$BB66*$W9:$AB9*(IF((ROW(BA66)-$BH$62)=(COLUMN(BA66)-$BI$62),1,0)-AA9))</f>
        <v>0</v>
      </c>
      <c r="BI66" s="1" cm="1">
        <f t="array" ref="BI66">SUM($AW66:$BB66*$W9:$AB9*(IF((ROW(BB66)-$BH$62)=(COLUMN(BB66)-$BI$62),1,0)-AB9))</f>
        <v>0</v>
      </c>
      <c r="BL66" s="35"/>
      <c r="BM66" s="70"/>
      <c r="BN66" s="71"/>
      <c r="BS66" s="37"/>
      <c r="BU66" s="37"/>
    </row>
    <row r="67">
      <c r="AT67">
        <v>4</v>
      </c>
      <c r="BD67" s="1" cm="1">
        <f t="array" ref="BD67">SUM($AW67:$BB67*$W10:$AB10*(IF((ROW(AW67)-$BH$62)=(COLUMN(AW67)-$BI$62),1,0)-W10))</f>
        <v>0</v>
      </c>
      <c r="BE67" s="1" cm="1">
        <f t="array" ref="BE67">SUM($AW67:$BB67*$W10:$AB10*(IF((ROW(AX67)-$BH$62)=(COLUMN(AX67)-$BI$62),1,0)-X10))</f>
        <v>0</v>
      </c>
      <c r="BF67" s="1" cm="1">
        <f t="array" ref="BF67">SUM($AW67:$BB67*$W10:$AB10*(IF((ROW(AY67)-$BH$62)=(COLUMN(AY67)-$BI$62),1,0)-Y10))</f>
        <v>0</v>
      </c>
      <c r="BG67" s="1" cm="1">
        <f t="array" ref="BG67">SUM($AW67:$BB67*$W10:$AB10*(IF((ROW(AZ67)-$BH$62)=(COLUMN(AZ67)-$BI$62),1,0)-Z10))</f>
        <v>0</v>
      </c>
      <c r="BH67" s="1" cm="1">
        <f t="array" ref="BH67">SUM($AW67:$BB67*$W10:$AB10*(IF((ROW(BA67)-$BH$62)=(COLUMN(BA67)-$BI$62),1,0)-AA10))</f>
        <v>0</v>
      </c>
      <c r="BI67" s="1" cm="1">
        <f t="array" ref="BI67">SUM($AW67:$BB67*$W10:$AB10*(IF((ROW(BB67)-$BH$62)=(COLUMN(BB67)-$BI$62),1,0)-AB10))</f>
        <v>0</v>
      </c>
      <c r="BL67" s="35"/>
      <c r="BM67" s="70"/>
      <c r="BN67" s="71"/>
      <c r="BS67" s="37"/>
      <c r="BU67" s="37"/>
    </row>
    <row r="68">
      <c r="AT68">
        <v>5</v>
      </c>
      <c r="BD68" s="1" cm="1">
        <f t="array" ref="BD68">SUM($AW68:$BB68*$W11:$AB11*(IF((ROW(AW68)-$BH$62)=(COLUMN(AW68)-$BI$62),1,0)-W11))</f>
        <v>0</v>
      </c>
      <c r="BE68" s="1" cm="1">
        <f t="array" ref="BE68">SUM($AW68:$BB68*$W11:$AB11*(IF((ROW(AX68)-$BH$62)=(COLUMN(AX68)-$BI$62),1,0)-X11))</f>
        <v>0</v>
      </c>
      <c r="BF68" s="1" cm="1">
        <f t="array" ref="BF68">SUM($AW68:$BB68*$W11:$AB11*(IF((ROW(AY68)-$BH$62)=(COLUMN(AY68)-$BI$62),1,0)-Y11))</f>
        <v>0</v>
      </c>
      <c r="BG68" s="1" cm="1">
        <f t="array" ref="BG68">SUM($AW68:$BB68*$W11:$AB11*(IF((ROW(AZ68)-$BH$62)=(COLUMN(AZ68)-$BI$62),1,0)-Z11))</f>
        <v>0</v>
      </c>
      <c r="BH68" s="1" cm="1">
        <f t="array" ref="BH68">SUM($AW68:$BB68*$W11:$AB11*(IF((ROW(BA68)-$BH$62)=(COLUMN(BA68)-$BI$62),1,0)-AA11))</f>
        <v>0</v>
      </c>
      <c r="BI68" s="1" cm="1">
        <f t="array" ref="BI68">SUM($AW68:$BB68*$W11:$AB11*(IF((ROW(BB68)-$BH$62)=(COLUMN(BB68)-$BI$62),1,0)-AB11))</f>
        <v>0</v>
      </c>
      <c r="BL68" s="35"/>
      <c r="BM68" s="70"/>
      <c r="BN68" s="71"/>
      <c r="BS68" s="37"/>
      <c r="BU68" s="37"/>
    </row>
    <row r="69">
      <c r="AT69">
        <v>6</v>
      </c>
      <c r="BD69" s="1" cm="1">
        <f t="array" ref="BD69">SUM($AW69:$BB69*$W12:$AB12*(IF((ROW(AW69)-$BH$62)=(COLUMN(AW69)-$BI$62),1,0)-W12))</f>
        <v>0</v>
      </c>
      <c r="BE69" s="1" cm="1">
        <f t="array" ref="BE69">SUM($AW69:$BB69*$W12:$AB12*(IF((ROW(AX69)-$BH$62)=(COLUMN(AX69)-$BI$62),1,0)-X12))</f>
        <v>0</v>
      </c>
      <c r="BF69" s="1" cm="1">
        <f t="array" ref="BF69">SUM($AW69:$BB69*$W12:$AB12*(IF((ROW(AY69)-$BH$62)=(COLUMN(AY69)-$BI$62),1,0)-Y12))</f>
        <v>0</v>
      </c>
      <c r="BG69" s="1" cm="1">
        <f t="array" ref="BG69">SUM($AW69:$BB69*$W12:$AB12*(IF((ROW(AZ69)-$BH$62)=(COLUMN(AZ69)-$BI$62),1,0)-Z12))</f>
        <v>0</v>
      </c>
      <c r="BH69" s="1" cm="1">
        <f t="array" ref="BH69">SUM($AW69:$BB69*$W12:$AB12*(IF((ROW(BA69)-$BH$62)=(COLUMN(BA69)-$BI$62),1,0)-AA12))</f>
        <v>0</v>
      </c>
      <c r="BI69" s="1" cm="1">
        <f t="array" ref="BI69">SUM($AW69:$BB69*$W12:$AB12*(IF((ROW(BB69)-$BH$62)=(COLUMN(BB69)-$BI$62),1,0)-AB12))</f>
        <v>0</v>
      </c>
      <c r="BL69" s="35"/>
      <c r="BM69" s="70"/>
      <c r="BN69" s="71"/>
      <c r="BS69" s="37"/>
      <c r="BU69" s="37"/>
    </row>
    <row r="70">
      <c r="BL70" s="35"/>
      <c r="BM70" s="70"/>
      <c r="BN70" s="71"/>
      <c r="BS70" s="37"/>
      <c r="BU70" s="37"/>
    </row>
    <row r="71">
      <c r="BK71" s="23" t="s">
        <v>194</v>
      </c>
      <c r="BL71" s="35"/>
      <c r="BM71" s="70"/>
      <c r="BN71" s="71"/>
      <c r="BS71" s="37"/>
      <c r="BU71" s="37"/>
      <c r="BX71" t="s">
        <v>219</v>
      </c>
    </row>
    <row r="72">
      <c r="AU72" s="23" t="s">
        <v>194</v>
      </c>
      <c r="BD72" t="s">
        <v>220</v>
      </c>
      <c r="BK72" t="s">
        <v>221</v>
      </c>
      <c r="BL72" s="35" t="s">
        <v>222</v>
      </c>
      <c r="BM72" s="70" t="s">
        <v>223</v>
      </c>
      <c r="BN72" s="71" t="s">
        <v>224</v>
      </c>
      <c r="BO72" t="s">
        <v>225</v>
      </c>
      <c r="BS72" s="37"/>
      <c r="BU72" s="37"/>
      <c r="BX72" s="5" t="s">
        <v>194</v>
      </c>
    </row>
    <row r="73"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5" t="s">
        <v>232</v>
      </c>
      <c r="BM73" s="70" t="s">
        <v>233</v>
      </c>
      <c r="BN73" s="71" t="s">
        <v>234</v>
      </c>
      <c r="BO73" t="s">
        <v>235</v>
      </c>
      <c r="BQ73" t="s">
        <v>236</v>
      </c>
      <c r="BS73" s="37" t="s">
        <v>237</v>
      </c>
      <c r="BU73" s="37" t="s">
        <v>238</v>
      </c>
      <c r="BX73" t="s">
        <v>239</v>
      </c>
    </row>
    <row r="74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5">
        <v>1</v>
      </c>
      <c r="BM74" s="70">
        <v>1</v>
      </c>
      <c r="BN74" s="71">
        <v>1</v>
      </c>
      <c r="BO74">
        <v>1</v>
      </c>
      <c r="BQ74">
        <v>1</v>
      </c>
      <c r="BR74">
        <v>2</v>
      </c>
      <c r="BS74" s="37">
        <v>1</v>
      </c>
      <c r="BT74">
        <v>2</v>
      </c>
      <c r="BU74" s="37">
        <v>1</v>
      </c>
      <c r="BV74">
        <v>2</v>
      </c>
      <c r="BX74">
        <v>1</v>
      </c>
      <c r="BY74">
        <v>2</v>
      </c>
    </row>
    <row r="75">
      <c r="AT75">
        <v>1</v>
      </c>
      <c r="AU75" t="e" cm="1">
        <f t="array" ref="AU75">MMULT(TRANSPOSE(W17:AB22),AV53:AV58)</f>
        <v>#VALUE!</v>
      </c>
      <c r="AW75" cm="1">
        <f t="array" ref="AW75">MMULT(AV53:AV58,TRANSPOSE(_xlfn.ANCHORARRAY(N17)))</f>
      </c>
      <c r="BD75" s="1" t="e" cm="1">
        <f t="array" ref="BD75">SUM($AW75:$BB75*$W17:$AB17*(IF((ROW(AW75)-$BH$73)=(COLUMN(AW75)-$BI$73),1,0)-W17))</f>
        <v>#NUM!</v>
      </c>
      <c r="BE75" s="1" t="e" cm="1">
        <f t="array" ref="BE75">SUM($AW75:$BB75*$W17:$AB17*(IF((ROW(AX75)-$BH$73)=(COLUMN(AX75)-$BI$73),1,0)-X17))</f>
        <v>#NUM!</v>
      </c>
      <c r="BF75" s="1" t="e" cm="1">
        <f t="array" ref="BF75">SUM($AW75:$BB75*$W17:$AB17*(IF((ROW(AY75)-$BH$73)=(COLUMN(AY75)-$BI$73),1,0)-Y17))</f>
        <v>#NUM!</v>
      </c>
      <c r="BG75" s="1" t="e" cm="1">
        <f t="array" ref="BG75">SUM($AW75:$BB75*$W17:$AB17*(IF((ROW(AZ75)-$BH$73)=(COLUMN(AZ75)-$BI$73),1,0)-Z17))</f>
        <v>#NUM!</v>
      </c>
      <c r="BH75" s="1" t="e" cm="1">
        <f t="array" ref="BH75">SUM($AW75:$BB75*$W17:$AB17*(IF((ROW(BA75)-$BH$73)=(COLUMN(BA75)-$BI$73),1,0)-AA17))</f>
        <v>#NUM!</v>
      </c>
      <c r="BI75" s="1" t="e" cm="1">
        <f t="array" ref="BI75">SUM($AW75:$BB75*$W17:$AB17*(IF((ROW(BB75)-$BH$73)=(COLUMN(BB75)-$BI$73),1,0)-AB17))</f>
        <v>#NUM!</v>
      </c>
      <c r="BK75" cm="1">
        <f t="array" ref="BK75">(1/SQRT($G$2))*MMULT(TRANSPOSE($BD$75:$BI$80),_xlfn.ANCHORARRAY(J17))</f>
      </c>
      <c r="BL75" s="35" cm="1">
        <f t="array" ref="BL75">(1/SQRT($G$2))*MMULT($BD$75:$BI$80,_xlfn.ANCHORARRAY(L17))</f>
      </c>
      <c r="BM75" s="70" cm="1">
        <f t="array" ref="BM75:BM76">C31:C32-$AH$32*MMULT(TRANSPOSE(_xlfn.ANCHORARRAY($C$4)),_xlfn.ANCHORARRAY(BL75))</f>
      </c>
      <c r="BN75" s="71" cm="1">
        <f t="array" ref="BN75:BN76">E31:E32-$AH$32*MMULT(TRANSPOSE(_xlfn.ANCHORARRAY($C$4)),_xlfn.ANCHORARRAY(BK75))</f>
      </c>
      <c r="BO75" cm="1">
        <f t="array" ref="BO75:BO76">G31:G32-$AH$32*MMULT(TRANSPOSE(_xlfn.ANCHORARRAY($C$4)),_xlfn.ANCHORARRAY(AU75))</f>
      </c>
      <c r="BQ75" cm="1">
        <f t="array" ref="BQ75">MMULT(_xlfn.ANCHORARRAY(BL75),TRANSPOSE(C31:C32))</f>
      </c>
      <c r="BS75" s="37" cm="1">
        <f t="array" ref="BS75">MMULT(_xlfn.ANCHORARRAY(BK75),TRANSPOSE(E31:E32))</f>
      </c>
      <c r="BU75" s="37" cm="1">
        <f t="array" ref="BU75">MMULT(_xlfn.ANCHORARRAY(AU75),TRANSPOSE(G31:G32))</f>
      </c>
      <c r="BX75" cm="1">
        <f t="array" ref="BX75">_xlfn.ANCHORARRAY(BQ75)+_xlfn.ANCHORARRAY(BS75)+_xlfn.ANCHORARRAY(BU75)</f>
      </c>
    </row>
    <row r="76">
      <c r="AT76">
        <v>2</v>
      </c>
      <c r="BD76" s="1" cm="1">
        <f t="array" ref="BD76">SUM($AW76:$BB76*$W18:$AB18*(IF((ROW(AW76)-$BH$73)=(COLUMN(AW76)-$BI$73),1,0)-W18))</f>
        <v>0</v>
      </c>
      <c r="BE76" s="1" cm="1">
        <f t="array" ref="BE76">SUM($AW76:$BB76*$W18:$AB18*(IF((ROW(AX76)-$BH$73)=(COLUMN(AX76)-$BI$73),1,0)-X18))</f>
        <v>0</v>
      </c>
      <c r="BF76" s="1" cm="1">
        <f t="array" ref="BF76">SUM($AW76:$BB76*$W18:$AB18*(IF((ROW(AY76)-$BH$73)=(COLUMN(AY76)-$BI$73),1,0)-Y18))</f>
        <v>0</v>
      </c>
      <c r="BG76" s="1" cm="1">
        <f t="array" ref="BG76">SUM($AW76:$BB76*$W18:$AB18*(IF((ROW(AZ76)-$BH$73)=(COLUMN(AZ76)-$BI$73),1,0)-Z18))</f>
        <v>0</v>
      </c>
      <c r="BH76" s="1" cm="1">
        <f t="array" ref="BH76">SUM($AW76:$BB76*$W18:$AB18*(IF((ROW(BA76)-$BH$73)=(COLUMN(BA76)-$BI$73),1,0)-AA18))</f>
        <v>0</v>
      </c>
      <c r="BI76" s="1" cm="1">
        <f t="array" ref="BI76">SUM($AW76:$BB76*$W18:$AB18*(IF((ROW(BB76)-$BH$73)=(COLUMN(BB76)-$BI$73),1,0)-AB18))</f>
        <v>0</v>
      </c>
      <c r="BL76" s="35"/>
      <c r="BM76" s="70">
        <f/>
      </c>
      <c r="BN76" s="71">
        <f/>
      </c>
      <c r="BO76">
        <f/>
      </c>
      <c r="BS76" s="37"/>
      <c r="BU76" s="37"/>
    </row>
    <row r="77">
      <c r="AT77">
        <v>3</v>
      </c>
      <c r="BD77" s="1" cm="1">
        <f t="array" ref="BD77">SUM($AW77:$BB77*$W19:$AB19*(IF((ROW(AW77)-$BH$73)=(COLUMN(AW77)-$BI$73),1,0)-W19))</f>
        <v>0</v>
      </c>
      <c r="BE77" s="1" cm="1">
        <f t="array" ref="BE77">SUM($AW77:$BB77*$W19:$AB19*(IF((ROW(AX77)-$BH$73)=(COLUMN(AX77)-$BI$73),1,0)-X19))</f>
        <v>0</v>
      </c>
      <c r="BF77" s="1" cm="1">
        <f t="array" ref="BF77">SUM($AW77:$BB77*$W19:$AB19*(IF((ROW(AY77)-$BH$73)=(COLUMN(AY77)-$BI$73),1,0)-Y19))</f>
        <v>0</v>
      </c>
      <c r="BG77" s="1" cm="1">
        <f t="array" ref="BG77">SUM($AW77:$BB77*$W19:$AB19*(IF((ROW(AZ77)-$BH$73)=(COLUMN(AZ77)-$BI$73),1,0)-Z19))</f>
        <v>0</v>
      </c>
      <c r="BH77" s="1" cm="1">
        <f t="array" ref="BH77">SUM($AW77:$BB77*$W19:$AB19*(IF((ROW(BA77)-$BH$73)=(COLUMN(BA77)-$BI$73),1,0)-AA19))</f>
        <v>0</v>
      </c>
      <c r="BI77" s="1" cm="1">
        <f t="array" ref="BI77">SUM($AW77:$BB77*$W19:$AB19*(IF((ROW(BB77)-$BH$73)=(COLUMN(BB77)-$BI$73),1,0)-AB19))</f>
        <v>0</v>
      </c>
      <c r="BL77" s="35"/>
      <c r="BM77" s="70"/>
      <c r="BN77" s="71"/>
      <c r="BS77" s="37"/>
      <c r="BU77" s="37"/>
    </row>
    <row r="78">
      <c r="AT78">
        <v>4</v>
      </c>
      <c r="BD78" s="1" cm="1">
        <f t="array" ref="BD78">SUM($AW78:$BB78*$W20:$AB20*(IF((ROW(AW78)-$BH$73)=(COLUMN(AW78)-$BI$73),1,0)-W20))</f>
        <v>0</v>
      </c>
      <c r="BE78" s="1" cm="1">
        <f t="array" ref="BE78">SUM($AW78:$BB78*$W20:$AB20*(IF((ROW(AX78)-$BH$73)=(COLUMN(AX78)-$BI$73),1,0)-X20))</f>
        <v>0</v>
      </c>
      <c r="BF78" s="1" cm="1">
        <f t="array" ref="BF78">SUM($AW78:$BB78*$W20:$AB20*(IF((ROW(AY78)-$BH$73)=(COLUMN(AY78)-$BI$73),1,0)-Y20))</f>
        <v>0</v>
      </c>
      <c r="BG78" s="1" cm="1">
        <f t="array" ref="BG78">SUM($AW78:$BB78*$W20:$AB20*(IF((ROW(AZ78)-$BH$73)=(COLUMN(AZ78)-$BI$73),1,0)-Z20))</f>
        <v>0</v>
      </c>
      <c r="BH78" s="1" cm="1">
        <f t="array" ref="BH78">SUM($AW78:$BB78*$W20:$AB20*(IF((ROW(BA78)-$BH$73)=(COLUMN(BA78)-$BI$73),1,0)-AA20))</f>
        <v>0</v>
      </c>
      <c r="BI78" s="1" cm="1">
        <f t="array" ref="BI78">SUM($AW78:$BB78*$W20:$AB20*(IF((ROW(BB78)-$BH$73)=(COLUMN(BB78)-$BI$73),1,0)-AB20))</f>
        <v>0</v>
      </c>
      <c r="BL78" s="35"/>
      <c r="BM78" s="70"/>
      <c r="BN78" s="71"/>
      <c r="BS78" s="37"/>
      <c r="BU78" s="37"/>
    </row>
    <row r="79">
      <c r="AT79">
        <v>5</v>
      </c>
      <c r="BD79" s="1" cm="1">
        <f t="array" ref="BD79">SUM($AW79:$BB79*$W21:$AB21*(IF((ROW(AW79)-$BH$73)=(COLUMN(AW79)-$BI$73),1,0)-W21))</f>
        <v>0</v>
      </c>
      <c r="BE79" s="1" cm="1">
        <f t="array" ref="BE79">SUM($AW79:$BB79*$W21:$AB21*(IF((ROW(AX79)-$BH$73)=(COLUMN(AX79)-$BI$73),1,0)-X21))</f>
        <v>0</v>
      </c>
      <c r="BF79" s="1" cm="1">
        <f t="array" ref="BF79">SUM($AW79:$BB79*$W21:$AB21*(IF((ROW(AY79)-$BH$73)=(COLUMN(AY79)-$BI$73),1,0)-Y21))</f>
        <v>0</v>
      </c>
      <c r="BG79" s="1" cm="1">
        <f t="array" ref="BG79">SUM($AW79:$BB79*$W21:$AB21*(IF((ROW(AZ79)-$BH$73)=(COLUMN(AZ79)-$BI$73),1,0)-Z21))</f>
        <v>0</v>
      </c>
      <c r="BH79" s="1" cm="1">
        <f t="array" ref="BH79">SUM($AW79:$BB79*$W21:$AB21*(IF((ROW(BA79)-$BH$73)=(COLUMN(BA79)-$BI$73),1,0)-AA21))</f>
        <v>0</v>
      </c>
      <c r="BI79" s="1" cm="1">
        <f t="array" ref="BI79">SUM($AW79:$BB79*$W21:$AB21*(IF((ROW(BB79)-$BH$73)=(COLUMN(BB79)-$BI$73),1,0)-AB21))</f>
        <v>0</v>
      </c>
      <c r="BL79" s="35"/>
      <c r="BM79" s="70"/>
      <c r="BN79" s="71"/>
      <c r="BS79" s="37"/>
      <c r="BU79" s="37"/>
    </row>
    <row r="80">
      <c r="AT80">
        <v>6</v>
      </c>
      <c r="BD80" s="1" cm="1">
        <f t="array" ref="BD80">SUM($AW80:$BB80*$W22:$AB22*(IF((ROW(AW80)-$BH$73)=(COLUMN(AW80)-$BI$73),1,0)-W22))</f>
        <v>0</v>
      </c>
      <c r="BE80" s="1" cm="1">
        <f t="array" ref="BE80">SUM($AW80:$BB80*$W22:$AB22*(IF((ROW(AX80)-$BH$73)=(COLUMN(AX80)-$BI$73),1,0)-X22))</f>
        <v>0</v>
      </c>
      <c r="BF80" s="1" cm="1">
        <f t="array" ref="BF80">SUM($AW80:$BB80*$W22:$AB22*(IF((ROW(AY80)-$BH$73)=(COLUMN(AY80)-$BI$73),1,0)-Y22))</f>
        <v>0</v>
      </c>
      <c r="BG80" s="1" cm="1">
        <f t="array" ref="BG80">SUM($AW80:$BB80*$W22:$AB22*(IF((ROW(AZ80)-$BH$73)=(COLUMN(AZ80)-$BI$73),1,0)-Z22))</f>
        <v>0</v>
      </c>
      <c r="BH80" s="1" cm="1">
        <f t="array" ref="BH80">SUM($AW80:$BB80*$W22:$AB22*(IF((ROW(BA80)-$BH$73)=(COLUMN(BA80)-$BI$73),1,0)-AA22))</f>
        <v>0</v>
      </c>
      <c r="BI80" s="1" cm="1">
        <f t="array" ref="BI80">SUM($AW80:$BB80*$W22:$AB22*(IF((ROW(BB80)-$BH$73)=(COLUMN(BB80)-$BI$73),1,0)-AB22))</f>
        <v>0</v>
      </c>
      <c r="BL80" s="35"/>
      <c r="BM80" s="70"/>
      <c r="BN80" s="71"/>
      <c r="BS80" s="37"/>
      <c r="BU80" s="37"/>
    </row>
    <row r="81" ht="15.75"/>
    <row r="82">
      <c r="BV82" t="s">
        <v>219</v>
      </c>
      <c r="BX82" t="s">
        <v>240</v>
      </c>
      <c r="CA82" s="66" t="s">
        <v>58</v>
      </c>
      <c r="CB82" s="9"/>
      <c r="CC82" t="s">
        <v>219</v>
      </c>
    </row>
    <row r="83">
      <c r="BX83" t="s">
        <v>239</v>
      </c>
      <c r="CA83" s="11" t="s">
        <v>159</v>
      </c>
      <c r="CB83" s="12"/>
    </row>
    <row r="84">
      <c r="BX84">
        <v>1</v>
      </c>
      <c r="BY84">
        <v>2</v>
      </c>
      <c r="CA84" s="11">
        <v>1</v>
      </c>
      <c r="CB84" s="12">
        <v>2</v>
      </c>
    </row>
    <row r="85">
      <c r="BW85">
        <v>1</v>
      </c>
      <c r="BX85" cm="1">
        <f t="array" ref="BX85">_xlfn.ANCHORARRAY(BX64)+_xlfn.ANCHORARRAY(BX75)</f>
      </c>
      <c r="CA85" s="68" cm="1">
        <f t="array" ref="CA85">_xlfn.ANCHORARRAY(AU35)+_xlfn.ANCHORARRAY(BX85)</f>
      </c>
      <c r="CB85" s="16"/>
    </row>
    <row r="86">
      <c r="BW86">
        <v>2</v>
      </c>
      <c r="CA86" s="68"/>
      <c r="CB86" s="16"/>
    </row>
    <row r="87">
      <c r="BW87">
        <v>3</v>
      </c>
      <c r="CA87" s="68"/>
      <c r="CB87" s="16"/>
    </row>
    <row r="88">
      <c r="BW88">
        <v>4</v>
      </c>
      <c r="CA88" s="68"/>
      <c r="CB88" s="16"/>
    </row>
    <row r="89">
      <c r="BW89">
        <v>5</v>
      </c>
      <c r="CA89" s="68"/>
      <c r="CB89" s="16"/>
    </row>
    <row r="90" ht="15.75">
      <c r="BW90">
        <v>6</v>
      </c>
      <c r="CA90" s="69"/>
      <c r="CB90" s="17"/>
    </row>
    <row r="91">
      <c r="CA91" t="s">
        <v>241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31" workbookViewId="0">
      <selection activeCell="E14" activeCellId="0" sqref="E14"/>
    </sheetView>
  </sheetViews>
  <sheetFormatPr defaultRowHeight="15"/>
  <cols>
    <col customWidth="1" min="1" max="1" width="6.85546875"/>
    <col customWidth="1" min="2" max="2" width="4.28515625"/>
    <col bestFit="1" customWidth="1" min="3" max="3" width="9.140625"/>
    <col customWidth="1" min="4" max="4" width="6"/>
    <col customWidth="1" min="8" max="8" width="2.28515625"/>
    <col customWidth="1" min="11" max="11" width="5"/>
    <col customWidth="1" min="12" max="14" width="8.28515625"/>
    <col customWidth="1" min="15" max="15" width="5"/>
    <col customWidth="1" min="27" max="27" width="3.42578125"/>
    <col customWidth="1" min="28" max="28" width="13.28515625"/>
    <col customWidth="1" min="29" max="29" width="12.42578125"/>
  </cols>
  <sheetData>
    <row r="2">
      <c r="E2" t="s">
        <v>8</v>
      </c>
      <c r="I2" t="s">
        <v>9</v>
      </c>
      <c r="L2" t="s">
        <v>63</v>
      </c>
      <c r="Q2" s="5" t="s">
        <v>242</v>
      </c>
      <c r="R2" s="2"/>
      <c r="T2" s="72" t="s">
        <v>243</v>
      </c>
      <c r="U2" s="72"/>
      <c r="V2" s="72"/>
      <c r="W2" s="72"/>
      <c r="X2" s="72"/>
      <c r="Y2" s="72"/>
      <c r="Z2" s="72"/>
    </row>
    <row r="3">
      <c r="E3" t="s">
        <v>10</v>
      </c>
      <c r="F3" t="s">
        <v>11</v>
      </c>
      <c r="G3" t="s">
        <v>12</v>
      </c>
      <c r="I3" t="s">
        <v>244</v>
      </c>
      <c r="L3" t="s">
        <v>65</v>
      </c>
      <c r="M3">
        <v>2</v>
      </c>
      <c r="N3">
        <v>3</v>
      </c>
      <c r="Q3" s="5" t="s">
        <v>10</v>
      </c>
      <c r="T3" s="72"/>
      <c r="U3" s="72"/>
      <c r="V3" s="72"/>
      <c r="W3" s="72"/>
      <c r="X3" s="72"/>
      <c r="Y3" s="72"/>
      <c r="Z3" s="72"/>
    </row>
    <row r="4">
      <c r="B4" s="15"/>
      <c r="C4" s="15" t="s">
        <v>245</v>
      </c>
      <c r="D4" s="15"/>
      <c r="E4" s="15">
        <v>1</v>
      </c>
      <c r="F4" s="15">
        <v>2</v>
      </c>
      <c r="G4" s="15">
        <v>3</v>
      </c>
      <c r="H4" s="15"/>
      <c r="I4" s="15">
        <v>1</v>
      </c>
      <c r="J4" s="15">
        <v>2</v>
      </c>
      <c r="L4" s="15" t="s">
        <v>10</v>
      </c>
      <c r="M4" s="15" t="s">
        <v>11</v>
      </c>
      <c r="N4" s="15" t="s">
        <v>12</v>
      </c>
      <c r="Q4" t="s">
        <v>246</v>
      </c>
      <c r="R4" t="s">
        <v>247</v>
      </c>
      <c r="T4" s="73" t="s">
        <v>248</v>
      </c>
    </row>
    <row r="5">
      <c r="C5" t="s">
        <v>242</v>
      </c>
      <c r="D5">
        <v>1</v>
      </c>
      <c r="E5" s="2" cm="1">
        <f t="array" ref="E5:G5">TRANSPOSE('CNN-BE'!M21:M23)</f>
        <v>0.021241406941062295</v>
      </c>
      <c r="F5" s="2">
        <f/>
        <v>0.17782743295767689</v>
      </c>
      <c r="G5" s="2">
        <f/>
        <v>0.65490552340253538</v>
      </c>
      <c r="H5" s="2"/>
      <c r="I5" t="s">
        <v>11</v>
      </c>
      <c r="J5" t="s">
        <v>12</v>
      </c>
      <c r="L5">
        <f t="shared" ref="L5:L9" si="79">COUNTIF($I5:$J5,"gembira")</f>
        <v>0</v>
      </c>
      <c r="M5">
        <f t="shared" ref="M5:M9" si="80">COUNTIF($I5:$J5,"sedih")</f>
        <v>1</v>
      </c>
      <c r="N5">
        <f t="shared" ref="N5:N9" si="81">COUNTIF($I5:$J5,"tegang")</f>
        <v>1</v>
      </c>
      <c r="P5" s="1"/>
      <c r="Q5">
        <f>E5</f>
        <v>0.021241406941062295</v>
      </c>
      <c r="R5">
        <f>L5</f>
        <v>0</v>
      </c>
    </row>
    <row r="6">
      <c r="B6" s="74" t="s">
        <v>17</v>
      </c>
      <c r="C6" t="s">
        <v>242</v>
      </c>
      <c r="D6">
        <v>2</v>
      </c>
      <c r="E6" s="75">
        <v>0.46872480409741202</v>
      </c>
      <c r="F6" s="75">
        <v>0.74796252013739595</v>
      </c>
      <c r="G6">
        <v>0.083341324346660001</v>
      </c>
      <c r="H6" s="75"/>
      <c r="I6" t="s">
        <v>10</v>
      </c>
      <c r="J6" t="s">
        <v>11</v>
      </c>
      <c r="L6">
        <f t="shared" si="79"/>
        <v>1</v>
      </c>
      <c r="M6">
        <f t="shared" si="80"/>
        <v>1</v>
      </c>
      <c r="N6">
        <f t="shared" si="81"/>
        <v>0</v>
      </c>
      <c r="P6" s="1"/>
      <c r="Q6" cm="1">
        <f t="array" ref="Q6:Q8">E6:E8</f>
        <v>0.46872480409741202</v>
      </c>
      <c r="R6" s="1" cm="1">
        <f t="array" ref="R6:R8">L6:L8</f>
        <v>1</v>
      </c>
    </row>
    <row r="7">
      <c r="B7" s="74"/>
      <c r="C7" t="s">
        <v>242</v>
      </c>
      <c r="D7">
        <v>3</v>
      </c>
      <c r="E7" s="75">
        <v>0.068917472572516</v>
      </c>
      <c r="F7" s="75">
        <v>0.64566804354494844</v>
      </c>
      <c r="G7" s="75">
        <v>0.979370096177136</v>
      </c>
      <c r="H7" s="75"/>
      <c r="I7" t="s">
        <v>12</v>
      </c>
      <c r="J7" t="s">
        <v>11</v>
      </c>
      <c r="L7">
        <f t="shared" si="79"/>
        <v>0</v>
      </c>
      <c r="M7">
        <f t="shared" si="80"/>
        <v>1</v>
      </c>
      <c r="N7">
        <f t="shared" si="81"/>
        <v>1</v>
      </c>
      <c r="P7" s="1"/>
      <c r="Q7">
        <f/>
        <v>0.068917472572516</v>
      </c>
      <c r="R7" s="1">
        <f/>
        <v>0</v>
      </c>
    </row>
    <row r="8" ht="15" customHeight="1">
      <c r="B8" s="76"/>
      <c r="C8" s="15" t="s">
        <v>242</v>
      </c>
      <c r="D8" s="15">
        <v>4</v>
      </c>
      <c r="E8" s="77">
        <v>0.60618263072605905</v>
      </c>
      <c r="F8" s="77">
        <v>0.083554519071598998</v>
      </c>
      <c r="G8" s="77">
        <v>0.074381321270918996</v>
      </c>
      <c r="H8" s="77"/>
      <c r="I8" s="15" t="s">
        <v>10</v>
      </c>
      <c r="J8" s="15"/>
      <c r="L8" s="15">
        <f t="shared" si="79"/>
        <v>1</v>
      </c>
      <c r="M8" s="15">
        <f t="shared" si="80"/>
        <v>0</v>
      </c>
      <c r="N8" s="15">
        <f t="shared" si="81"/>
        <v>0</v>
      </c>
      <c r="P8" s="1"/>
      <c r="Q8" s="1">
        <f/>
        <v>0.60618263072605905</v>
      </c>
      <c r="R8" s="1">
        <f/>
        <v>1</v>
      </c>
    </row>
    <row r="9">
      <c r="C9" t="s">
        <v>86</v>
      </c>
      <c r="D9">
        <v>1</v>
      </c>
      <c r="E9" s="2" cm="1">
        <f t="array" ref="E9:G9">TRANSPOSE('GRU-BE'!W21:W23)</f>
        <v>0.50926221254138726</v>
      </c>
      <c r="F9" s="2">
        <f/>
        <v>0.68537703915367121</v>
      </c>
      <c r="G9" s="2">
        <f/>
        <v>0.91227391286418058</v>
      </c>
      <c r="H9" s="2"/>
      <c r="I9" t="s">
        <v>11</v>
      </c>
      <c r="J9" t="s">
        <v>12</v>
      </c>
      <c r="L9">
        <f t="shared" si="79"/>
        <v>0</v>
      </c>
      <c r="M9">
        <f t="shared" si="80"/>
        <v>1</v>
      </c>
      <c r="N9">
        <f t="shared" si="81"/>
        <v>1</v>
      </c>
      <c r="P9" s="1"/>
      <c r="Q9" s="1"/>
      <c r="R9" s="1"/>
      <c r="V9" t="s">
        <v>249</v>
      </c>
      <c r="Y9" t="s">
        <v>250</v>
      </c>
      <c r="Z9" t="s">
        <v>251</v>
      </c>
      <c r="AB9" s="5" t="s">
        <v>10</v>
      </c>
    </row>
    <row r="10">
      <c r="B10" s="74" t="s">
        <v>17</v>
      </c>
      <c r="C10" t="s">
        <v>86</v>
      </c>
      <c r="D10">
        <v>2</v>
      </c>
      <c r="E10" s="75">
        <v>0.58966366372166545</v>
      </c>
      <c r="F10" s="75">
        <v>0.61327154630066272</v>
      </c>
      <c r="G10" s="75">
        <v>0.23197773212089445</v>
      </c>
      <c r="H10" s="75"/>
      <c r="I10" t="s">
        <v>10</v>
      </c>
      <c r="J10" t="s">
        <v>11</v>
      </c>
      <c r="L10">
        <f t="shared" ref="L10:L16" si="82">COUNTIF($I10:$J10,"gembira")</f>
        <v>1</v>
      </c>
      <c r="M10">
        <f t="shared" ref="M10:M16" si="83">COUNTIF($I10:$J10,"sedih")</f>
        <v>1</v>
      </c>
      <c r="N10">
        <f t="shared" ref="N10:N16" si="84">COUNTIF($I10:$J10,"tegang")</f>
        <v>0</v>
      </c>
      <c r="P10" s="1"/>
      <c r="Q10" t="s">
        <v>252</v>
      </c>
      <c r="R10" s="1" t="s">
        <v>246</v>
      </c>
      <c r="S10" t="s">
        <v>247</v>
      </c>
      <c r="T10" t="s">
        <v>253</v>
      </c>
      <c r="U10" t="s">
        <v>254</v>
      </c>
      <c r="V10" t="s">
        <v>255</v>
      </c>
      <c r="W10" t="s">
        <v>256</v>
      </c>
      <c r="X10" t="s">
        <v>257</v>
      </c>
      <c r="Y10" t="s">
        <v>258</v>
      </c>
      <c r="Z10" t="s">
        <v>259</v>
      </c>
      <c r="AB10" t="s">
        <v>252</v>
      </c>
      <c r="AC10" t="s">
        <v>258</v>
      </c>
      <c r="AD10" t="s">
        <v>255</v>
      </c>
      <c r="AE10" t="s">
        <v>259</v>
      </c>
    </row>
    <row r="11" ht="15" customHeight="1">
      <c r="B11" s="74"/>
      <c r="C11" t="s">
        <v>86</v>
      </c>
      <c r="D11">
        <v>3</v>
      </c>
      <c r="E11" s="75">
        <v>0.13057053881923519</v>
      </c>
      <c r="F11" s="75">
        <v>0.60336156019166032</v>
      </c>
      <c r="G11" s="75">
        <v>0.80781190268440484</v>
      </c>
      <c r="H11" s="75"/>
      <c r="I11" t="s">
        <v>12</v>
      </c>
      <c r="J11" t="s">
        <v>11</v>
      </c>
      <c r="L11">
        <f t="shared" si="82"/>
        <v>0</v>
      </c>
      <c r="M11">
        <f t="shared" si="83"/>
        <v>1</v>
      </c>
      <c r="N11">
        <f t="shared" si="84"/>
        <v>1</v>
      </c>
      <c r="P11" s="1"/>
      <c r="Q11" s="1">
        <v>0.59999999999999998</v>
      </c>
      <c r="R11" s="1">
        <f>IF($Q$5&gt;$Q11,1,0)</f>
        <v>0</v>
      </c>
      <c r="S11">
        <f>$R$5</f>
        <v>0</v>
      </c>
      <c r="T11">
        <f t="shared" ref="T11:T74" si="85">IF(AND(R11=1,S11=1),1,0)</f>
        <v>0</v>
      </c>
      <c r="U11">
        <f t="shared" ref="U11:U74" si="86">IF(AND(R11=0,S11=1),1,0)</f>
        <v>0</v>
      </c>
      <c r="V11">
        <f>SUM(T11:T14)/(SUM(T11:T14)+SUM(U11:U14))</f>
        <v>0.5</v>
      </c>
      <c r="W11">
        <f t="shared" ref="W11:W74" si="87">IF(AND(R11=1,S11=0),1,0)</f>
        <v>0</v>
      </c>
      <c r="X11">
        <f t="shared" ref="X11:X74" si="88">IF(AND(R11=0,S11=0),1,0)</f>
        <v>1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0.59999999999999998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0.5</v>
      </c>
      <c r="AE11" cm="1">
        <f t="array" ref="AE11:AE15">_xlfn._xlws.FILTER(Z11:Z30,Z11:Z30&lt;&gt;"")</f>
        <v>1</v>
      </c>
    </row>
    <row r="12">
      <c r="B12" s="76"/>
      <c r="C12" s="15" t="s">
        <v>86</v>
      </c>
      <c r="D12" s="15">
        <v>4</v>
      </c>
      <c r="E12" s="77">
        <v>0.86146155904484589</v>
      </c>
      <c r="F12" s="77">
        <v>0.76077951636228525</v>
      </c>
      <c r="G12" s="77">
        <v>0.4201074600013428</v>
      </c>
      <c r="H12" s="15"/>
      <c r="I12" s="15" t="s">
        <v>10</v>
      </c>
      <c r="J12" s="15"/>
      <c r="L12" s="15">
        <f t="shared" si="82"/>
        <v>1</v>
      </c>
      <c r="M12" s="15">
        <f t="shared" si="83"/>
        <v>0</v>
      </c>
      <c r="N12" s="15">
        <f t="shared" si="84"/>
        <v>0</v>
      </c>
      <c r="P12" s="1"/>
      <c r="R12" s="1">
        <f>IF($Q$6&gt;$Q11,1,0)</f>
        <v>0</v>
      </c>
      <c r="S12">
        <f>$R$6</f>
        <v>1</v>
      </c>
      <c r="T12">
        <f t="shared" si="85"/>
        <v>0</v>
      </c>
      <c r="U12">
        <f t="shared" si="86"/>
        <v>1</v>
      </c>
      <c r="W12">
        <f t="shared" si="87"/>
        <v>0</v>
      </c>
      <c r="X12">
        <f t="shared" si="88"/>
        <v>0</v>
      </c>
      <c r="AB12">
        <f/>
        <v>0.5</v>
      </c>
      <c r="AC12">
        <f/>
        <v>0</v>
      </c>
      <c r="AD12">
        <f/>
        <v>0.5</v>
      </c>
      <c r="AE12">
        <f/>
        <v>1</v>
      </c>
    </row>
    <row r="13">
      <c r="C13" t="s">
        <v>260</v>
      </c>
      <c r="D13">
        <v>1</v>
      </c>
      <c r="E13" s="2" cm="1">
        <f t="array" ref="E13:G13">TRANSPOSE('ATTN-BE'!AH21:AH23)</f>
        <v>0.0019921843807793297</v>
      </c>
      <c r="F13" s="2">
        <f/>
        <v>0.11908145276449437</v>
      </c>
      <c r="G13" s="2">
        <f/>
        <v>0.79364039471471792</v>
      </c>
      <c r="H13" s="2"/>
      <c r="I13" t="s">
        <v>11</v>
      </c>
      <c r="J13" t="s">
        <v>12</v>
      </c>
      <c r="L13">
        <f t="shared" si="82"/>
        <v>0</v>
      </c>
      <c r="M13">
        <f t="shared" si="83"/>
        <v>1</v>
      </c>
      <c r="N13">
        <f t="shared" si="84"/>
        <v>1</v>
      </c>
      <c r="P13" s="1"/>
      <c r="R13" s="1">
        <f>IF($Q$7&gt;$Q11,1,0)</f>
        <v>0</v>
      </c>
      <c r="S13">
        <f>$R$7</f>
        <v>0</v>
      </c>
      <c r="T13">
        <f t="shared" si="85"/>
        <v>0</v>
      </c>
      <c r="U13">
        <f t="shared" si="86"/>
        <v>0</v>
      </c>
      <c r="W13">
        <f t="shared" si="87"/>
        <v>0</v>
      </c>
      <c r="X13">
        <f t="shared" si="88"/>
        <v>1</v>
      </c>
      <c r="AB13">
        <f/>
        <v>0.34999999999999998</v>
      </c>
      <c r="AC13">
        <f/>
        <v>0</v>
      </c>
      <c r="AD13">
        <f/>
        <v>1</v>
      </c>
      <c r="AE13">
        <f/>
        <v>1</v>
      </c>
    </row>
    <row r="14" ht="15" customHeight="1">
      <c r="B14" s="74" t="s">
        <v>17</v>
      </c>
      <c r="C14" t="s">
        <v>260</v>
      </c>
      <c r="D14">
        <v>2</v>
      </c>
      <c r="E14" s="75">
        <v>0.34100796990362869</v>
      </c>
      <c r="F14" s="75">
        <v>0.73501701407214781</v>
      </c>
      <c r="G14" s="75">
        <v>0.23041101083788207</v>
      </c>
      <c r="I14" t="s">
        <v>10</v>
      </c>
      <c r="J14" t="s">
        <v>11</v>
      </c>
      <c r="L14">
        <f t="shared" si="82"/>
        <v>1</v>
      </c>
      <c r="M14">
        <f t="shared" si="83"/>
        <v>1</v>
      </c>
      <c r="N14">
        <f t="shared" si="84"/>
        <v>0</v>
      </c>
      <c r="P14" s="1"/>
      <c r="R14" s="1">
        <f>IF($Q$8&gt;$Q11,1,0)</f>
        <v>1</v>
      </c>
      <c r="S14">
        <f>$R$8</f>
        <v>1</v>
      </c>
      <c r="T14">
        <f t="shared" si="85"/>
        <v>1</v>
      </c>
      <c r="U14">
        <f t="shared" si="86"/>
        <v>0</v>
      </c>
      <c r="W14">
        <f t="shared" si="87"/>
        <v>0</v>
      </c>
      <c r="X14">
        <f t="shared" si="88"/>
        <v>0</v>
      </c>
      <c r="AB14">
        <f/>
        <v>0.14999999999999999</v>
      </c>
      <c r="AC14">
        <f/>
        <v>0</v>
      </c>
      <c r="AD14">
        <f/>
        <v>1</v>
      </c>
      <c r="AE14">
        <f/>
        <v>1</v>
      </c>
    </row>
    <row r="15">
      <c r="B15" s="74"/>
      <c r="C15" t="s">
        <v>260</v>
      </c>
      <c r="D15">
        <v>3</v>
      </c>
      <c r="E15" s="75">
        <v>0.76150906039958099</v>
      </c>
      <c r="F15" s="75">
        <v>0.30006149065367593</v>
      </c>
      <c r="G15" s="75">
        <v>0.072473995966959581</v>
      </c>
      <c r="I15" t="s">
        <v>12</v>
      </c>
      <c r="J15" t="s">
        <v>11</v>
      </c>
      <c r="L15">
        <f t="shared" si="82"/>
        <v>0</v>
      </c>
      <c r="M15">
        <f t="shared" si="83"/>
        <v>1</v>
      </c>
      <c r="N15">
        <f t="shared" si="84"/>
        <v>1</v>
      </c>
      <c r="P15" s="1"/>
      <c r="Q15" s="1">
        <v>0.5</v>
      </c>
      <c r="R15" s="1">
        <f>IF($Q$5&gt;$Q15,1,0)</f>
        <v>0</v>
      </c>
      <c r="S15">
        <f>$R$5</f>
        <v>0</v>
      </c>
      <c r="T15">
        <f t="shared" si="85"/>
        <v>0</v>
      </c>
      <c r="U15">
        <f t="shared" si="86"/>
        <v>0</v>
      </c>
      <c r="V15">
        <f>SUM(T15:T18)/(SUM(T15:T18)+SUM(U15:U18))</f>
        <v>0.5</v>
      </c>
      <c r="W15">
        <f t="shared" si="87"/>
        <v>0</v>
      </c>
      <c r="X15">
        <f t="shared" si="88"/>
        <v>1</v>
      </c>
      <c r="Y15">
        <f>SUM(W15:W18)/(SUM(W15:W18)+SUM(X15:X18))</f>
        <v>0</v>
      </c>
      <c r="Z15">
        <f>SUM(T15:T18)/(SUM(T15:T18)+SUM(W15:W18))</f>
        <v>1</v>
      </c>
      <c r="AB15">
        <f/>
        <v>0</v>
      </c>
      <c r="AC15">
        <f/>
        <v>1</v>
      </c>
      <c r="AD15">
        <f/>
        <v>1</v>
      </c>
      <c r="AE15">
        <f/>
        <v>0.5</v>
      </c>
    </row>
    <row r="16">
      <c r="B16" s="76"/>
      <c r="C16" s="15" t="s">
        <v>260</v>
      </c>
      <c r="D16" s="15">
        <v>4</v>
      </c>
      <c r="E16" s="77">
        <v>0.72813996016512317</v>
      </c>
      <c r="F16" s="77">
        <v>0.70988097851895582</v>
      </c>
      <c r="G16" s="77">
        <v>0.013349194740536863</v>
      </c>
      <c r="H16" s="15"/>
      <c r="I16" s="15" t="s">
        <v>10</v>
      </c>
      <c r="J16" s="15"/>
      <c r="L16" s="15">
        <f t="shared" si="82"/>
        <v>1</v>
      </c>
      <c r="M16" s="15">
        <f t="shared" si="83"/>
        <v>0</v>
      </c>
      <c r="N16" s="15">
        <f t="shared" si="84"/>
        <v>0</v>
      </c>
      <c r="P16" s="1"/>
      <c r="R16" s="1">
        <f>IF($Q$6&gt;$Q15,1,0)</f>
        <v>0</v>
      </c>
      <c r="S16">
        <f>$R$6</f>
        <v>1</v>
      </c>
      <c r="T16">
        <f t="shared" si="85"/>
        <v>0</v>
      </c>
      <c r="U16">
        <f t="shared" si="86"/>
        <v>1</v>
      </c>
      <c r="W16">
        <f t="shared" si="87"/>
        <v>0</v>
      </c>
      <c r="X16">
        <f t="shared" si="88"/>
        <v>0</v>
      </c>
    </row>
    <row r="17">
      <c r="R17" s="1">
        <f>IF($Q$7&gt;$Q15,1,0)</f>
        <v>0</v>
      </c>
      <c r="S17">
        <f>$R$7</f>
        <v>0</v>
      </c>
      <c r="T17">
        <f t="shared" si="85"/>
        <v>0</v>
      </c>
      <c r="U17">
        <f t="shared" si="86"/>
        <v>0</v>
      </c>
      <c r="W17">
        <f t="shared" si="87"/>
        <v>0</v>
      </c>
      <c r="X17">
        <f t="shared" si="88"/>
        <v>1</v>
      </c>
      <c r="AB17" t="s">
        <v>261</v>
      </c>
      <c r="AC17" t="s">
        <v>262</v>
      </c>
      <c r="AD17" t="s">
        <v>263</v>
      </c>
      <c r="AE17" t="s">
        <v>264</v>
      </c>
    </row>
    <row r="18">
      <c r="R18" s="1">
        <f>IF($Q$8&gt;$Q15,1,0)</f>
        <v>1</v>
      </c>
      <c r="S18">
        <f>$R$8</f>
        <v>1</v>
      </c>
      <c r="T18">
        <f t="shared" si="85"/>
        <v>1</v>
      </c>
      <c r="U18">
        <f t="shared" si="86"/>
        <v>0</v>
      </c>
      <c r="W18">
        <f t="shared" si="87"/>
        <v>0</v>
      </c>
      <c r="X18">
        <f t="shared" si="88"/>
        <v>0</v>
      </c>
      <c r="AB18" s="2" t="s">
        <v>265</v>
      </c>
      <c r="AC18">
        <f t="shared" ref="AC18:AC21" si="89">ABS(AC12-AC11)</f>
        <v>0</v>
      </c>
      <c r="AD18">
        <f t="shared" ref="AD18:AD21" si="90">(AD11+AD12)/2</f>
        <v>0.5</v>
      </c>
      <c r="AE18">
        <f t="shared" ref="AE18:AE21" si="91">AC18*AD18</f>
        <v>0</v>
      </c>
    </row>
    <row r="19">
      <c r="Q19" s="1">
        <v>0.34999999999999998</v>
      </c>
      <c r="R19" s="1">
        <f>IF($Q$5&gt;$Q19,1,0)</f>
        <v>0</v>
      </c>
      <c r="S19">
        <f>$R$5</f>
        <v>0</v>
      </c>
      <c r="T19">
        <f t="shared" si="85"/>
        <v>0</v>
      </c>
      <c r="U19">
        <f t="shared" si="86"/>
        <v>0</v>
      </c>
      <c r="V19">
        <f>SUM(T19:T22)/(SUM(T19:T22)+SUM(U19:U22))</f>
        <v>1</v>
      </c>
      <c r="W19">
        <f t="shared" si="87"/>
        <v>0</v>
      </c>
      <c r="X19">
        <f t="shared" si="88"/>
        <v>1</v>
      </c>
      <c r="Y19">
        <f>SUM(W19:W22)/(SUM(W19:W22)+SUM(X19:X22))</f>
        <v>0</v>
      </c>
      <c r="Z19">
        <f>SUM(T19:T22)/(SUM(T19:T22)+SUM(W19:W22))</f>
        <v>1</v>
      </c>
      <c r="AC19">
        <f t="shared" si="89"/>
        <v>0</v>
      </c>
      <c r="AD19">
        <f t="shared" si="90"/>
        <v>0.75</v>
      </c>
      <c r="AE19">
        <f t="shared" si="91"/>
        <v>0</v>
      </c>
    </row>
    <row r="20">
      <c r="F20" t="s">
        <v>13</v>
      </c>
      <c r="M20" t="s">
        <v>266</v>
      </c>
      <c r="R20" s="1">
        <f>IF($Q$6&gt;$Q19,1,0)</f>
        <v>1</v>
      </c>
      <c r="S20">
        <f>$R$6</f>
        <v>1</v>
      </c>
      <c r="T20">
        <f t="shared" si="85"/>
        <v>1</v>
      </c>
      <c r="U20">
        <f t="shared" si="86"/>
        <v>0</v>
      </c>
      <c r="W20">
        <f t="shared" si="87"/>
        <v>0</v>
      </c>
      <c r="X20">
        <f t="shared" si="88"/>
        <v>0</v>
      </c>
      <c r="AC20">
        <f t="shared" si="89"/>
        <v>0</v>
      </c>
      <c r="AD20">
        <f t="shared" si="90"/>
        <v>1</v>
      </c>
      <c r="AE20">
        <f t="shared" si="91"/>
        <v>0</v>
      </c>
    </row>
    <row r="21">
      <c r="F21" t="s">
        <v>15</v>
      </c>
      <c r="G21" t="s">
        <v>16</v>
      </c>
      <c r="M21" s="3" t="s">
        <v>246</v>
      </c>
      <c r="N21" s="3"/>
      <c r="R21" s="1">
        <f>IF($Q$7&gt;$Q19,1,0)</f>
        <v>0</v>
      </c>
      <c r="S21">
        <f>$R$7</f>
        <v>0</v>
      </c>
      <c r="T21">
        <f t="shared" si="85"/>
        <v>0</v>
      </c>
      <c r="U21">
        <f t="shared" si="86"/>
        <v>0</v>
      </c>
      <c r="W21">
        <f t="shared" si="87"/>
        <v>0</v>
      </c>
      <c r="X21">
        <f t="shared" si="88"/>
        <v>1</v>
      </c>
      <c r="AC21">
        <f t="shared" si="89"/>
        <v>1</v>
      </c>
      <c r="AD21">
        <f t="shared" si="90"/>
        <v>1</v>
      </c>
      <c r="AE21">
        <f t="shared" si="91"/>
        <v>1</v>
      </c>
    </row>
    <row r="22">
      <c r="E22" t="s">
        <v>10</v>
      </c>
      <c r="F22">
        <f t="shared" ref="F22:F24" si="92">G22/$G$25</f>
        <v>0.11538461538461539</v>
      </c>
      <c r="G22">
        <v>3</v>
      </c>
      <c r="K22" s="74" t="s">
        <v>247</v>
      </c>
      <c r="M22" t="s">
        <v>267</v>
      </c>
      <c r="N22" t="s">
        <v>268</v>
      </c>
      <c r="R22" s="1">
        <f>IF($Q$8&gt;$Q19,1,0)</f>
        <v>1</v>
      </c>
      <c r="S22">
        <f>$R$8</f>
        <v>1</v>
      </c>
      <c r="T22">
        <f t="shared" si="85"/>
        <v>1</v>
      </c>
      <c r="U22">
        <f t="shared" si="86"/>
        <v>0</v>
      </c>
      <c r="W22">
        <f t="shared" si="87"/>
        <v>0</v>
      </c>
      <c r="X22">
        <f t="shared" si="88"/>
        <v>0</v>
      </c>
      <c r="AD22" s="78" t="s">
        <v>269</v>
      </c>
      <c r="AE22" s="79">
        <f>SUM(AE18:AE21)</f>
        <v>1</v>
      </c>
    </row>
    <row r="23" ht="15" customHeight="1">
      <c r="E23" t="s">
        <v>11</v>
      </c>
      <c r="F23">
        <f t="shared" si="92"/>
        <v>0.61538461538461542</v>
      </c>
      <c r="G23">
        <v>16</v>
      </c>
      <c r="K23" s="74"/>
      <c r="L23" t="s">
        <v>267</v>
      </c>
      <c r="M23" t="s">
        <v>253</v>
      </c>
      <c r="N23" t="s">
        <v>254</v>
      </c>
      <c r="Q23" s="1">
        <v>0.14999999999999999</v>
      </c>
      <c r="R23" s="1">
        <f>IF($Q$5&gt;$Q23,1,0)</f>
        <v>0</v>
      </c>
      <c r="S23">
        <f>$R$5</f>
        <v>0</v>
      </c>
      <c r="T23">
        <f t="shared" si="85"/>
        <v>0</v>
      </c>
      <c r="U23">
        <f t="shared" si="86"/>
        <v>0</v>
      </c>
      <c r="V23">
        <f>SUM(T23:T26)/(SUM(T23:T26)+SUM(U23:U26))</f>
        <v>1</v>
      </c>
      <c r="W23">
        <f t="shared" si="87"/>
        <v>0</v>
      </c>
      <c r="X23">
        <f t="shared" si="88"/>
        <v>1</v>
      </c>
      <c r="Y23">
        <f>SUM(W23:W26)/(SUM(W23:W26)+SUM(X23:X26))</f>
        <v>0</v>
      </c>
      <c r="Z23">
        <f>SUM(T23:T26)/(SUM(T23:T26)+SUM(W23:W26))</f>
        <v>1</v>
      </c>
    </row>
    <row r="24">
      <c r="E24" t="s">
        <v>12</v>
      </c>
      <c r="F24">
        <f t="shared" si="92"/>
        <v>0.26923076923076922</v>
      </c>
      <c r="G24">
        <v>7</v>
      </c>
      <c r="K24" s="74"/>
      <c r="L24" t="s">
        <v>268</v>
      </c>
      <c r="M24" t="s">
        <v>256</v>
      </c>
      <c r="N24" t="s">
        <v>257</v>
      </c>
      <c r="R24" s="1">
        <f>IF($Q$6&gt;$Q23,1,0)</f>
        <v>1</v>
      </c>
      <c r="S24">
        <f>$R$6</f>
        <v>1</v>
      </c>
      <c r="T24">
        <f t="shared" si="85"/>
        <v>1</v>
      </c>
      <c r="U24">
        <f t="shared" si="86"/>
        <v>0</v>
      </c>
      <c r="W24">
        <f t="shared" si="87"/>
        <v>0</v>
      </c>
      <c r="X24">
        <f t="shared" si="88"/>
        <v>0</v>
      </c>
      <c r="AB24" t="s">
        <v>261</v>
      </c>
      <c r="AC24" t="s">
        <v>262</v>
      </c>
      <c r="AD24" t="s">
        <v>263</v>
      </c>
      <c r="AE24" t="s">
        <v>264</v>
      </c>
    </row>
    <row r="25">
      <c r="G25">
        <f>SUM(G22:G24)</f>
        <v>26</v>
      </c>
      <c r="K25" s="74"/>
      <c r="R25" s="1">
        <f>IF($Q$7&gt;$Q23,1,0)</f>
        <v>0</v>
      </c>
      <c r="S25">
        <f>$R$7</f>
        <v>0</v>
      </c>
      <c r="T25">
        <f t="shared" si="85"/>
        <v>0</v>
      </c>
      <c r="U25">
        <f t="shared" si="86"/>
        <v>0</v>
      </c>
      <c r="W25">
        <f t="shared" si="87"/>
        <v>0</v>
      </c>
      <c r="X25">
        <f t="shared" si="88"/>
        <v>1</v>
      </c>
      <c r="AB25" s="2" t="s">
        <v>270</v>
      </c>
      <c r="AC25">
        <f t="shared" ref="AC25:AC28" si="93">ABS(AD12-AD11)</f>
        <v>0</v>
      </c>
      <c r="AD25">
        <f t="shared" ref="AD25:AD28" si="94">(AE11+AE12)/2</f>
        <v>1</v>
      </c>
      <c r="AE25">
        <f t="shared" ref="AE25:AE28" si="95">AC25*AD25</f>
        <v>0</v>
      </c>
    </row>
    <row r="26">
      <c r="F26" t="s">
        <v>271</v>
      </c>
      <c r="R26" s="1">
        <f>IF($Q$8&gt;$Q23,1,0)</f>
        <v>1</v>
      </c>
      <c r="S26">
        <f>$R$8</f>
        <v>1</v>
      </c>
      <c r="T26">
        <f t="shared" si="85"/>
        <v>1</v>
      </c>
      <c r="U26">
        <f t="shared" si="86"/>
        <v>0</v>
      </c>
      <c r="W26">
        <f t="shared" si="87"/>
        <v>0</v>
      </c>
      <c r="X26">
        <f t="shared" si="88"/>
        <v>0</v>
      </c>
      <c r="AC26">
        <f t="shared" si="93"/>
        <v>0.5</v>
      </c>
      <c r="AD26">
        <f t="shared" si="94"/>
        <v>1</v>
      </c>
      <c r="AE26">
        <f t="shared" si="95"/>
        <v>0.5</v>
      </c>
    </row>
    <row r="27">
      <c r="Q27" s="1">
        <v>0</v>
      </c>
      <c r="R27" s="1">
        <f>IF($Q$5&gt;$Q27,1,0)</f>
        <v>1</v>
      </c>
      <c r="S27">
        <f>$R$5</f>
        <v>0</v>
      </c>
      <c r="T27">
        <f t="shared" si="85"/>
        <v>0</v>
      </c>
      <c r="U27">
        <f t="shared" si="86"/>
        <v>0</v>
      </c>
      <c r="V27">
        <f>SUM(T27:T30)/(SUM(T27:T30)+SUM(U27:U30))</f>
        <v>1</v>
      </c>
      <c r="W27">
        <f t="shared" si="87"/>
        <v>1</v>
      </c>
      <c r="X27">
        <f t="shared" si="88"/>
        <v>0</v>
      </c>
      <c r="Y27">
        <f>SUM(W27:W30)/(SUM(W27:W30)+SUM(X27:X30))</f>
        <v>1</v>
      </c>
      <c r="Z27">
        <f>SUM(T27:T30)/(SUM(T27:T30)+SUM(W27:W30))</f>
        <v>0.5</v>
      </c>
      <c r="AC27">
        <f t="shared" si="93"/>
        <v>0</v>
      </c>
      <c r="AD27">
        <f t="shared" si="94"/>
        <v>1</v>
      </c>
      <c r="AE27">
        <f t="shared" si="95"/>
        <v>0</v>
      </c>
    </row>
    <row r="28">
      <c r="R28" s="1">
        <f>IF($Q$6&gt;$Q27,1,0)</f>
        <v>1</v>
      </c>
      <c r="S28">
        <f>$R$6</f>
        <v>1</v>
      </c>
      <c r="T28">
        <f t="shared" si="85"/>
        <v>1</v>
      </c>
      <c r="U28">
        <f t="shared" si="86"/>
        <v>0</v>
      </c>
      <c r="W28">
        <f t="shared" si="87"/>
        <v>0</v>
      </c>
      <c r="X28">
        <f t="shared" si="88"/>
        <v>0</v>
      </c>
      <c r="AC28">
        <f t="shared" si="93"/>
        <v>0</v>
      </c>
      <c r="AD28">
        <f t="shared" si="94"/>
        <v>0.75</v>
      </c>
      <c r="AE28">
        <f t="shared" si="95"/>
        <v>0</v>
      </c>
    </row>
    <row r="29">
      <c r="R29" s="1">
        <f>IF($Q$7&gt;$Q27,1,0)</f>
        <v>1</v>
      </c>
      <c r="S29">
        <f>$R$7</f>
        <v>0</v>
      </c>
      <c r="T29">
        <f t="shared" si="85"/>
        <v>0</v>
      </c>
      <c r="U29">
        <f t="shared" si="86"/>
        <v>0</v>
      </c>
      <c r="W29">
        <f t="shared" si="87"/>
        <v>1</v>
      </c>
      <c r="X29">
        <f t="shared" si="88"/>
        <v>0</v>
      </c>
      <c r="AD29" s="78" t="s">
        <v>272</v>
      </c>
      <c r="AE29" s="79">
        <f>SUM(AE25:AE28)</f>
        <v>0.5</v>
      </c>
    </row>
    <row r="30">
      <c r="R30" s="1">
        <f>IF($Q$8&gt;$Q27,1,0)</f>
        <v>1</v>
      </c>
      <c r="S30">
        <f>$R$8</f>
        <v>1</v>
      </c>
      <c r="T30">
        <f t="shared" si="85"/>
        <v>1</v>
      </c>
      <c r="U30">
        <f t="shared" si="86"/>
        <v>0</v>
      </c>
      <c r="W30">
        <f t="shared" si="87"/>
        <v>0</v>
      </c>
      <c r="X30">
        <f t="shared" si="88"/>
        <v>0</v>
      </c>
      <c r="AB30" t="s">
        <v>273</v>
      </c>
    </row>
    <row r="31">
      <c r="Q31" s="1"/>
      <c r="R31" s="1"/>
    </row>
    <row r="32">
      <c r="R32" s="1"/>
    </row>
    <row r="33">
      <c r="Q33" s="5" t="s">
        <v>11</v>
      </c>
      <c r="T33" s="2"/>
    </row>
    <row r="34">
      <c r="Q34" t="s">
        <v>246</v>
      </c>
      <c r="R34" t="s">
        <v>247</v>
      </c>
    </row>
    <row r="35">
      <c r="Q35">
        <f>$F$5</f>
        <v>0.17782743295767689</v>
      </c>
      <c r="R35">
        <f>$M$5</f>
        <v>1</v>
      </c>
    </row>
    <row r="36">
      <c r="Q36" cm="1">
        <f t="array" ref="Q36:Q38">F6:$F$8</f>
        <v>0.74796252013739595</v>
      </c>
      <c r="R36" s="1" cm="1">
        <f t="array" ref="R36:R38">M6:$M$8</f>
        <v>1</v>
      </c>
    </row>
    <row r="37">
      <c r="Q37">
        <f/>
        <v>0.64566804354494844</v>
      </c>
      <c r="R37" s="1">
        <f/>
        <v>1</v>
      </c>
    </row>
    <row r="38">
      <c r="Q38" s="1">
        <f/>
        <v>0.083554519071598998</v>
      </c>
      <c r="R38" s="1">
        <f/>
        <v>0</v>
      </c>
    </row>
    <row r="39">
      <c r="Q39" s="1"/>
      <c r="R39" s="1"/>
      <c r="V39" t="s">
        <v>249</v>
      </c>
      <c r="Y39" t="s">
        <v>250</v>
      </c>
      <c r="Z39" t="s">
        <v>251</v>
      </c>
      <c r="AB39" s="5" t="s">
        <v>11</v>
      </c>
    </row>
    <row r="40">
      <c r="Q40" t="s">
        <v>252</v>
      </c>
      <c r="R40" s="1" t="s">
        <v>246</v>
      </c>
      <c r="S40" t="s">
        <v>247</v>
      </c>
      <c r="T40" t="s">
        <v>253</v>
      </c>
      <c r="U40" t="s">
        <v>254</v>
      </c>
      <c r="V40" t="s">
        <v>255</v>
      </c>
      <c r="W40" t="s">
        <v>256</v>
      </c>
      <c r="X40" t="s">
        <v>257</v>
      </c>
      <c r="Y40" t="s">
        <v>258</v>
      </c>
      <c r="Z40" t="s">
        <v>259</v>
      </c>
      <c r="AB40" t="s">
        <v>252</v>
      </c>
      <c r="AC40" t="s">
        <v>258</v>
      </c>
      <c r="AD40" t="s">
        <v>255</v>
      </c>
      <c r="AE40" t="s">
        <v>259</v>
      </c>
    </row>
    <row r="41">
      <c r="Q41" s="1">
        <v>0.69999999999999996</v>
      </c>
      <c r="R41" s="1">
        <f>IF($Q$35&gt;$Q41,1,0)</f>
        <v>0</v>
      </c>
      <c r="S41">
        <f>$R$35</f>
        <v>1</v>
      </c>
      <c r="T41">
        <f t="shared" si="85"/>
        <v>0</v>
      </c>
      <c r="U41">
        <f t="shared" si="86"/>
        <v>1</v>
      </c>
      <c r="V41">
        <f>SUM(T41:T44)/(SUM(T41:T44)+SUM(U41:U44))</f>
        <v>0.33333333333333331</v>
      </c>
      <c r="W41">
        <f t="shared" si="87"/>
        <v>0</v>
      </c>
      <c r="X41">
        <f t="shared" si="88"/>
        <v>0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0.69999999999999996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0.33333333333333331</v>
      </c>
      <c r="AE41" cm="1">
        <f t="array" ref="AE41:AE45">_xlfn._xlws.FILTER(Z41:Z60,Z41:Z60&lt;&gt;"")</f>
        <v>1</v>
      </c>
    </row>
    <row r="42">
      <c r="R42" s="1">
        <f>IF($Q$36&gt;$Q41,1,0)</f>
        <v>1</v>
      </c>
      <c r="S42">
        <f>$R$36</f>
        <v>1</v>
      </c>
      <c r="T42">
        <f t="shared" si="85"/>
        <v>1</v>
      </c>
      <c r="U42">
        <f t="shared" si="86"/>
        <v>0</v>
      </c>
      <c r="W42">
        <f t="shared" si="87"/>
        <v>0</v>
      </c>
      <c r="X42">
        <f t="shared" si="88"/>
        <v>0</v>
      </c>
      <c r="AB42">
        <f/>
        <v>0.59999999999999998</v>
      </c>
      <c r="AC42">
        <f/>
        <v>0</v>
      </c>
      <c r="AD42">
        <f/>
        <v>0.66666666666666663</v>
      </c>
      <c r="AE42">
        <f/>
        <v>1</v>
      </c>
    </row>
    <row r="43">
      <c r="R43" s="1">
        <f>IF($Q$37&gt;$Q41,1,0)</f>
        <v>0</v>
      </c>
      <c r="S43">
        <f>$R$37</f>
        <v>1</v>
      </c>
      <c r="T43">
        <f t="shared" si="85"/>
        <v>0</v>
      </c>
      <c r="U43">
        <f t="shared" si="86"/>
        <v>1</v>
      </c>
      <c r="W43">
        <f t="shared" si="87"/>
        <v>0</v>
      </c>
      <c r="X43">
        <f t="shared" si="88"/>
        <v>0</v>
      </c>
      <c r="AB43">
        <f/>
        <v>0.40000000000000002</v>
      </c>
      <c r="AC43">
        <f/>
        <v>0</v>
      </c>
      <c r="AD43">
        <f/>
        <v>0.66666666666666663</v>
      </c>
      <c r="AE43">
        <f/>
        <v>1</v>
      </c>
    </row>
    <row r="44">
      <c r="R44" s="1">
        <f>IF($Q$38&gt;$Q41,1,0)</f>
        <v>0</v>
      </c>
      <c r="S44">
        <f>$R$38</f>
        <v>0</v>
      </c>
      <c r="T44">
        <f t="shared" si="85"/>
        <v>0</v>
      </c>
      <c r="U44">
        <f t="shared" si="86"/>
        <v>0</v>
      </c>
      <c r="W44">
        <f t="shared" si="87"/>
        <v>0</v>
      </c>
      <c r="X44">
        <f t="shared" si="88"/>
        <v>1</v>
      </c>
      <c r="AB44">
        <f/>
        <v>0.20000000000000001</v>
      </c>
      <c r="AC44">
        <f/>
        <v>0</v>
      </c>
      <c r="AD44">
        <f/>
        <v>0.66666666666666663</v>
      </c>
      <c r="AE44">
        <f/>
        <v>1</v>
      </c>
    </row>
    <row r="45">
      <c r="Q45" s="1">
        <v>0.59999999999999998</v>
      </c>
      <c r="R45" s="1">
        <f>IF($Q$35&gt;$Q45,1,0)</f>
        <v>0</v>
      </c>
      <c r="S45">
        <f>$R$35</f>
        <v>1</v>
      </c>
      <c r="T45">
        <f t="shared" si="85"/>
        <v>0</v>
      </c>
      <c r="U45">
        <f t="shared" si="86"/>
        <v>1</v>
      </c>
      <c r="V45">
        <f>SUM(T45:T48)/(SUM(T45:T48)+SUM(U45:U48))</f>
        <v>0.66666666666666663</v>
      </c>
      <c r="W45">
        <f t="shared" si="87"/>
        <v>0</v>
      </c>
      <c r="X45">
        <f t="shared" si="88"/>
        <v>0</v>
      </c>
      <c r="Y45">
        <f>SUM(W45:W48)/(SUM(W45:W48)+SUM(X45:X48))</f>
        <v>0</v>
      </c>
      <c r="Z45">
        <f>SUM(T45:T48)/(SUM(T45:T48)+SUM(W45:W48))</f>
        <v>1</v>
      </c>
      <c r="AB45">
        <f/>
        <v>0</v>
      </c>
      <c r="AC45">
        <f/>
        <v>1</v>
      </c>
      <c r="AD45">
        <f/>
        <v>1</v>
      </c>
      <c r="AE45">
        <f/>
        <v>0.75</v>
      </c>
    </row>
    <row r="46">
      <c r="R46" s="1">
        <f>IF($Q$36&gt;$Q45,1,0)</f>
        <v>1</v>
      </c>
      <c r="S46">
        <f>$R$36</f>
        <v>1</v>
      </c>
      <c r="T46">
        <f t="shared" si="85"/>
        <v>1</v>
      </c>
      <c r="U46">
        <f t="shared" si="86"/>
        <v>0</v>
      </c>
      <c r="W46">
        <f t="shared" si="87"/>
        <v>0</v>
      </c>
      <c r="X46">
        <f t="shared" si="88"/>
        <v>0</v>
      </c>
    </row>
    <row r="47">
      <c r="R47" s="1">
        <f>IF($Q$37&gt;$Q45,1,0)</f>
        <v>1</v>
      </c>
      <c r="S47">
        <f>$R$37</f>
        <v>1</v>
      </c>
      <c r="T47">
        <f t="shared" si="85"/>
        <v>1</v>
      </c>
      <c r="U47">
        <f t="shared" si="86"/>
        <v>0</v>
      </c>
      <c r="W47">
        <f t="shared" si="87"/>
        <v>0</v>
      </c>
      <c r="X47">
        <f t="shared" si="88"/>
        <v>0</v>
      </c>
      <c r="AB47" t="s">
        <v>261</v>
      </c>
      <c r="AC47" t="s">
        <v>262</v>
      </c>
      <c r="AD47" t="s">
        <v>263</v>
      </c>
      <c r="AE47" t="s">
        <v>264</v>
      </c>
    </row>
    <row r="48">
      <c r="R48" s="1">
        <f>IF($Q$38&gt;$Q45,1,0)</f>
        <v>0</v>
      </c>
      <c r="S48">
        <f>$R$38</f>
        <v>0</v>
      </c>
      <c r="T48">
        <f t="shared" si="85"/>
        <v>0</v>
      </c>
      <c r="U48">
        <f t="shared" si="86"/>
        <v>0</v>
      </c>
      <c r="W48">
        <f t="shared" si="87"/>
        <v>0</v>
      </c>
      <c r="X48">
        <f t="shared" si="88"/>
        <v>1</v>
      </c>
      <c r="AB48" s="2" t="s">
        <v>265</v>
      </c>
      <c r="AC48">
        <f t="shared" ref="AC48:AC51" si="96">ABS(AC42-AC41)</f>
        <v>0</v>
      </c>
      <c r="AD48">
        <f t="shared" ref="AD48:AD51" si="97">(AD41+AD42)/2</f>
        <v>0.5</v>
      </c>
      <c r="AE48">
        <f t="shared" ref="AE48:AE51" si="98">AC48*AD48</f>
        <v>0</v>
      </c>
    </row>
    <row r="49">
      <c r="Q49" s="1">
        <v>0.40000000000000002</v>
      </c>
      <c r="R49" s="1">
        <f>IF($Q$35&gt;$Q49,1,0)</f>
        <v>0</v>
      </c>
      <c r="S49">
        <f>$R$35</f>
        <v>1</v>
      </c>
      <c r="T49">
        <f t="shared" si="85"/>
        <v>0</v>
      </c>
      <c r="U49">
        <f t="shared" si="86"/>
        <v>1</v>
      </c>
      <c r="V49">
        <f>SUM(T49:T52)/(SUM(T49:T52)+SUM(U49:U52))</f>
        <v>0.66666666666666663</v>
      </c>
      <c r="W49">
        <f t="shared" si="87"/>
        <v>0</v>
      </c>
      <c r="X49">
        <f t="shared" si="88"/>
        <v>0</v>
      </c>
      <c r="Y49">
        <f>SUM(W49:W52)/(SUM(W49:W52)+SUM(X49:X52))</f>
        <v>0</v>
      </c>
      <c r="Z49">
        <f>SUM(T49:T52)/(SUM(T49:T52)+SUM(W49:W52))</f>
        <v>1</v>
      </c>
      <c r="AC49">
        <f t="shared" si="96"/>
        <v>0</v>
      </c>
      <c r="AD49">
        <f t="shared" si="97"/>
        <v>0.66666666666666663</v>
      </c>
      <c r="AE49">
        <f t="shared" si="98"/>
        <v>0</v>
      </c>
    </row>
    <row r="50">
      <c r="R50" s="1">
        <f>IF($Q$36&gt;$Q49,1,0)</f>
        <v>1</v>
      </c>
      <c r="S50">
        <f>$R$36</f>
        <v>1</v>
      </c>
      <c r="T50">
        <f t="shared" si="85"/>
        <v>1</v>
      </c>
      <c r="U50">
        <f t="shared" si="86"/>
        <v>0</v>
      </c>
      <c r="W50">
        <f t="shared" si="87"/>
        <v>0</v>
      </c>
      <c r="X50">
        <f t="shared" si="88"/>
        <v>0</v>
      </c>
      <c r="AC50">
        <f t="shared" si="96"/>
        <v>0</v>
      </c>
      <c r="AD50">
        <f t="shared" si="97"/>
        <v>0.66666666666666663</v>
      </c>
      <c r="AE50">
        <f t="shared" si="98"/>
        <v>0</v>
      </c>
    </row>
    <row r="51">
      <c r="R51" s="1">
        <f>IF($Q$37&gt;$Q49,1,0)</f>
        <v>1</v>
      </c>
      <c r="S51">
        <f>$R$37</f>
        <v>1</v>
      </c>
      <c r="T51">
        <f t="shared" si="85"/>
        <v>1</v>
      </c>
      <c r="U51">
        <f t="shared" si="86"/>
        <v>0</v>
      </c>
      <c r="W51">
        <f t="shared" si="87"/>
        <v>0</v>
      </c>
      <c r="X51">
        <f t="shared" si="88"/>
        <v>0</v>
      </c>
      <c r="AC51">
        <f t="shared" si="96"/>
        <v>1</v>
      </c>
      <c r="AD51">
        <f t="shared" si="97"/>
        <v>0.83333333333333326</v>
      </c>
      <c r="AE51">
        <f t="shared" si="98"/>
        <v>0.83333333333333326</v>
      </c>
    </row>
    <row r="52">
      <c r="R52" s="1">
        <f>IF($Q$38&gt;$Q49,1,0)</f>
        <v>0</v>
      </c>
      <c r="S52">
        <f>$R$38</f>
        <v>0</v>
      </c>
      <c r="T52">
        <f t="shared" si="85"/>
        <v>0</v>
      </c>
      <c r="U52">
        <f t="shared" si="86"/>
        <v>0</v>
      </c>
      <c r="W52">
        <f t="shared" si="87"/>
        <v>0</v>
      </c>
      <c r="X52">
        <f t="shared" si="88"/>
        <v>1</v>
      </c>
      <c r="AD52" s="78" t="s">
        <v>269</v>
      </c>
      <c r="AE52" s="79">
        <f>SUM(AE48:AE51)</f>
        <v>0.83333333333333326</v>
      </c>
    </row>
    <row r="53">
      <c r="Q53" s="1">
        <v>0.20000000000000001</v>
      </c>
      <c r="R53" s="1">
        <f>IF($Q$35&gt;$Q53,1,0)</f>
        <v>0</v>
      </c>
      <c r="S53">
        <f>$R$35</f>
        <v>1</v>
      </c>
      <c r="T53">
        <f t="shared" si="85"/>
        <v>0</v>
      </c>
      <c r="U53">
        <f t="shared" si="86"/>
        <v>1</v>
      </c>
      <c r="V53">
        <f>SUM(T53:T56)/(SUM(T53:T56)+SUM(U53:U56))</f>
        <v>0.66666666666666663</v>
      </c>
      <c r="W53">
        <f t="shared" si="87"/>
        <v>0</v>
      </c>
      <c r="X53">
        <f t="shared" si="88"/>
        <v>0</v>
      </c>
      <c r="Y53">
        <f>SUM(W53:W56)/(SUM(W53:W56)+SUM(X53:X56))</f>
        <v>0</v>
      </c>
      <c r="Z53">
        <f>SUM(T53:T56)/(SUM(T53:T56)+SUM(W53:W56))</f>
        <v>1</v>
      </c>
    </row>
    <row r="54">
      <c r="R54" s="1">
        <f>IF($Q$36&gt;$Q53,1,0)</f>
        <v>1</v>
      </c>
      <c r="S54">
        <f>$R$36</f>
        <v>1</v>
      </c>
      <c r="T54">
        <f t="shared" si="85"/>
        <v>1</v>
      </c>
      <c r="U54">
        <f t="shared" si="86"/>
        <v>0</v>
      </c>
      <c r="W54">
        <f t="shared" si="87"/>
        <v>0</v>
      </c>
      <c r="X54">
        <f t="shared" si="88"/>
        <v>0</v>
      </c>
      <c r="AB54" t="s">
        <v>261</v>
      </c>
      <c r="AC54" t="s">
        <v>262</v>
      </c>
      <c r="AD54" t="s">
        <v>263</v>
      </c>
      <c r="AE54" t="s">
        <v>264</v>
      </c>
    </row>
    <row r="55">
      <c r="R55" s="1">
        <f>IF($Q$37&gt;$Q53,1,0)</f>
        <v>1</v>
      </c>
      <c r="S55">
        <f>$R$37</f>
        <v>1</v>
      </c>
      <c r="T55">
        <f t="shared" si="85"/>
        <v>1</v>
      </c>
      <c r="U55">
        <f t="shared" si="86"/>
        <v>0</v>
      </c>
      <c r="W55">
        <f t="shared" si="87"/>
        <v>0</v>
      </c>
      <c r="X55">
        <f t="shared" si="88"/>
        <v>0</v>
      </c>
      <c r="AB55" s="2" t="s">
        <v>270</v>
      </c>
      <c r="AC55">
        <f t="shared" ref="AC55:AC58" si="99">ABS(AD42-AD41)</f>
        <v>0.33333333333333331</v>
      </c>
      <c r="AD55">
        <f t="shared" ref="AD55:AD58" si="100">(AE41+AE42)/2</f>
        <v>1</v>
      </c>
      <c r="AE55">
        <f t="shared" ref="AE55:AE58" si="101">AC55*AD55</f>
        <v>0.33333333333333331</v>
      </c>
    </row>
    <row r="56">
      <c r="R56" s="1">
        <f>IF($Q$38&gt;$Q53,1,0)</f>
        <v>0</v>
      </c>
      <c r="S56">
        <f>$R$38</f>
        <v>0</v>
      </c>
      <c r="T56">
        <f t="shared" si="85"/>
        <v>0</v>
      </c>
      <c r="U56">
        <f t="shared" si="86"/>
        <v>0</v>
      </c>
      <c r="W56">
        <f t="shared" si="87"/>
        <v>0</v>
      </c>
      <c r="X56">
        <f t="shared" si="88"/>
        <v>1</v>
      </c>
      <c r="AC56">
        <f t="shared" si="99"/>
        <v>0</v>
      </c>
      <c r="AD56">
        <f t="shared" si="100"/>
        <v>1</v>
      </c>
      <c r="AE56">
        <f t="shared" si="101"/>
        <v>0</v>
      </c>
    </row>
    <row r="57">
      <c r="Q57" s="1">
        <v>0</v>
      </c>
      <c r="R57" s="1">
        <f>IF($Q$35&gt;$Q57,1,0)</f>
        <v>1</v>
      </c>
      <c r="S57">
        <f>$R$35</f>
        <v>1</v>
      </c>
      <c r="T57">
        <f t="shared" si="85"/>
        <v>1</v>
      </c>
      <c r="U57">
        <f t="shared" si="86"/>
        <v>0</v>
      </c>
      <c r="V57">
        <f>SUM(T57:T60)/(SUM(T57:T60)+SUM(U57:U60))</f>
        <v>1</v>
      </c>
      <c r="W57">
        <f t="shared" si="87"/>
        <v>0</v>
      </c>
      <c r="X57">
        <f t="shared" si="88"/>
        <v>0</v>
      </c>
      <c r="Y57">
        <f>SUM(W57:W60)/(SUM(W57:W60)+SUM(X57:X60))</f>
        <v>1</v>
      </c>
      <c r="Z57">
        <f>SUM(T57:T60)/(SUM(T57:T60)+SUM(W57:W60))</f>
        <v>0.75</v>
      </c>
      <c r="AC57">
        <f t="shared" si="99"/>
        <v>0</v>
      </c>
      <c r="AD57">
        <f t="shared" si="100"/>
        <v>1</v>
      </c>
      <c r="AE57">
        <f t="shared" si="101"/>
        <v>0</v>
      </c>
    </row>
    <row r="58">
      <c r="R58" s="1">
        <f>IF($Q$36&gt;$Q57,1,0)</f>
        <v>1</v>
      </c>
      <c r="S58">
        <f>$R$36</f>
        <v>1</v>
      </c>
      <c r="T58">
        <f t="shared" si="85"/>
        <v>1</v>
      </c>
      <c r="U58">
        <f t="shared" si="86"/>
        <v>0</v>
      </c>
      <c r="W58">
        <f t="shared" si="87"/>
        <v>0</v>
      </c>
      <c r="X58">
        <f t="shared" si="88"/>
        <v>0</v>
      </c>
      <c r="AC58">
        <f t="shared" si="99"/>
        <v>0.33333333333333337</v>
      </c>
      <c r="AD58">
        <f t="shared" si="100"/>
        <v>0.875</v>
      </c>
      <c r="AE58">
        <f t="shared" si="101"/>
        <v>0.29166666666666669</v>
      </c>
    </row>
    <row r="59">
      <c r="R59" s="1">
        <f>IF($Q$37&gt;$Q57,1,0)</f>
        <v>1</v>
      </c>
      <c r="S59">
        <f>$R$37</f>
        <v>1</v>
      </c>
      <c r="T59">
        <f t="shared" si="85"/>
        <v>1</v>
      </c>
      <c r="U59">
        <f t="shared" si="86"/>
        <v>0</v>
      </c>
      <c r="W59">
        <f t="shared" si="87"/>
        <v>0</v>
      </c>
      <c r="X59">
        <f t="shared" si="88"/>
        <v>0</v>
      </c>
      <c r="AD59" s="78" t="s">
        <v>272</v>
      </c>
      <c r="AE59" s="79">
        <f>SUM(AE55:AE58)</f>
        <v>0.625</v>
      </c>
    </row>
    <row r="60">
      <c r="R60" s="1">
        <f>IF($Q$38&gt;$Q57,1,0)</f>
        <v>1</v>
      </c>
      <c r="S60">
        <f>$R$38</f>
        <v>0</v>
      </c>
      <c r="T60">
        <f t="shared" si="85"/>
        <v>0</v>
      </c>
      <c r="U60">
        <f t="shared" si="86"/>
        <v>0</v>
      </c>
      <c r="W60">
        <f t="shared" si="87"/>
        <v>1</v>
      </c>
      <c r="X60">
        <f t="shared" si="88"/>
        <v>0</v>
      </c>
      <c r="AB60" t="s">
        <v>273</v>
      </c>
    </row>
    <row r="63">
      <c r="Q63" s="5" t="s">
        <v>12</v>
      </c>
      <c r="T63" s="2"/>
    </row>
    <row r="64">
      <c r="Q64" t="s">
        <v>246</v>
      </c>
      <c r="R64" t="s">
        <v>247</v>
      </c>
    </row>
    <row r="65">
      <c r="Q65">
        <f>$G$5</f>
        <v>0.65490552340253538</v>
      </c>
      <c r="R65">
        <f>$N$5</f>
        <v>1</v>
      </c>
    </row>
    <row r="66">
      <c r="Q66" cm="1">
        <f t="array" ref="Q66:Q68">G$6:$G8</f>
        <v>0.083341324346660001</v>
      </c>
      <c r="R66" s="1" cm="1">
        <f t="array" ref="R66:R68">N$6:$N8</f>
        <v>0</v>
      </c>
    </row>
    <row r="67">
      <c r="Q67">
        <f/>
        <v>0.979370096177136</v>
      </c>
      <c r="R67" s="1">
        <f/>
        <v>1</v>
      </c>
    </row>
    <row r="68">
      <c r="Q68" s="1">
        <f/>
        <v>0.074381321270918996</v>
      </c>
      <c r="R68" s="1">
        <f/>
        <v>0</v>
      </c>
    </row>
    <row r="69">
      <c r="Q69" s="1"/>
      <c r="R69" s="1"/>
      <c r="V69" t="s">
        <v>249</v>
      </c>
      <c r="Y69" t="s">
        <v>250</v>
      </c>
      <c r="Z69" t="s">
        <v>251</v>
      </c>
      <c r="AB69" s="5" t="s">
        <v>12</v>
      </c>
    </row>
    <row r="70">
      <c r="Q70" t="s">
        <v>252</v>
      </c>
      <c r="R70" s="1" t="s">
        <v>246</v>
      </c>
      <c r="S70" t="s">
        <v>247</v>
      </c>
      <c r="T70" t="s">
        <v>253</v>
      </c>
      <c r="U70" t="s">
        <v>254</v>
      </c>
      <c r="V70" t="s">
        <v>255</v>
      </c>
      <c r="W70" t="s">
        <v>256</v>
      </c>
      <c r="X70" t="s">
        <v>257</v>
      </c>
      <c r="Y70" t="s">
        <v>258</v>
      </c>
      <c r="Z70" t="s">
        <v>259</v>
      </c>
      <c r="AB70" t="s">
        <v>252</v>
      </c>
      <c r="AC70" t="s">
        <v>258</v>
      </c>
      <c r="AD70" t="s">
        <v>255</v>
      </c>
      <c r="AE70" t="s">
        <v>259</v>
      </c>
    </row>
    <row r="71">
      <c r="Q71" s="1">
        <v>0.90000000000000002</v>
      </c>
      <c r="R71" s="1">
        <f>IF($Q$65&gt;$Q71,1,0)</f>
        <v>0</v>
      </c>
      <c r="S71">
        <f>$R$65</f>
        <v>1</v>
      </c>
      <c r="T71">
        <f t="shared" si="85"/>
        <v>0</v>
      </c>
      <c r="U71">
        <f t="shared" si="86"/>
        <v>1</v>
      </c>
      <c r="V71">
        <f>SUM(T71:T74)/(SUM(T71:T74)+SUM(U71:U74))</f>
        <v>0.5</v>
      </c>
      <c r="W71">
        <f t="shared" si="87"/>
        <v>0</v>
      </c>
      <c r="X71">
        <f t="shared" si="88"/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0.90000000000000002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>
      <c r="R72" s="1">
        <f>IF($Q$66&gt;$Q71,1,0)</f>
        <v>0</v>
      </c>
      <c r="S72">
        <f>$R$66</f>
        <v>0</v>
      </c>
      <c r="T72">
        <f t="shared" si="85"/>
        <v>0</v>
      </c>
      <c r="U72">
        <f t="shared" si="86"/>
        <v>0</v>
      </c>
      <c r="W72">
        <f t="shared" si="87"/>
        <v>0</v>
      </c>
      <c r="X72">
        <f t="shared" si="88"/>
        <v>1</v>
      </c>
      <c r="AB72">
        <f/>
        <v>0.75</v>
      </c>
      <c r="AC72">
        <f/>
        <v>0</v>
      </c>
      <c r="AD72">
        <f/>
        <v>0.5</v>
      </c>
      <c r="AE72">
        <f/>
        <v>1</v>
      </c>
    </row>
    <row r="73">
      <c r="R73" s="1">
        <f>IF($Q$67&gt;$Q71,1,0)</f>
        <v>1</v>
      </c>
      <c r="S73">
        <f>$R$67</f>
        <v>1</v>
      </c>
      <c r="T73">
        <f t="shared" si="85"/>
        <v>1</v>
      </c>
      <c r="U73">
        <f t="shared" si="86"/>
        <v>0</v>
      </c>
      <c r="W73">
        <f t="shared" si="87"/>
        <v>0</v>
      </c>
      <c r="X73">
        <f t="shared" si="88"/>
        <v>0</v>
      </c>
      <c r="AB73">
        <f/>
        <v>0.5</v>
      </c>
      <c r="AC73">
        <f/>
        <v>0</v>
      </c>
      <c r="AD73">
        <f/>
        <v>1</v>
      </c>
      <c r="AE73">
        <f/>
        <v>1</v>
      </c>
    </row>
    <row r="74">
      <c r="R74" s="1">
        <f>IF($Q$68&gt;$Q71,1,0)</f>
        <v>0</v>
      </c>
      <c r="S74">
        <f>$R$68</f>
        <v>0</v>
      </c>
      <c r="T74">
        <f t="shared" si="85"/>
        <v>0</v>
      </c>
      <c r="U74">
        <f t="shared" si="86"/>
        <v>0</v>
      </c>
      <c r="W74">
        <f t="shared" si="87"/>
        <v>0</v>
      </c>
      <c r="X74">
        <f t="shared" si="88"/>
        <v>1</v>
      </c>
      <c r="AB74">
        <f/>
        <v>0.25</v>
      </c>
      <c r="AC74">
        <f/>
        <v>0</v>
      </c>
      <c r="AD74">
        <f/>
        <v>1</v>
      </c>
      <c r="AE74">
        <f/>
        <v>1</v>
      </c>
    </row>
    <row r="75">
      <c r="Q75" s="1">
        <v>0.75</v>
      </c>
      <c r="R75" s="1">
        <f>IF($Q$65&gt;$Q75,1,0)</f>
        <v>0</v>
      </c>
      <c r="S75">
        <f>$R$65</f>
        <v>1</v>
      </c>
      <c r="T75">
        <f t="shared" ref="T75:T90" si="102">IF(AND(R75=1,S75=1),1,0)</f>
        <v>0</v>
      </c>
      <c r="U75">
        <f t="shared" ref="U75:U90" si="103">IF(AND(R75=0,S75=1),1,0)</f>
        <v>1</v>
      </c>
      <c r="V75">
        <f>SUM(T75:T78)/(SUM(T75:T78)+SUM(U75:U78))</f>
        <v>0.5</v>
      </c>
      <c r="W75">
        <f t="shared" ref="W75:W90" si="104">IF(AND(R75=1,S75=0),1,0)</f>
        <v>0</v>
      </c>
      <c r="X75">
        <f t="shared" ref="X75:X90" si="105">IF(AND(R75=0,S75=0),1,0)</f>
        <v>0</v>
      </c>
      <c r="Y75">
        <f>SUM(W75:W78)/(SUM(W75:W78)+SUM(X75:X78))</f>
        <v>0</v>
      </c>
      <c r="Z75">
        <f>SUM(T75:T78)/(SUM(T75:T78)+SUM(W75:W78))</f>
        <v>1</v>
      </c>
      <c r="AB75">
        <f/>
        <v>0</v>
      </c>
      <c r="AC75">
        <f/>
        <v>1</v>
      </c>
      <c r="AD75">
        <f/>
        <v>1</v>
      </c>
      <c r="AE75">
        <f/>
        <v>0.5</v>
      </c>
    </row>
    <row r="76">
      <c r="R76" s="1">
        <f>IF($Q$66&gt;$Q75,1,0)</f>
        <v>0</v>
      </c>
      <c r="S76">
        <f>$R$66</f>
        <v>0</v>
      </c>
      <c r="T76">
        <f t="shared" si="102"/>
        <v>0</v>
      </c>
      <c r="U76">
        <f t="shared" si="103"/>
        <v>0</v>
      </c>
      <c r="W76">
        <f t="shared" si="104"/>
        <v>0</v>
      </c>
      <c r="X76">
        <f t="shared" si="105"/>
        <v>1</v>
      </c>
    </row>
    <row r="77">
      <c r="R77" s="1">
        <f>IF($Q$67&gt;$Q75,1,0)</f>
        <v>1</v>
      </c>
      <c r="S77">
        <f>$R$67</f>
        <v>1</v>
      </c>
      <c r="T77">
        <f t="shared" si="102"/>
        <v>1</v>
      </c>
      <c r="U77">
        <f t="shared" si="103"/>
        <v>0</v>
      </c>
      <c r="W77">
        <f t="shared" si="104"/>
        <v>0</v>
      </c>
      <c r="X77">
        <f t="shared" si="105"/>
        <v>0</v>
      </c>
      <c r="AB77" t="s">
        <v>261</v>
      </c>
      <c r="AC77" t="s">
        <v>262</v>
      </c>
      <c r="AD77" t="s">
        <v>263</v>
      </c>
      <c r="AE77" t="s">
        <v>264</v>
      </c>
    </row>
    <row r="78">
      <c r="R78" s="1">
        <f>IF($Q$68&gt;$Q75,1,0)</f>
        <v>0</v>
      </c>
      <c r="S78">
        <f>$R$68</f>
        <v>0</v>
      </c>
      <c r="T78">
        <f t="shared" si="102"/>
        <v>0</v>
      </c>
      <c r="U78">
        <f t="shared" si="103"/>
        <v>0</v>
      </c>
      <c r="W78">
        <f t="shared" si="104"/>
        <v>0</v>
      </c>
      <c r="X78">
        <f t="shared" si="105"/>
        <v>1</v>
      </c>
      <c r="AB78" s="2" t="s">
        <v>265</v>
      </c>
      <c r="AC78">
        <f t="shared" ref="AC78:AC81" si="106">ABS(AC72-AC71)</f>
        <v>0</v>
      </c>
      <c r="AD78">
        <f t="shared" ref="AD78:AD81" si="107">(AD71+AD72)/2</f>
        <v>0.5</v>
      </c>
      <c r="AE78">
        <f t="shared" ref="AE78:AE81" si="108">AC78*AD78</f>
        <v>0</v>
      </c>
    </row>
    <row r="79">
      <c r="Q79" s="1">
        <v>0.5</v>
      </c>
      <c r="R79" s="1">
        <f>IF($Q$65&gt;$Q79,1,0)</f>
        <v>1</v>
      </c>
      <c r="S79">
        <f>$R$65</f>
        <v>1</v>
      </c>
      <c r="T79">
        <f t="shared" si="102"/>
        <v>1</v>
      </c>
      <c r="U79">
        <f t="shared" si="103"/>
        <v>0</v>
      </c>
      <c r="V79">
        <f>SUM(T79:T82)/(SUM(T79:T82)+SUM(U79:U82))</f>
        <v>1</v>
      </c>
      <c r="W79">
        <f t="shared" si="104"/>
        <v>0</v>
      </c>
      <c r="X79">
        <f t="shared" si="105"/>
        <v>0</v>
      </c>
      <c r="Y79">
        <f>SUM(W79:W82)/(SUM(W79:W82)+SUM(X79:X82))</f>
        <v>0</v>
      </c>
      <c r="Z79">
        <f>SUM(T79:T82)/(SUM(T79:T82)+SUM(W79:W82))</f>
        <v>1</v>
      </c>
      <c r="AC79">
        <f t="shared" si="106"/>
        <v>0</v>
      </c>
      <c r="AD79">
        <f t="shared" si="107"/>
        <v>0.75</v>
      </c>
      <c r="AE79">
        <f t="shared" si="108"/>
        <v>0</v>
      </c>
    </row>
    <row r="80">
      <c r="R80" s="1">
        <f>IF($Q$66&gt;$Q79,1,0)</f>
        <v>0</v>
      </c>
      <c r="S80">
        <f>$R$66</f>
        <v>0</v>
      </c>
      <c r="T80">
        <f t="shared" si="102"/>
        <v>0</v>
      </c>
      <c r="U80">
        <f t="shared" si="103"/>
        <v>0</v>
      </c>
      <c r="W80">
        <f t="shared" si="104"/>
        <v>0</v>
      </c>
      <c r="X80">
        <f t="shared" si="105"/>
        <v>1</v>
      </c>
      <c r="AC80">
        <f t="shared" si="106"/>
        <v>0</v>
      </c>
      <c r="AD80">
        <f t="shared" si="107"/>
        <v>1</v>
      </c>
      <c r="AE80">
        <f t="shared" si="108"/>
        <v>0</v>
      </c>
    </row>
    <row r="81">
      <c r="R81" s="1">
        <f>IF($Q$67&gt;$Q79,1,0)</f>
        <v>1</v>
      </c>
      <c r="S81">
        <f>$R$67</f>
        <v>1</v>
      </c>
      <c r="T81">
        <f t="shared" si="102"/>
        <v>1</v>
      </c>
      <c r="U81">
        <f t="shared" si="103"/>
        <v>0</v>
      </c>
      <c r="W81">
        <f t="shared" si="104"/>
        <v>0</v>
      </c>
      <c r="X81">
        <f t="shared" si="105"/>
        <v>0</v>
      </c>
      <c r="AC81">
        <f t="shared" si="106"/>
        <v>1</v>
      </c>
      <c r="AD81">
        <f t="shared" si="107"/>
        <v>1</v>
      </c>
      <c r="AE81">
        <f t="shared" si="108"/>
        <v>1</v>
      </c>
    </row>
    <row r="82">
      <c r="R82" s="1">
        <f>IF($Q$68&gt;$Q79,1,0)</f>
        <v>0</v>
      </c>
      <c r="S82">
        <f>$R$68</f>
        <v>0</v>
      </c>
      <c r="T82">
        <f t="shared" si="102"/>
        <v>0</v>
      </c>
      <c r="U82">
        <f t="shared" si="103"/>
        <v>0</v>
      </c>
      <c r="W82">
        <f t="shared" si="104"/>
        <v>0</v>
      </c>
      <c r="X82">
        <f t="shared" si="105"/>
        <v>1</v>
      </c>
      <c r="AD82" s="78" t="s">
        <v>269</v>
      </c>
      <c r="AE82" s="79">
        <f>SUM(AE78:AE81)</f>
        <v>1</v>
      </c>
    </row>
    <row r="83">
      <c r="Q83" s="1">
        <v>0.25</v>
      </c>
      <c r="R83" s="1">
        <f>IF($Q$65&gt;$Q83,1,0)</f>
        <v>1</v>
      </c>
      <c r="S83">
        <f>$R$65</f>
        <v>1</v>
      </c>
      <c r="T83">
        <f t="shared" si="102"/>
        <v>1</v>
      </c>
      <c r="U83">
        <f t="shared" si="103"/>
        <v>0</v>
      </c>
      <c r="V83">
        <f>SUM(T83:T86)/(SUM(T83:T86)+SUM(U83:U86))</f>
        <v>1</v>
      </c>
      <c r="W83">
        <f t="shared" si="104"/>
        <v>0</v>
      </c>
      <c r="X83">
        <f t="shared" si="105"/>
        <v>0</v>
      </c>
      <c r="Y83">
        <f>SUM(W83:W86)/(SUM(W83:W86)+SUM(X83:X86))</f>
        <v>0</v>
      </c>
      <c r="Z83">
        <f>SUM(T83:T86)/(SUM(T83:T86)+SUM(W83:W86))</f>
        <v>1</v>
      </c>
    </row>
    <row r="84">
      <c r="R84" s="1">
        <f>IF($Q$66&gt;$Q83,1,0)</f>
        <v>0</v>
      </c>
      <c r="S84">
        <f>$R$66</f>
        <v>0</v>
      </c>
      <c r="T84">
        <f t="shared" si="102"/>
        <v>0</v>
      </c>
      <c r="U84">
        <f t="shared" si="103"/>
        <v>0</v>
      </c>
      <c r="W84">
        <f t="shared" si="104"/>
        <v>0</v>
      </c>
      <c r="X84">
        <f t="shared" si="105"/>
        <v>1</v>
      </c>
      <c r="AB84" t="s">
        <v>261</v>
      </c>
      <c r="AC84" t="s">
        <v>262</v>
      </c>
      <c r="AD84" t="s">
        <v>263</v>
      </c>
      <c r="AE84" t="s">
        <v>264</v>
      </c>
    </row>
    <row r="85">
      <c r="R85" s="1">
        <f>IF($Q$67&gt;$Q83,1,0)</f>
        <v>1</v>
      </c>
      <c r="S85">
        <f>$R$67</f>
        <v>1</v>
      </c>
      <c r="T85">
        <f t="shared" si="102"/>
        <v>1</v>
      </c>
      <c r="U85">
        <f t="shared" si="103"/>
        <v>0</v>
      </c>
      <c r="W85">
        <f t="shared" si="104"/>
        <v>0</v>
      </c>
      <c r="X85">
        <f t="shared" si="105"/>
        <v>0</v>
      </c>
      <c r="AB85" s="2" t="s">
        <v>270</v>
      </c>
      <c r="AC85">
        <f t="shared" ref="AC85:AC88" si="109">ABS(AD72-AD71)</f>
        <v>0</v>
      </c>
      <c r="AD85">
        <f t="shared" ref="AD85:AD88" si="110">(AE71+AE72)/2</f>
        <v>1</v>
      </c>
      <c r="AE85">
        <f t="shared" ref="AE85:AE88" si="111">AC85*AD85</f>
        <v>0</v>
      </c>
    </row>
    <row r="86">
      <c r="R86" s="1">
        <f>IF($Q$68&gt;$Q83,1,0)</f>
        <v>0</v>
      </c>
      <c r="S86">
        <f>$R$68</f>
        <v>0</v>
      </c>
      <c r="T86">
        <f t="shared" si="102"/>
        <v>0</v>
      </c>
      <c r="U86">
        <f t="shared" si="103"/>
        <v>0</v>
      </c>
      <c r="W86">
        <f t="shared" si="104"/>
        <v>0</v>
      </c>
      <c r="X86">
        <f t="shared" si="105"/>
        <v>1</v>
      </c>
      <c r="AC86">
        <f t="shared" si="109"/>
        <v>0.5</v>
      </c>
      <c r="AD86">
        <f t="shared" si="110"/>
        <v>1</v>
      </c>
      <c r="AE86">
        <f t="shared" si="111"/>
        <v>0.5</v>
      </c>
    </row>
    <row r="87">
      <c r="Q87" s="1">
        <v>0</v>
      </c>
      <c r="R87" s="1">
        <f>IF($Q$65&gt;$Q87,1,0)</f>
        <v>1</v>
      </c>
      <c r="S87">
        <f>$R$65</f>
        <v>1</v>
      </c>
      <c r="T87">
        <f t="shared" si="102"/>
        <v>1</v>
      </c>
      <c r="U87">
        <f t="shared" si="103"/>
        <v>0</v>
      </c>
      <c r="V87">
        <f>SUM(T87:T90)/(SUM(T87:T90)+SUM(U87:U90))</f>
        <v>1</v>
      </c>
      <c r="W87">
        <f t="shared" si="104"/>
        <v>0</v>
      </c>
      <c r="X87">
        <f t="shared" si="105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109"/>
        <v>0</v>
      </c>
      <c r="AD87">
        <f t="shared" si="110"/>
        <v>1</v>
      </c>
      <c r="AE87">
        <f t="shared" si="111"/>
        <v>0</v>
      </c>
    </row>
    <row r="88">
      <c r="R88" s="1">
        <f>IF($Q$66&gt;$Q87,1,0)</f>
        <v>1</v>
      </c>
      <c r="S88">
        <f>$R$66</f>
        <v>0</v>
      </c>
      <c r="T88">
        <f t="shared" si="102"/>
        <v>0</v>
      </c>
      <c r="U88">
        <f t="shared" si="103"/>
        <v>0</v>
      </c>
      <c r="W88">
        <f t="shared" si="104"/>
        <v>1</v>
      </c>
      <c r="X88">
        <f t="shared" si="105"/>
        <v>0</v>
      </c>
      <c r="AC88">
        <f t="shared" si="109"/>
        <v>0</v>
      </c>
      <c r="AD88">
        <f t="shared" si="110"/>
        <v>0.75</v>
      </c>
      <c r="AE88">
        <f t="shared" si="111"/>
        <v>0</v>
      </c>
    </row>
    <row r="89">
      <c r="R89" s="1">
        <f>IF($Q$67&gt;$Q87,1,0)</f>
        <v>1</v>
      </c>
      <c r="S89">
        <f>$R$67</f>
        <v>1</v>
      </c>
      <c r="T89">
        <f t="shared" si="102"/>
        <v>1</v>
      </c>
      <c r="U89">
        <f t="shared" si="103"/>
        <v>0</v>
      </c>
      <c r="W89">
        <f t="shared" si="104"/>
        <v>0</v>
      </c>
      <c r="X89">
        <f t="shared" si="105"/>
        <v>0</v>
      </c>
      <c r="AD89" s="78" t="s">
        <v>272</v>
      </c>
      <c r="AE89" s="79">
        <f>SUM(AE85:AE88)</f>
        <v>0.5</v>
      </c>
    </row>
    <row r="90">
      <c r="R90" s="1">
        <f>IF($Q$68&gt;$Q87,1,0)</f>
        <v>1</v>
      </c>
      <c r="S90">
        <f>$R$68</f>
        <v>0</v>
      </c>
      <c r="T90">
        <f t="shared" si="102"/>
        <v>0</v>
      </c>
      <c r="U90">
        <f t="shared" si="103"/>
        <v>0</v>
      </c>
      <c r="W90">
        <f t="shared" si="104"/>
        <v>1</v>
      </c>
      <c r="X90">
        <f t="shared" si="105"/>
        <v>0</v>
      </c>
      <c r="AB90" t="s">
        <v>273</v>
      </c>
    </row>
    <row r="92">
      <c r="AB92" t="s">
        <v>274</v>
      </c>
    </row>
    <row r="93" ht="21">
      <c r="AB93" s="80" t="s">
        <v>275</v>
      </c>
      <c r="AC93" s="81"/>
    </row>
    <row r="94" ht="21">
      <c r="AB94" s="82" t="s">
        <v>272</v>
      </c>
      <c r="AC94" s="83">
        <f>AVERAGE(AE29,AE59,AE89)</f>
        <v>0.54166666666666663</v>
      </c>
    </row>
    <row r="95" ht="21">
      <c r="AB95" s="84" t="s">
        <v>269</v>
      </c>
      <c r="AC95" s="85">
        <f>AVERAGE(AE22,AE52,AE82)</f>
        <v>0.94444444444444431</v>
      </c>
    </row>
  </sheetData>
  <mergeCells count="6">
    <mergeCell ref="B14:B16"/>
    <mergeCell ref="K22:K25"/>
    <mergeCell ref="M21:N21"/>
    <mergeCell ref="T2:Z3"/>
    <mergeCell ref="B10:B12"/>
    <mergeCell ref="B6:B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4294967293" copies="1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I13" activeCellId="0" sqref="I13"/>
    </sheetView>
  </sheetViews>
  <sheetFormatPr defaultRowHeight="15"/>
  <sheetData>
    <row r="2" ht="21">
      <c r="B2" s="86" t="s">
        <v>276</v>
      </c>
      <c r="C2" s="86"/>
      <c r="D2" s="86"/>
    </row>
    <row r="3" ht="21">
      <c r="C3" s="86" t="s">
        <v>277</v>
      </c>
      <c r="D3" s="86"/>
      <c r="E3" s="86"/>
    </row>
    <row r="4" ht="21">
      <c r="C4" s="86" t="s">
        <v>278</v>
      </c>
      <c r="D4" s="86"/>
      <c r="E4" s="87" t="s">
        <v>279</v>
      </c>
    </row>
    <row r="5" ht="21">
      <c r="C5" s="86" t="s">
        <v>280</v>
      </c>
      <c r="D5" s="86"/>
      <c r="E5" s="87" t="s">
        <v>281</v>
      </c>
    </row>
    <row r="6" ht="21">
      <c r="C6" s="86" t="s">
        <v>282</v>
      </c>
      <c r="D6" s="86"/>
      <c r="E6" s="87" t="s">
        <v>281</v>
      </c>
    </row>
    <row r="7" ht="21">
      <c r="C7" s="86" t="s">
        <v>283</v>
      </c>
      <c r="D7" s="86"/>
      <c r="E7" s="87" t="s">
        <v>281</v>
      </c>
    </row>
    <row r="8" ht="21">
      <c r="C8" s="86" t="s">
        <v>284</v>
      </c>
      <c r="D8" s="86"/>
      <c r="E8" s="87" t="s">
        <v>285</v>
      </c>
    </row>
    <row r="9" ht="21">
      <c r="C9" s="86"/>
      <c r="D9" s="86"/>
      <c r="E9" s="86"/>
    </row>
    <row r="10" ht="21">
      <c r="C10" s="86"/>
      <c r="D10" s="86"/>
      <c r="E10" s="86"/>
    </row>
    <row r="11" ht="21">
      <c r="B11" s="86" t="s">
        <v>286</v>
      </c>
      <c r="D11" s="86"/>
      <c r="E11" s="86"/>
    </row>
    <row r="12" ht="21">
      <c r="C12" s="86" t="s">
        <v>287</v>
      </c>
      <c r="D12" s="86"/>
      <c r="E12" s="86"/>
    </row>
    <row r="13" ht="21">
      <c r="C13" s="86" t="s">
        <v>86</v>
      </c>
      <c r="D13" s="86"/>
      <c r="E13" s="86"/>
    </row>
    <row r="14" ht="21">
      <c r="C14" s="86" t="s">
        <v>288</v>
      </c>
      <c r="D14" s="86"/>
      <c r="E14" s="8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V10" activeCellId="0" sqref="V10"/>
    </sheetView>
  </sheetViews>
  <sheetFormatPr defaultRowHeight="15"/>
  <cols>
    <col customWidth="1" min="2" max="4" width="3.5703125"/>
    <col customWidth="1" min="5" max="5" width="3.42578125"/>
    <col customWidth="1" min="6" max="11" width="3.5703125"/>
    <col customWidth="1" min="12" max="12" width="10.42578125"/>
    <col customWidth="1" min="13" max="44" width="3.5703125"/>
  </cols>
  <sheetData>
    <row r="2">
      <c r="C2" s="88"/>
      <c r="D2" s="88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f/>
        <v>2</v>
      </c>
      <c r="W2">
        <f/>
        <v>1</v>
      </c>
    </row>
    <row r="3">
      <c r="C3" s="89"/>
      <c r="D3" s="89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f/>
        <v>6</v>
      </c>
      <c r="V3">
        <f/>
        <v>5</v>
      </c>
      <c r="W3">
        <f/>
        <v>4</v>
      </c>
    </row>
    <row r="4">
      <c r="C4" s="89"/>
      <c r="D4" s="89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f/>
        <v>9</v>
      </c>
      <c r="V4">
        <f/>
        <v>8</v>
      </c>
      <c r="W4">
        <f/>
        <v>7</v>
      </c>
    </row>
    <row r="5">
      <c r="C5" s="89"/>
      <c r="D5" s="89"/>
    </row>
    <row r="6">
      <c r="C6" s="89"/>
      <c r="D6" s="89"/>
      <c r="U6" cm="1">
        <f t="array" ref="U6:W8">MMULT(Q2:S4,_xlfn.ANCHORARRAY(U2))</f>
        <v>9</v>
      </c>
      <c r="V6">
        <f/>
        <v>8</v>
      </c>
      <c r="W6">
        <f/>
        <v>7</v>
      </c>
    </row>
    <row r="7">
      <c r="C7" s="89"/>
      <c r="D7" s="89"/>
      <c r="U7">
        <f/>
        <v>6</v>
      </c>
      <c r="V7">
        <f/>
        <v>5</v>
      </c>
      <c r="W7">
        <f/>
        <v>4</v>
      </c>
    </row>
    <row r="8">
      <c r="C8" s="89"/>
      <c r="D8" s="89"/>
      <c r="U8">
        <f/>
        <v>3</v>
      </c>
      <c r="V8">
        <f/>
        <v>2</v>
      </c>
      <c r="W8">
        <f/>
        <v>1</v>
      </c>
    </row>
    <row r="9">
      <c r="C9" s="88"/>
      <c r="D9" s="88"/>
    </row>
    <row r="10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f/>
        <v>1</v>
      </c>
    </row>
    <row r="11">
      <c r="M11">
        <v>3</v>
      </c>
      <c r="N11">
        <v>4</v>
      </c>
      <c r="P11">
        <v>1</v>
      </c>
      <c r="Q11">
        <v>0</v>
      </c>
      <c r="U11">
        <f/>
        <v>4</v>
      </c>
      <c r="V11">
        <f/>
        <v>3</v>
      </c>
    </row>
    <row r="12">
      <c r="M12">
        <v>5</v>
      </c>
      <c r="N12">
        <v>6</v>
      </c>
      <c r="U12">
        <f/>
        <v>6</v>
      </c>
      <c r="V12">
        <f/>
        <v>5</v>
      </c>
    </row>
    <row r="14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f/>
        <v>5</v>
      </c>
    </row>
    <row r="15">
      <c r="P15">
        <v>0</v>
      </c>
      <c r="Q15">
        <v>1</v>
      </c>
      <c r="R15">
        <v>0</v>
      </c>
      <c r="U15">
        <f/>
        <v>4</v>
      </c>
      <c r="V15">
        <f/>
        <v>3</v>
      </c>
    </row>
    <row r="16">
      <c r="P16">
        <v>1</v>
      </c>
      <c r="Q16">
        <v>0</v>
      </c>
      <c r="R16">
        <v>0</v>
      </c>
      <c r="U16">
        <f/>
        <v>2</v>
      </c>
      <c r="V16">
        <f/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J17" activeCellId="0" sqref="J17"/>
    </sheetView>
  </sheetViews>
  <sheetFormatPr defaultRowHeight="15"/>
  <cols>
    <col customWidth="1" min="1" max="1" width="1.42578125"/>
    <col customWidth="1" min="2" max="2" width="4.5703125"/>
    <col customWidth="1" min="3" max="6" width="12"/>
    <col customWidth="1" min="7" max="7" width="1.42578125"/>
    <col customWidth="1" min="8" max="13" width="12"/>
    <col customWidth="1" min="14" max="14" width="1.42578125"/>
    <col customWidth="1" min="15" max="26" width="5.7109375"/>
  </cols>
  <sheetData>
    <row r="2">
      <c r="C2" t="s">
        <v>289</v>
      </c>
      <c r="H2" t="s">
        <v>290</v>
      </c>
      <c r="O2" s="3" t="s">
        <v>291</v>
      </c>
      <c r="P2" s="3"/>
      <c r="Q2" s="3" t="s">
        <v>292</v>
      </c>
      <c r="R2" s="3"/>
      <c r="S2" s="3" t="s">
        <v>293</v>
      </c>
      <c r="T2" s="3"/>
      <c r="U2" s="3" t="s">
        <v>294</v>
      </c>
      <c r="V2" s="3"/>
      <c r="W2" s="3" t="s">
        <v>295</v>
      </c>
      <c r="X2" s="3"/>
      <c r="Y2" s="3" t="s">
        <v>296</v>
      </c>
      <c r="Z2" s="3"/>
    </row>
    <row r="3">
      <c r="B3" t="s">
        <v>297</v>
      </c>
      <c r="C3" s="90">
        <v>0.366586962811078</v>
      </c>
      <c r="D3" s="90">
        <v>0.80304603850244616</v>
      </c>
      <c r="H3" cm="1">
        <f t="array" ref="H3:M4">TRANSPOSE(C3:D8)</f>
        <v>0.366586962811078</v>
      </c>
      <c r="I3">
        <f/>
        <v>0.056083031283100215</v>
      </c>
      <c r="J3">
        <f/>
        <v>0.51948390312079595</v>
      </c>
      <c r="K3">
        <f/>
        <v>0.52495868577855997</v>
      </c>
      <c r="L3">
        <f/>
        <v>0.82312108528876915</v>
      </c>
      <c r="M3">
        <f/>
        <v>0.060204999742272558</v>
      </c>
      <c r="O3" s="90">
        <v>0.9193892510480719</v>
      </c>
      <c r="P3" s="90">
        <v>0.35748573371324766</v>
      </c>
      <c r="Q3" s="90">
        <v>0.56229584590520698</v>
      </c>
      <c r="R3" s="90">
        <v>0.71917672159872481</v>
      </c>
      <c r="S3" s="90">
        <v>0.67047030139337271</v>
      </c>
      <c r="T3" s="90">
        <v>0.51061699565780228</v>
      </c>
      <c r="U3" s="90">
        <v>0.1369282817771893</v>
      </c>
      <c r="V3" s="90">
        <v>0.95281412552356037</v>
      </c>
      <c r="W3" s="90">
        <v>0.95806754633264402</v>
      </c>
      <c r="X3" s="90">
        <v>0.9444773670198392</v>
      </c>
      <c r="Y3" s="90">
        <v>0.93497474057032748</v>
      </c>
      <c r="Z3" s="90">
        <v>0.51061699565780228</v>
      </c>
    </row>
    <row r="4">
      <c r="B4" t="s">
        <v>298</v>
      </c>
      <c r="C4" s="90">
        <v>0.056083031283100215</v>
      </c>
      <c r="D4" s="90">
        <v>0.098064151279440459</v>
      </c>
      <c r="H4">
        <f/>
        <v>0.80304603850244616</v>
      </c>
      <c r="I4">
        <f/>
        <v>0.098064151279440459</v>
      </c>
      <c r="J4">
        <f/>
        <v>0.50222489468694942</v>
      </c>
      <c r="K4">
        <f/>
        <v>0.62184138330161254</v>
      </c>
      <c r="L4">
        <f/>
        <v>0.68277585756872528</v>
      </c>
      <c r="M4">
        <f/>
        <v>0.62560616185457552</v>
      </c>
      <c r="O4" s="90">
        <v>0.11995844971184622</v>
      </c>
      <c r="P4" s="90">
        <v>0.92864036856060472</v>
      </c>
      <c r="Q4" s="90">
        <v>0.45116650357532539</v>
      </c>
      <c r="R4" s="90">
        <v>0.39489552225739799</v>
      </c>
      <c r="S4" s="90">
        <v>0.3895510568948094</v>
      </c>
      <c r="T4" s="90">
        <v>0.30089049095355536</v>
      </c>
      <c r="U4" s="90">
        <v>0.82196785755225854</v>
      </c>
      <c r="V4" s="90">
        <v>0.75416976908126088</v>
      </c>
      <c r="W4" s="90">
        <v>0.4731629249757161</v>
      </c>
      <c r="X4" s="90">
        <v>0.6984653276826972</v>
      </c>
      <c r="Y4" s="90">
        <v>0.69447529933220309</v>
      </c>
      <c r="Z4" s="90">
        <v>0.30089049095355536</v>
      </c>
    </row>
    <row r="5">
      <c r="B5" t="s">
        <v>299</v>
      </c>
      <c r="C5" s="90">
        <v>0.51948390312079595</v>
      </c>
      <c r="D5" s="90">
        <v>0.50222489468694942</v>
      </c>
      <c r="H5" t="str" cm="1">
        <f t="array" ref="H5:M5">TRANSPOSE(B3:B8)</f>
        <v>X_1</v>
      </c>
      <c r="I5" t="str">
        <f/>
        <v>X_2</v>
      </c>
      <c r="J5" t="str">
        <f/>
        <v>X_3</v>
      </c>
      <c r="K5" t="str">
        <f/>
        <v>X_4</v>
      </c>
      <c r="L5" t="str">
        <f/>
        <v>X_5</v>
      </c>
      <c r="M5" t="str">
        <f/>
        <v>X_6</v>
      </c>
    </row>
    <row r="6">
      <c r="B6" t="s">
        <v>300</v>
      </c>
      <c r="C6" s="90">
        <v>0.52495868577855997</v>
      </c>
      <c r="D6" s="90">
        <v>0.62184138330161254</v>
      </c>
      <c r="O6" s="3" t="s">
        <v>301</v>
      </c>
      <c r="P6" s="3"/>
      <c r="S6" s="3" t="s">
        <v>302</v>
      </c>
      <c r="T6" s="3"/>
    </row>
    <row r="7">
      <c r="B7" t="s">
        <v>303</v>
      </c>
      <c r="C7" s="90">
        <v>0.82312108528876915</v>
      </c>
      <c r="D7" s="90">
        <v>0.68277585756872528</v>
      </c>
      <c r="O7" s="90">
        <v>0.86561985032089839</v>
      </c>
      <c r="P7" s="90">
        <v>0.32985384728514733</v>
      </c>
      <c r="R7" t="s">
        <v>304</v>
      </c>
      <c r="S7" cm="1">
        <f t="array" ref="S7:T8">TRANSPOSE(O7:P8)</f>
        <v>0.86561985032089839</v>
      </c>
      <c r="T7" s="90">
        <f/>
        <v>0.60288218050147402</v>
      </c>
    </row>
    <row r="8">
      <c r="B8" t="s">
        <v>305</v>
      </c>
      <c r="C8" s="90">
        <v>0.060204999742272558</v>
      </c>
      <c r="D8" s="90">
        <v>0.62560616185457552</v>
      </c>
      <c r="O8" s="90">
        <v>0.60288218050147402</v>
      </c>
      <c r="P8" s="90">
        <v>0.03353831251399042</v>
      </c>
      <c r="R8" t="s">
        <v>306</v>
      </c>
      <c r="S8" s="90">
        <f/>
        <v>0.32985384728514733</v>
      </c>
      <c r="T8">
        <f/>
        <v>0.03353831251399042</v>
      </c>
    </row>
    <row r="9">
      <c r="O9" t="s">
        <v>307</v>
      </c>
      <c r="P9" t="s">
        <v>308</v>
      </c>
    </row>
    <row r="10">
      <c r="C10" t="s">
        <v>309</v>
      </c>
      <c r="H10" t="s">
        <v>310</v>
      </c>
    </row>
    <row r="11">
      <c r="C11" t="s">
        <v>311</v>
      </c>
      <c r="D11" t="s">
        <v>312</v>
      </c>
    </row>
    <row r="12">
      <c r="C12" t="s">
        <v>313</v>
      </c>
      <c r="D12" t="s">
        <v>314</v>
      </c>
      <c r="E12" t="s">
        <v>239</v>
      </c>
    </row>
    <row r="13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 t="shared" ref="E13:E19" si="112">SUM(C13:D13)</f>
        <v>1.317076111847346</v>
      </c>
    </row>
    <row r="14">
      <c r="C14">
        <f/>
        <v>0.7897161729094363</v>
      </c>
      <c r="D14">
        <f/>
        <v>1.1661872086749792</v>
      </c>
      <c r="E14">
        <f t="shared" si="112"/>
        <v>1.9559033815844153</v>
      </c>
    </row>
    <row r="16">
      <c r="C16" t="s">
        <v>315</v>
      </c>
    </row>
    <row r="17">
      <c r="C17" t="s">
        <v>316</v>
      </c>
      <c r="D17" t="s">
        <v>317</v>
      </c>
      <c r="E17" t="s">
        <v>239</v>
      </c>
    </row>
    <row r="18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 t="shared" si="112"/>
        <v>2.1823932041316936</v>
      </c>
    </row>
    <row r="19">
      <c r="C19">
        <f/>
        <v>0.48251104303892989</v>
      </c>
      <c r="D19">
        <f/>
        <v>0.8306715200528989</v>
      </c>
      <c r="E19">
        <f t="shared" si="112"/>
        <v>1.3131825630918288</v>
      </c>
    </row>
    <row r="21">
      <c r="C21" t="s">
        <v>318</v>
      </c>
    </row>
    <row r="22">
      <c r="C22" t="s">
        <v>319</v>
      </c>
      <c r="D22" t="s">
        <v>320</v>
      </c>
      <c r="E22" t="s">
        <v>321</v>
      </c>
      <c r="F22" t="s">
        <v>239</v>
      </c>
    </row>
    <row r="23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 t="shared" ref="F23:F24" si="113">SUM(C23,E23)</f>
        <v>2.3238963753317696</v>
      </c>
    </row>
    <row r="24">
      <c r="C24">
        <f/>
        <v>0.38443325559022234</v>
      </c>
      <c r="D24">
        <f>$E14*$O$8</f>
        <v>1.1791792955398188</v>
      </c>
      <c r="E24">
        <f/>
        <v>1.1465662552529743</v>
      </c>
      <c r="F24">
        <f t="shared" si="113"/>
        <v>1.5309995108431966</v>
      </c>
    </row>
    <row r="25">
      <c r="D25" t="s">
        <v>322</v>
      </c>
    </row>
    <row r="27">
      <c r="C27" t="s">
        <v>323</v>
      </c>
    </row>
    <row r="28">
      <c r="C28" t="s">
        <v>324</v>
      </c>
      <c r="D28" t="s">
        <v>325</v>
      </c>
      <c r="E28" t="s">
        <v>326</v>
      </c>
      <c r="F28" t="s">
        <v>239</v>
      </c>
    </row>
    <row r="29">
      <c r="C29" cm="1">
        <f t="array" ref="C29:C30">1-$E18:$E19</f>
        <v>-1.1823932041316936</v>
      </c>
      <c r="D29">
        <f t="shared" ref="D29:D30" si="114">$C29*$F23</f>
        <v>-2.7477592812985598</v>
      </c>
      <c r="E29">
        <f t="shared" ref="E29:E30" si="115">$E18*$O7</f>
        <v>1.8891228787018224</v>
      </c>
      <c r="F29">
        <f t="shared" ref="F29:F30" si="116">SUM(D29:E29)</f>
        <v>-0.85863640259673746</v>
      </c>
    </row>
    <row r="30">
      <c r="C30">
        <f/>
        <v>-0.31318256309182879</v>
      </c>
      <c r="D30">
        <f t="shared" si="114"/>
        <v>-0.47948235089820845</v>
      </c>
      <c r="E30">
        <f t="shared" si="115"/>
        <v>0.79169436703331619</v>
      </c>
      <c r="F30">
        <f t="shared" si="116"/>
        <v>0.31221201613510774</v>
      </c>
    </row>
    <row r="31">
      <c r="D31" t="s">
        <v>322</v>
      </c>
      <c r="E31" t="s">
        <v>322</v>
      </c>
      <c r="F31" t="s">
        <v>307</v>
      </c>
    </row>
    <row r="34">
      <c r="C34" t="s">
        <v>311</v>
      </c>
      <c r="D34" t="s">
        <v>327</v>
      </c>
    </row>
    <row r="35">
      <c r="C35" t="s">
        <v>313</v>
      </c>
      <c r="D35" t="s">
        <v>314</v>
      </c>
      <c r="E35" t="s">
        <v>239</v>
      </c>
    </row>
    <row r="36">
      <c r="C36" cm="1">
        <f t="array" ref="C36:C37">MMULT(O$3:P$4,H$3:H$4)</f>
        <v>0.62411361546242827</v>
      </c>
      <c r="D36" cm="1">
        <f t="array" ref="D36:D37">MMULT($U$3:$V$4,$P$7:$P$8)</f>
        <v>0.077122098455904287</v>
      </c>
      <c r="E36">
        <f t="shared" ref="E36:E42" si="117">SUM(C36:D36)</f>
        <v>0.7012357139183325</v>
      </c>
    </row>
    <row r="37">
      <c r="C37">
        <f/>
        <v>0.7897161729094363</v>
      </c>
      <c r="D37">
        <f/>
        <v>0.29642284156239374</v>
      </c>
      <c r="E37">
        <f t="shared" si="117"/>
        <v>1.0861390144718301</v>
      </c>
    </row>
    <row r="39">
      <c r="C39" t="s">
        <v>315</v>
      </c>
    </row>
    <row r="40">
      <c r="C40" t="s">
        <v>316</v>
      </c>
      <c r="D40" t="s">
        <v>317</v>
      </c>
      <c r="E40" t="s">
        <v>239</v>
      </c>
    </row>
    <row r="41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 t="shared" si="117"/>
        <v>1.1313607868290743</v>
      </c>
    </row>
    <row r="42">
      <c r="C42">
        <f/>
        <v>0.48251104303892989</v>
      </c>
      <c r="D42">
        <f/>
        <v>0.17949995963594251</v>
      </c>
      <c r="E42">
        <f t="shared" si="117"/>
        <v>0.66201100267487245</v>
      </c>
    </row>
    <row r="44">
      <c r="C44" t="s">
        <v>318</v>
      </c>
    </row>
    <row r="45">
      <c r="C45" t="s">
        <v>319</v>
      </c>
      <c r="D45" t="s">
        <v>320</v>
      </c>
      <c r="E45" t="s">
        <v>321</v>
      </c>
      <c r="F45" t="s">
        <v>239</v>
      </c>
    </row>
    <row r="46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 t="shared" ref="F46:F47" si="118">SUM(C46,E46)</f>
        <v>0.89069962108654921</v>
      </c>
    </row>
    <row r="47">
      <c r="C47">
        <f/>
        <v>0.38443325559022234</v>
      </c>
      <c r="D47">
        <f>$E37*$P$8</f>
        <v>0.036427269700993803</v>
      </c>
      <c r="E47">
        <f/>
        <v>0.17159643519240467</v>
      </c>
      <c r="F47">
        <f t="shared" si="118"/>
        <v>0.55602969078262698</v>
      </c>
    </row>
    <row r="48">
      <c r="D48" t="s">
        <v>322</v>
      </c>
    </row>
    <row r="50">
      <c r="C50" t="s">
        <v>323</v>
      </c>
    </row>
    <row r="51">
      <c r="C51" t="s">
        <v>324</v>
      </c>
      <c r="D51" t="s">
        <v>325</v>
      </c>
      <c r="E51" t="s">
        <v>326</v>
      </c>
      <c r="F51" t="s">
        <v>239</v>
      </c>
    </row>
    <row r="52">
      <c r="C52" cm="1">
        <f t="array" ref="C52:C53">1-$E41:$E42</f>
        <v>-0.13136078682907426</v>
      </c>
      <c r="D52">
        <f t="shared" ref="D52:D53" si="119">$C52*$F46</f>
        <v>-0.1170030030542874</v>
      </c>
      <c r="E52">
        <f>$E41*$P$7</f>
        <v>0.37318370820312158</v>
      </c>
      <c r="F52">
        <f t="shared" ref="F52:F53" si="120">SUM(D52:E52)</f>
        <v>0.25618070514883418</v>
      </c>
    </row>
    <row r="53">
      <c r="C53">
        <f/>
        <v>0.33798899732512755</v>
      </c>
      <c r="D53">
        <f t="shared" si="119"/>
        <v>0.18793191767062081</v>
      </c>
      <c r="E53">
        <f>$E42*$P$8</f>
        <v>0.02220273189541002</v>
      </c>
      <c r="F53">
        <f t="shared" si="120"/>
        <v>0.21013464956603084</v>
      </c>
    </row>
    <row r="54">
      <c r="D54" t="s">
        <v>322</v>
      </c>
      <c r="E54" t="s">
        <v>322</v>
      </c>
      <c r="F54" t="s">
        <v>308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C6" activeCellId="0" sqref="C6"/>
    </sheetView>
  </sheetViews>
  <sheetFormatPr defaultRowHeight="15"/>
  <cols>
    <col customWidth="1" min="1" max="1" width="3"/>
    <col customWidth="1" min="3" max="26" width="8"/>
  </cols>
  <sheetData>
    <row r="2">
      <c r="B2" t="s">
        <v>277</v>
      </c>
      <c r="C2">
        <f ca="1">RAND()</f>
        <v>0.94409512527178574</v>
      </c>
      <c r="D2">
        <f t="shared" ref="D2:Z2" ca="1" si="121">RAND()</f>
        <v>0.10932048801478755</v>
      </c>
      <c r="E2">
        <f t="shared" ca="1" si="121"/>
        <v>0.10556482583777704</v>
      </c>
      <c r="F2">
        <f t="shared" ca="1" si="121"/>
        <v>0.19798293073316509</v>
      </c>
      <c r="G2">
        <f t="shared" ca="1" si="121"/>
        <v>0.077738431427797794</v>
      </c>
      <c r="H2">
        <f t="shared" ca="1" si="121"/>
        <v>0.061551234933026722</v>
      </c>
      <c r="I2">
        <f t="shared" ca="1" si="121"/>
        <v>0.99335287623973989</v>
      </c>
      <c r="J2">
        <f t="shared" ca="1" si="121"/>
        <v>0.12686763050363048</v>
      </c>
      <c r="K2">
        <f t="shared" ca="1" si="121"/>
        <v>0.12715518415535976</v>
      </c>
      <c r="L2">
        <f t="shared" ca="1" si="121"/>
        <v>0.30620650135975813</v>
      </c>
      <c r="M2">
        <f t="shared" ca="1" si="121"/>
        <v>0.16136232373819248</v>
      </c>
      <c r="N2">
        <f t="shared" ca="1" si="121"/>
        <v>0.84917732994491457</v>
      </c>
      <c r="O2">
        <f t="shared" ca="1" si="121"/>
        <v>0.6871382444016334</v>
      </c>
      <c r="P2">
        <f t="shared" ca="1" si="121"/>
        <v>0.89438540604475869</v>
      </c>
      <c r="Q2">
        <f t="shared" ca="1" si="121"/>
        <v>0.58256743766331143</v>
      </c>
      <c r="R2">
        <f t="shared" ca="1" si="121"/>
        <v>0.50911771669214323</v>
      </c>
      <c r="S2">
        <f t="shared" ca="1" si="121"/>
        <v>0.43062966749698139</v>
      </c>
      <c r="T2">
        <f t="shared" ca="1" si="121"/>
        <v>0.59556227369198078</v>
      </c>
      <c r="U2">
        <f t="shared" ca="1" si="121"/>
        <v>0.38483078256698056</v>
      </c>
      <c r="V2">
        <f t="shared" ca="1" si="121"/>
        <v>0.025815842864413296</v>
      </c>
      <c r="W2">
        <f t="shared" ca="1" si="121"/>
        <v>0.53082679397613997</v>
      </c>
      <c r="X2">
        <f t="shared" ca="1" si="121"/>
        <v>0.92114966115269992</v>
      </c>
      <c r="Y2">
        <f t="shared" ca="1" si="121"/>
        <v>0.39742279496842858</v>
      </c>
      <c r="Z2">
        <f t="shared" ca="1" si="121"/>
        <v>0.93079094595646805</v>
      </c>
    </row>
    <row r="3">
      <c r="B3" t="s">
        <v>328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28" activeCellId="0" sqref="M28"/>
    </sheetView>
  </sheetViews>
  <sheetFormatPr defaultRowHeight="15"/>
  <sheetData>
    <row r="2">
      <c r="B2" t="s">
        <v>171</v>
      </c>
      <c r="C2">
        <f>COUNT(C3:BU4)</f>
        <v>20</v>
      </c>
    </row>
    <row r="3">
      <c r="B3" t="s">
        <v>329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>
      <c r="B4" t="s">
        <v>330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>
      <c r="C6" t="s">
        <v>192</v>
      </c>
    </row>
    <row r="7">
      <c r="B7" t="s">
        <v>331</v>
      </c>
      <c r="C7" t="s">
        <v>332</v>
      </c>
      <c r="D7" t="s">
        <v>333</v>
      </c>
      <c r="E7" t="s">
        <v>332</v>
      </c>
      <c r="F7" t="s">
        <v>333</v>
      </c>
      <c r="G7" t="s">
        <v>334</v>
      </c>
    </row>
    <row r="8">
      <c r="B8">
        <v>0</v>
      </c>
      <c r="C8">
        <f t="shared" ref="C8:C23" si="122">SIN($B8/POWER(10000,(2*$C$3/$C$2)))</f>
        <v>0</v>
      </c>
      <c r="D8">
        <f t="shared" ref="D8:D23" si="123">COS($B8/POWER(10000,(2*$C$4/$C$2)))</f>
        <v>1</v>
      </c>
      <c r="E8">
        <f t="shared" ref="E8:E23" si="124">SIN($B8/POWER(10000,(2*$D$3/$C$2)))</f>
        <v>0</v>
      </c>
      <c r="F8">
        <f t="shared" ref="F8:F23" si="125">COS($B8/POWER(10000,(2*$D$4/$C$2)))</f>
        <v>1</v>
      </c>
      <c r="G8">
        <f t="shared" ref="G8:G23" si="126">SIN($B8/POWER(10000,(2*$E$3/$C$2)))</f>
        <v>0</v>
      </c>
      <c r="H8">
        <f t="shared" ref="H8:H23" si="127">COS($B8/POWER(10000,(2*$E$4/$C$2)))</f>
        <v>1</v>
      </c>
      <c r="I8">
        <f t="shared" ref="I8:I23" si="128">SIN($B8/POWER(10000,(2*$F$3/$C$2)))</f>
        <v>0</v>
      </c>
      <c r="J8">
        <f t="shared" ref="J8:J23" si="129">COS($B8/POWER(10000,(2*$F$4/$C$2)))</f>
        <v>1</v>
      </c>
    </row>
    <row r="9">
      <c r="B9">
        <v>1</v>
      </c>
      <c r="C9">
        <f t="shared" si="122"/>
        <v>0.8414709848078965</v>
      </c>
      <c r="D9">
        <f t="shared" si="123"/>
        <v>0.54030230586813977</v>
      </c>
      <c r="E9">
        <f t="shared" si="124"/>
        <v>0.38767423437377119</v>
      </c>
      <c r="F9">
        <f t="shared" si="125"/>
        <v>0.92179644607836841</v>
      </c>
      <c r="G9">
        <f t="shared" si="126"/>
        <v>0.15782664013030581</v>
      </c>
      <c r="H9">
        <f t="shared" si="127"/>
        <v>0.98746683572927096</v>
      </c>
      <c r="I9">
        <f t="shared" si="128"/>
        <v>0.063053878006704311</v>
      </c>
      <c r="J9">
        <f t="shared" si="129"/>
        <v>0.99801012443176929</v>
      </c>
    </row>
    <row r="10">
      <c r="B10">
        <v>2</v>
      </c>
      <c r="C10">
        <f t="shared" si="122"/>
        <v>0.90929742682568171</v>
      </c>
      <c r="D10">
        <f t="shared" si="123"/>
        <v>-0.41614683654714241</v>
      </c>
      <c r="E10">
        <f t="shared" si="124"/>
        <v>0.71471346296378946</v>
      </c>
      <c r="F10">
        <f t="shared" si="125"/>
        <v>0.69941737600542064</v>
      </c>
      <c r="G10">
        <f t="shared" si="126"/>
        <v>0.31169714584651093</v>
      </c>
      <c r="H10">
        <f t="shared" si="127"/>
        <v>0.95018150333035789</v>
      </c>
      <c r="I10">
        <f t="shared" si="128"/>
        <v>0.12585681727075312</v>
      </c>
      <c r="J10">
        <f t="shared" si="129"/>
        <v>0.99204841693663126</v>
      </c>
    </row>
    <row r="11">
      <c r="B11">
        <v>3</v>
      </c>
      <c r="C11">
        <f t="shared" si="122"/>
        <v>0.14112000805986721</v>
      </c>
      <c r="D11">
        <f t="shared" si="123"/>
        <v>-0.98999249660044542</v>
      </c>
      <c r="E11">
        <f t="shared" si="124"/>
        <v>0.92996642587499811</v>
      </c>
      <c r="F11">
        <f t="shared" si="125"/>
        <v>0.36764445697614095</v>
      </c>
      <c r="G11">
        <f t="shared" si="126"/>
        <v>0.45775454849949254</v>
      </c>
      <c r="H11">
        <f t="shared" si="127"/>
        <v>0.88907860919494952</v>
      </c>
      <c r="I11">
        <f t="shared" si="128"/>
        <v>0.18815887772323728</v>
      </c>
      <c r="J11">
        <f t="shared" si="129"/>
        <v>0.98213860362676497</v>
      </c>
    </row>
    <row r="12">
      <c r="B12">
        <v>4</v>
      </c>
      <c r="C12">
        <f t="shared" si="122"/>
        <v>-0.7568024953079282</v>
      </c>
      <c r="D12">
        <f t="shared" si="123"/>
        <v>-0.65364362086361194</v>
      </c>
      <c r="E12">
        <f t="shared" si="124"/>
        <v>0.99976602972376205</v>
      </c>
      <c r="F12">
        <f t="shared" si="125"/>
        <v>-0.021630668283384134</v>
      </c>
      <c r="G12">
        <f t="shared" si="126"/>
        <v>0.59233772524843908</v>
      </c>
      <c r="H12">
        <f t="shared" si="127"/>
        <v>0.80568977854227775</v>
      </c>
      <c r="I12">
        <f t="shared" si="128"/>
        <v>0.24971211266826704</v>
      </c>
      <c r="J12">
        <f t="shared" si="129"/>
        <v>0.96832012309295257</v>
      </c>
    </row>
    <row r="13">
      <c r="B13">
        <v>5</v>
      </c>
      <c r="C13">
        <f t="shared" si="122"/>
        <v>-0.95892427466313845</v>
      </c>
      <c r="D13">
        <f t="shared" si="123"/>
        <v>0.28366218546322625</v>
      </c>
      <c r="E13">
        <f t="shared" si="124"/>
        <v>0.91319512034349037</v>
      </c>
      <c r="F13">
        <f t="shared" si="125"/>
        <v>-0.40752260327598788</v>
      </c>
      <c r="G13">
        <f t="shared" si="126"/>
        <v>0.71207316996880821</v>
      </c>
      <c r="H13">
        <f t="shared" si="127"/>
        <v>0.70210526319817079</v>
      </c>
      <c r="I13">
        <f t="shared" si="128"/>
        <v>0.31027155554911712</v>
      </c>
      <c r="J13">
        <f t="shared" si="129"/>
        <v>0.95064796944880237</v>
      </c>
    </row>
    <row r="14">
      <c r="B14">
        <v>6</v>
      </c>
      <c r="C14">
        <f t="shared" si="122"/>
        <v>-0.27941549819892586</v>
      </c>
      <c r="D14">
        <f t="shared" si="123"/>
        <v>0.96017028665036597</v>
      </c>
      <c r="E14">
        <f t="shared" si="124"/>
        <v>0.68379400329371265</v>
      </c>
      <c r="F14">
        <f t="shared" si="125"/>
        <v>-0.7296751065094369</v>
      </c>
      <c r="G14">
        <f t="shared" si="126"/>
        <v>0.81395955466518177</v>
      </c>
      <c r="H14">
        <f t="shared" si="127"/>
        <v>0.58092154665605145</v>
      </c>
      <c r="I14">
        <f t="shared" si="128"/>
        <v>0.36959619485415895</v>
      </c>
      <c r="J14">
        <f t="shared" si="129"/>
        <v>0.92919247346786371</v>
      </c>
    </row>
    <row r="15">
      <c r="B15">
        <v>7</v>
      </c>
      <c r="C15">
        <f t="shared" si="122"/>
        <v>0.65698659871878906</v>
      </c>
      <c r="D15">
        <f t="shared" si="123"/>
        <v>0.7539022543433046</v>
      </c>
      <c r="E15">
        <f t="shared" si="124"/>
        <v>0.34744264382819867</v>
      </c>
      <c r="F15">
        <f t="shared" si="125"/>
        <v>-0.9377012366685199</v>
      </c>
      <c r="G15">
        <f t="shared" si="126"/>
        <v>0.89544296174485882</v>
      </c>
      <c r="H15">
        <f t="shared" si="127"/>
        <v>0.44517625976863956</v>
      </c>
      <c r="I15">
        <f t="shared" si="128"/>
        <v>0.42744993328269815</v>
      </c>
      <c r="J15">
        <f t="shared" si="129"/>
        <v>0.90403902268464986</v>
      </c>
    </row>
    <row r="16">
      <c r="B16">
        <v>8</v>
      </c>
      <c r="C16">
        <f t="shared" si="122"/>
        <v>0.98935824662338179</v>
      </c>
      <c r="D16">
        <f t="shared" si="123"/>
        <v>-0.14550003380861354</v>
      </c>
      <c r="E16">
        <f t="shared" si="124"/>
        <v>-0.043251214699901321</v>
      </c>
      <c r="F16">
        <f t="shared" si="125"/>
        <v>-0.99906422837922837</v>
      </c>
      <c r="G16">
        <f t="shared" si="126"/>
        <v>0.95448090135530306</v>
      </c>
      <c r="H16">
        <f t="shared" si="127"/>
        <v>0.29827203849500927</v>
      </c>
      <c r="I16">
        <f t="shared" si="128"/>
        <v>0.48360252735347514</v>
      </c>
      <c r="J16">
        <f t="shared" si="129"/>
        <v>0.87528772157350143</v>
      </c>
    </row>
    <row r="17">
      <c r="B17">
        <v>9</v>
      </c>
      <c r="C17">
        <f t="shared" si="122"/>
        <v>0.41211848524175659</v>
      </c>
      <c r="D17">
        <f t="shared" si="123"/>
        <v>-0.91113026188467694</v>
      </c>
      <c r="E17">
        <f t="shared" si="124"/>
        <v>-0.42718027582608131</v>
      </c>
      <c r="F17">
        <f t="shared" si="125"/>
        <v>-0.90416647357948032</v>
      </c>
      <c r="G17">
        <f t="shared" si="126"/>
        <v>0.989593509105828</v>
      </c>
      <c r="H17">
        <f t="shared" si="127"/>
        <v>0.14389123230973289</v>
      </c>
      <c r="I17">
        <f t="shared" si="128"/>
        <v>0.5378305037164216</v>
      </c>
      <c r="J17">
        <f t="shared" si="129"/>
        <v>0.84305299315769011</v>
      </c>
    </row>
    <row r="18">
      <c r="B18">
        <v>10</v>
      </c>
      <c r="C18">
        <f t="shared" si="122"/>
        <v>-0.54402111088936977</v>
      </c>
      <c r="D18">
        <f t="shared" si="123"/>
        <v>-0.83907152907645244</v>
      </c>
      <c r="E18">
        <f t="shared" si="124"/>
        <v>-0.74429530548261646</v>
      </c>
      <c r="F18">
        <f t="shared" si="125"/>
        <v>-0.66785065563832358</v>
      </c>
      <c r="G18">
        <f t="shared" si="126"/>
        <v>0.99990064083461183</v>
      </c>
      <c r="H18">
        <f t="shared" si="127"/>
        <v>-0.014096398778854562</v>
      </c>
      <c r="I18">
        <f t="shared" si="128"/>
        <v>0.58991804852097895</v>
      </c>
      <c r="J18">
        <f t="shared" si="129"/>
        <v>0.80746312363426231</v>
      </c>
    </row>
    <row r="19">
      <c r="B19">
        <v>11</v>
      </c>
      <c r="C19">
        <f t="shared" si="122"/>
        <v>-0.99999020655070348</v>
      </c>
      <c r="D19">
        <f t="shared" si="123"/>
        <v>0.0044256979880507854</v>
      </c>
      <c r="E19">
        <f t="shared" si="124"/>
        <v>-0.94499725902729759</v>
      </c>
      <c r="F19">
        <f t="shared" si="125"/>
        <v>-0.32707824817754949</v>
      </c>
      <c r="G19">
        <f t="shared" si="126"/>
        <v>0.9851439345914208</v>
      </c>
      <c r="H19">
        <f t="shared" si="127"/>
        <v>-0.17173068490440005</v>
      </c>
      <c r="I19">
        <f t="shared" si="128"/>
        <v>0.639657866301516</v>
      </c>
      <c r="J19">
        <f t="shared" si="129"/>
        <v>0.76865975182690027</v>
      </c>
    </row>
    <row r="20">
      <c r="B20">
        <v>12</v>
      </c>
      <c r="C20">
        <f t="shared" si="122"/>
        <v>-0.53657291800043494</v>
      </c>
      <c r="D20">
        <f t="shared" si="123"/>
        <v>0.84385395873249214</v>
      </c>
      <c r="E20">
        <f t="shared" si="124"/>
        <v>-0.9978949243677081</v>
      </c>
      <c r="F20">
        <f t="shared" si="125"/>
        <v>0.064851522119116128</v>
      </c>
      <c r="G20">
        <f t="shared" si="126"/>
        <v>0.94569328682313658</v>
      </c>
      <c r="H20">
        <f t="shared" si="127"/>
        <v>-0.32506031326148199</v>
      </c>
      <c r="I20">
        <f t="shared" si="128"/>
        <v>0.68685200496169296</v>
      </c>
      <c r="J20">
        <f t="shared" si="129"/>
        <v>0.72679730549865307</v>
      </c>
    </row>
    <row r="21">
      <c r="B21">
        <v>13</v>
      </c>
      <c r="C21">
        <f t="shared" si="122"/>
        <v>0.42016703682664092</v>
      </c>
      <c r="D21">
        <f t="shared" si="123"/>
        <v>0.90744678145019619</v>
      </c>
      <c r="E21">
        <f t="shared" si="124"/>
        <v>-0.89471473065629348</v>
      </c>
      <c r="F21">
        <f t="shared" si="125"/>
        <v>0.44663805340189738</v>
      </c>
      <c r="G21">
        <f t="shared" si="126"/>
        <v>0.88253758042789199</v>
      </c>
      <c r="H21">
        <f t="shared" si="127"/>
        <v>-0.47024187301056253</v>
      </c>
      <c r="I21">
        <f t="shared" si="128"/>
        <v>0.73131264357454284</v>
      </c>
      <c r="J21">
        <f t="shared" si="129"/>
        <v>0.68204238676787066</v>
      </c>
    </row>
    <row r="22">
      <c r="B22">
        <v>14</v>
      </c>
      <c r="C22">
        <f t="shared" si="122"/>
        <v>0.99060735569487035</v>
      </c>
      <c r="D22">
        <f t="shared" si="123"/>
        <v>0.13673721820783361</v>
      </c>
      <c r="E22">
        <f t="shared" si="124"/>
        <v>-0.65159479357816397</v>
      </c>
      <c r="F22">
        <f t="shared" si="125"/>
        <v>0.75856721849934294</v>
      </c>
      <c r="G22">
        <f t="shared" si="126"/>
        <v>0.7972598970914585</v>
      </c>
      <c r="H22">
        <f t="shared" si="127"/>
        <v>-0.60363619547680947</v>
      </c>
      <c r="I22">
        <f t="shared" si="128"/>
        <v>0.7728628398630184</v>
      </c>
      <c r="J22">
        <f t="shared" si="129"/>
        <v>0.63457310907323383</v>
      </c>
    </row>
    <row r="23">
      <c r="B23">
        <v>15</v>
      </c>
      <c r="C23">
        <f t="shared" si="122"/>
        <v>0.65028784015711683</v>
      </c>
      <c r="D23">
        <f t="shared" si="123"/>
        <v>-0.75968791285882131</v>
      </c>
      <c r="E23">
        <f t="shared" si="124"/>
        <v>-0.30656079935074565</v>
      </c>
      <c r="F23">
        <f t="shared" si="125"/>
        <v>0.9518510788465977</v>
      </c>
      <c r="G23">
        <f t="shared" si="126"/>
        <v>0.69199783524160141</v>
      </c>
      <c r="H23">
        <f t="shared" si="127"/>
        <v>-0.72189957474771893</v>
      </c>
      <c r="I23">
        <f t="shared" si="128"/>
        <v>0.81133723438622041</v>
      </c>
      <c r="J23">
        <f t="shared" si="129"/>
        <v>0.58457838832659503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" zoomScale="100" workbookViewId="0">
      <selection activeCell="M53" activeCellId="0" sqref="M53"/>
    </sheetView>
  </sheetViews>
  <sheetFormatPr defaultRowHeight="15"/>
  <cols>
    <col customWidth="1" min="3" max="6" width="12.5703125"/>
    <col customWidth="1" min="9" max="9" width="14.140625"/>
    <col customWidth="1" min="10" max="10" width="12.140625"/>
    <col customWidth="1" min="13" max="13" width="15"/>
    <col customWidth="1" min="20" max="20" width="9.7109375"/>
    <col customWidth="1" min="22" max="22" width="13.5703125"/>
  </cols>
  <sheetData>
    <row r="2" ht="26.25">
      <c r="B2" s="7"/>
      <c r="C2" s="8" t="s">
        <v>35</v>
      </c>
      <c r="D2" s="9"/>
      <c r="I2" s="6" t="s">
        <v>19</v>
      </c>
      <c r="M2" s="6" t="s">
        <v>19</v>
      </c>
      <c r="U2" s="6" t="s">
        <v>37</v>
      </c>
      <c r="AA2" s="6" t="s">
        <v>37</v>
      </c>
    </row>
    <row r="3" ht="26.25">
      <c r="B3" s="11"/>
      <c r="C3">
        <v>1</v>
      </c>
      <c r="D3" s="12">
        <v>2</v>
      </c>
      <c r="I3" s="6" t="s">
        <v>20</v>
      </c>
      <c r="M3" s="6" t="s">
        <v>38</v>
      </c>
      <c r="U3" s="6" t="s">
        <v>38</v>
      </c>
      <c r="AA3" s="6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>
      <c r="B4" s="11">
        <v>1</v>
      </c>
      <c r="C4" s="19" cm="1">
        <f t="array" ref="C4:D9">FRONTEND!M49:N54</f>
        <v>4.0296676785617889</v>
      </c>
      <c r="D4" s="16">
        <f/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>
      <c r="B5" s="11">
        <v>2</v>
      </c>
      <c r="C5" s="19">
        <f/>
        <v>3.1757752467270279</v>
      </c>
      <c r="D5" s="16">
        <f/>
        <v>0.83446165212430812</v>
      </c>
      <c r="H5" s="7"/>
      <c r="I5" s="18" t="s">
        <v>22</v>
      </c>
      <c r="J5" s="9"/>
      <c r="M5" t="s">
        <v>3</v>
      </c>
      <c r="O5" s="7"/>
      <c r="P5" s="18" t="s">
        <v>40</v>
      </c>
      <c r="Q5" s="8"/>
      <c r="R5" s="9"/>
      <c r="T5" s="7"/>
      <c r="U5" s="8" t="s">
        <v>41</v>
      </c>
      <c r="V5" s="9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>
      <c r="B6" s="11">
        <v>3</v>
      </c>
      <c r="C6" s="19">
        <f/>
        <v>3.3789276309323317</v>
      </c>
      <c r="D6" s="16">
        <f/>
        <v>1.8393159934697598</v>
      </c>
      <c r="H6" s="11"/>
      <c r="I6">
        <v>1</v>
      </c>
      <c r="J6" s="12">
        <v>2</v>
      </c>
      <c r="M6">
        <v>1</v>
      </c>
      <c r="O6" s="11"/>
      <c r="P6">
        <v>1</v>
      </c>
      <c r="Q6">
        <v>2</v>
      </c>
      <c r="R6" s="12">
        <v>3</v>
      </c>
      <c r="T6" s="11"/>
      <c r="U6">
        <v>1</v>
      </c>
      <c r="V6" s="12"/>
      <c r="AA6">
        <v>1</v>
      </c>
      <c r="AB6">
        <v>2</v>
      </c>
      <c r="AI6">
        <v>0</v>
      </c>
      <c r="AJ6">
        <v>0</v>
      </c>
      <c r="AK6">
        <v>0</v>
      </c>
      <c r="AL6" s="7">
        <f t="shared" ref="AL6:AM11" si="130">C4</f>
        <v>4.0296676785617889</v>
      </c>
      <c r="AM6" s="9">
        <f t="shared" si="130"/>
        <v>1.426184227044502</v>
      </c>
      <c r="AN6">
        <v>0</v>
      </c>
      <c r="AO6">
        <v>0</v>
      </c>
      <c r="AP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H7" s="11">
        <v>1</v>
      </c>
      <c r="I7">
        <v>-0.20399999999999999</v>
      </c>
      <c r="J7" s="12">
        <v>-0.73999999999999999</v>
      </c>
      <c r="L7">
        <v>1</v>
      </c>
      <c r="M7" s="19">
        <f t="shared" ref="M7:M18" si="131">I55</f>
        <v>3.7265025686892908</v>
      </c>
      <c r="O7" s="11">
        <v>1</v>
      </c>
      <c r="P7">
        <v>-0.13400000000000001</v>
      </c>
      <c r="Q7">
        <v>-0.67100000000000004</v>
      </c>
      <c r="R7" s="12">
        <v>-0.77800000000000002</v>
      </c>
      <c r="T7" s="11">
        <v>1</v>
      </c>
      <c r="U7" s="1">
        <f>-1/3*((2/(1+DATA!$I$16))*N34/M28-((2*DATA!$I$16)/(1+DATA!$I$16))*(1-N34)*(1-M28))</f>
        <v>-4.0688556389097528</v>
      </c>
      <c r="V7" s="12"/>
      <c r="Z7">
        <v>1</v>
      </c>
      <c r="AA7" s="19">
        <f t="shared" ref="AA7:AA12" si="132">U75*IF(U75&gt;0,1,0)</f>
        <v>0.25854997551608538</v>
      </c>
      <c r="AB7" s="23">
        <f t="shared" ref="AB7:AB12" si="133">V75*IF(V75&gt;0,1,0)</f>
        <v>0.024897186374374027</v>
      </c>
      <c r="AI7">
        <v>0</v>
      </c>
      <c r="AJ7">
        <v>0</v>
      </c>
      <c r="AK7">
        <v>0</v>
      </c>
      <c r="AL7" s="11">
        <f t="shared" si="130"/>
        <v>3.1757752467270279</v>
      </c>
      <c r="AM7" s="12">
        <f t="shared" si="130"/>
        <v>0.83446165212430812</v>
      </c>
      <c r="AN7">
        <v>0</v>
      </c>
      <c r="AO7">
        <v>0</v>
      </c>
      <c r="AP7">
        <v>0</v>
      </c>
    </row>
    <row r="8">
      <c r="B8" s="11">
        <v>5</v>
      </c>
      <c r="C8" s="19">
        <f/>
        <v>4.5198656803290973</v>
      </c>
      <c r="D8" s="16">
        <f/>
        <v>0.53701995183003415</v>
      </c>
      <c r="H8" s="11">
        <v>2</v>
      </c>
      <c r="I8">
        <v>0.80500000000000005</v>
      </c>
      <c r="J8" s="12">
        <v>-0.97699999999999998</v>
      </c>
      <c r="L8">
        <v>2</v>
      </c>
      <c r="M8" s="19">
        <f t="shared" si="131"/>
        <v>2.3298871002733854</v>
      </c>
      <c r="O8" s="11">
        <v>2</v>
      </c>
      <c r="P8">
        <v>-0.94499999999999995</v>
      </c>
      <c r="Q8">
        <v>-0.040000000000000001</v>
      </c>
      <c r="R8" s="12">
        <v>0.99099999999999999</v>
      </c>
      <c r="T8" s="11">
        <v>2</v>
      </c>
      <c r="U8" s="1">
        <f>-1/3*((2/(1+DATA!$I$16))*N35/M29-((2*DATA!$I$16)/(1+DATA!$I$16))*(1-N35)*(1-M29))</f>
        <v>0.065508775992354662</v>
      </c>
      <c r="V8" s="12"/>
      <c r="Z8">
        <v>2</v>
      </c>
      <c r="AA8" s="19">
        <f t="shared" si="132"/>
        <v>0</v>
      </c>
      <c r="AB8" s="23">
        <f t="shared" si="133"/>
        <v>0.18325925690277059</v>
      </c>
      <c r="AI8">
        <v>0</v>
      </c>
      <c r="AJ8">
        <v>0</v>
      </c>
      <c r="AK8">
        <v>0</v>
      </c>
      <c r="AL8" s="11">
        <f t="shared" si="130"/>
        <v>3.3789276309323317</v>
      </c>
      <c r="AM8" s="12">
        <f t="shared" si="130"/>
        <v>1.8393159934697598</v>
      </c>
      <c r="AN8">
        <v>0</v>
      </c>
      <c r="AO8">
        <v>0</v>
      </c>
      <c r="AP8">
        <v>0</v>
      </c>
    </row>
    <row r="9">
      <c r="B9" s="13">
        <v>6</v>
      </c>
      <c r="C9" s="20">
        <f/>
        <v>3.0540707238032767</v>
      </c>
      <c r="D9" s="17">
        <f/>
        <v>1.2588938475691771</v>
      </c>
      <c r="H9" s="13">
        <v>3</v>
      </c>
      <c r="I9" s="15">
        <v>0.51600000000000001</v>
      </c>
      <c r="J9" s="14">
        <v>-0.91400000000000003</v>
      </c>
      <c r="L9">
        <v>3</v>
      </c>
      <c r="M9" s="19">
        <f t="shared" si="131"/>
        <v>2.5194060901838085</v>
      </c>
      <c r="O9" s="11">
        <v>3</v>
      </c>
      <c r="P9">
        <v>-0.62</v>
      </c>
      <c r="Q9">
        <v>0.312</v>
      </c>
      <c r="R9" s="12">
        <v>-0.121</v>
      </c>
      <c r="T9" s="13">
        <v>3</v>
      </c>
      <c r="U9" s="24">
        <f>-1/3*((2/(1+DATA!$I$16))*N36/M30-((2*DATA!$I$16)/(1+DATA!$I$16))*(1-N36)*(1-M30))</f>
        <v>-0.93466621262048144</v>
      </c>
      <c r="V9" s="14"/>
      <c r="Z9">
        <v>3</v>
      </c>
      <c r="AA9" s="19">
        <f t="shared" si="132"/>
        <v>0</v>
      </c>
      <c r="AB9" s="23">
        <f t="shared" si="133"/>
        <v>0.18675867741169788</v>
      </c>
      <c r="AI9">
        <v>0</v>
      </c>
      <c r="AJ9">
        <v>0</v>
      </c>
      <c r="AK9">
        <v>0</v>
      </c>
      <c r="AL9" s="11">
        <f t="shared" si="130"/>
        <v>1.5094131886761968</v>
      </c>
      <c r="AM9" s="12">
        <f t="shared" si="130"/>
        <v>0.40501335750777256</v>
      </c>
      <c r="AN9">
        <v>0</v>
      </c>
      <c r="AO9">
        <v>0</v>
      </c>
      <c r="AP9">
        <v>0</v>
      </c>
    </row>
    <row r="10">
      <c r="B10" t="s">
        <v>45</v>
      </c>
      <c r="L10">
        <v>4</v>
      </c>
      <c r="M10" s="19">
        <f t="shared" si="131"/>
        <v>1.61039894979859</v>
      </c>
      <c r="O10" s="11">
        <v>4</v>
      </c>
      <c r="P10">
        <v>-0.29099999999999998</v>
      </c>
      <c r="Q10">
        <v>-0.20200000000000001</v>
      </c>
      <c r="R10" s="12">
        <v>0.186</v>
      </c>
      <c r="Z10">
        <v>4</v>
      </c>
      <c r="AA10" s="19">
        <f t="shared" si="132"/>
        <v>0.010964669349876444</v>
      </c>
      <c r="AB10" s="23">
        <f t="shared" si="133"/>
        <v>0</v>
      </c>
      <c r="AI10">
        <v>0</v>
      </c>
      <c r="AJ10">
        <v>0</v>
      </c>
      <c r="AK10">
        <v>0</v>
      </c>
      <c r="AL10" s="11">
        <f t="shared" si="130"/>
        <v>4.5198656803290973</v>
      </c>
      <c r="AM10" s="12">
        <f t="shared" si="130"/>
        <v>0.53701995183003415</v>
      </c>
      <c r="AN10">
        <v>0</v>
      </c>
      <c r="AO10">
        <v>0</v>
      </c>
      <c r="AP10">
        <v>0</v>
      </c>
    </row>
    <row r="11">
      <c r="H11" s="7"/>
      <c r="I11" s="10" t="s">
        <v>23</v>
      </c>
      <c r="L11">
        <v>5</v>
      </c>
      <c r="M11" s="19">
        <f t="shared" si="131"/>
        <v>3.9314647214855474</v>
      </c>
      <c r="O11" s="11">
        <v>5</v>
      </c>
      <c r="P11">
        <v>-0.57699999999999996</v>
      </c>
      <c r="Q11">
        <v>-0.185</v>
      </c>
      <c r="R11" s="12">
        <v>0.17299999999999999</v>
      </c>
      <c r="Z11">
        <v>5</v>
      </c>
      <c r="AA11" s="19">
        <f t="shared" si="132"/>
        <v>0.19633817774343448</v>
      </c>
      <c r="AB11" s="23">
        <f t="shared" si="133"/>
        <v>0</v>
      </c>
      <c r="AI11">
        <v>0</v>
      </c>
      <c r="AJ11">
        <v>0</v>
      </c>
      <c r="AK11">
        <v>0</v>
      </c>
      <c r="AL11" s="13">
        <f t="shared" si="130"/>
        <v>3.0540707238032767</v>
      </c>
      <c r="AM11" s="14">
        <f t="shared" si="130"/>
        <v>1.2588938475691771</v>
      </c>
      <c r="AN11">
        <v>0</v>
      </c>
      <c r="AO11">
        <v>0</v>
      </c>
      <c r="AP11">
        <v>0</v>
      </c>
    </row>
    <row r="12">
      <c r="C12" t="s">
        <v>46</v>
      </c>
      <c r="H12" s="11"/>
      <c r="I12" s="12">
        <v>1</v>
      </c>
      <c r="L12">
        <v>6</v>
      </c>
      <c r="M12" s="19">
        <f t="shared" si="131"/>
        <v>1.9038574771198606</v>
      </c>
      <c r="O12" s="11">
        <v>6</v>
      </c>
      <c r="P12">
        <v>0.57199999999999995</v>
      </c>
      <c r="Q12">
        <v>0.89200000000000002</v>
      </c>
      <c r="R12" s="12">
        <v>0.75700000000000001</v>
      </c>
      <c r="T12" s="7" t="s">
        <v>47</v>
      </c>
      <c r="U12" s="8" t="s">
        <v>48</v>
      </c>
      <c r="V12" s="9"/>
      <c r="Z12">
        <v>6</v>
      </c>
      <c r="AA12" s="19">
        <f t="shared" si="132"/>
        <v>0.040735369253453321</v>
      </c>
      <c r="AB12" s="23">
        <f t="shared" si="133"/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>
      <c r="C13">
        <v>1</v>
      </c>
      <c r="D13">
        <v>2</v>
      </c>
      <c r="E13">
        <v>3</v>
      </c>
      <c r="H13" s="13">
        <v>1</v>
      </c>
      <c r="I13" s="14">
        <v>1</v>
      </c>
      <c r="L13">
        <v>7</v>
      </c>
      <c r="M13" s="23">
        <f t="shared" si="131"/>
        <v>3.1525815419781287</v>
      </c>
      <c r="O13" s="11">
        <v>7</v>
      </c>
      <c r="P13">
        <v>-0.20999999999999999</v>
      </c>
      <c r="Q13">
        <v>-0.86299999999999999</v>
      </c>
      <c r="R13" s="12">
        <v>0.252</v>
      </c>
      <c r="T13" s="11"/>
      <c r="U13">
        <v>1</v>
      </c>
      <c r="V13" s="12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>
      <c r="B14">
        <v>1</v>
      </c>
      <c r="C14">
        <v>0</v>
      </c>
      <c r="D14">
        <v>0</v>
      </c>
      <c r="E14">
        <v>0</v>
      </c>
      <c r="L14">
        <v>8</v>
      </c>
      <c r="M14" s="23">
        <f t="shared" si="131"/>
        <v>1.6280402224266901</v>
      </c>
      <c r="O14" s="11">
        <v>8</v>
      </c>
      <c r="P14">
        <v>0.54900000000000004</v>
      </c>
      <c r="Q14">
        <v>0.185</v>
      </c>
      <c r="R14" s="12">
        <v>-0.50800000000000001</v>
      </c>
      <c r="T14" s="11">
        <v>1</v>
      </c>
      <c r="U14">
        <f>-1/3*((2/(1+DATA!$I$16))*N34*(1-M28)-((2*DATA!$I$16)/(1+DATA!$I$16))*(1-N34)*M28)</f>
        <v>-0.50990086951168645</v>
      </c>
      <c r="V14" s="12"/>
      <c r="Z14" s="7"/>
      <c r="AA14" s="18" t="s">
        <v>22</v>
      </c>
      <c r="AB14" s="9" t="s">
        <v>51</v>
      </c>
      <c r="AD14" s="7"/>
      <c r="AE14" s="10" t="s">
        <v>23</v>
      </c>
      <c r="AF14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>
      <c r="B15">
        <v>2</v>
      </c>
      <c r="C15" s="19">
        <f t="shared" ref="C15:C20" si="134">C4</f>
        <v>4.0296676785617889</v>
      </c>
      <c r="D15" s="23">
        <f t="shared" ref="D15:D20" si="135">D4</f>
        <v>1.426184227044502</v>
      </c>
      <c r="E15">
        <v>0</v>
      </c>
      <c r="I15" t="s">
        <v>25</v>
      </c>
      <c r="J15" t="s">
        <v>53</v>
      </c>
      <c r="L15">
        <v>9</v>
      </c>
      <c r="M15" s="23">
        <f t="shared" si="131"/>
        <v>1.7928731655774461</v>
      </c>
      <c r="O15" s="11">
        <v>9</v>
      </c>
      <c r="P15">
        <v>0.98999999999999999</v>
      </c>
      <c r="Q15">
        <v>-0.94699999999999995</v>
      </c>
      <c r="R15" s="12">
        <v>-0.90500000000000003</v>
      </c>
      <c r="T15" s="11">
        <v>2</v>
      </c>
      <c r="U15">
        <f>-1/3*((2/(1+DATA!$I$16))*N35*(1-M29)-((2*DATA!$I$16)/(1+DATA!$I$16))*(1-N35)*M29)</f>
        <v>0.0034567412490246448</v>
      </c>
      <c r="V15" s="12"/>
      <c r="Z15" s="11"/>
      <c r="AA15">
        <v>1</v>
      </c>
      <c r="AB15" s="12">
        <v>2</v>
      </c>
      <c r="AD15" s="11"/>
      <c r="AE15" s="12">
        <v>1</v>
      </c>
      <c r="AI15" t="s">
        <v>54</v>
      </c>
    </row>
    <row r="16">
      <c r="B16">
        <v>3</v>
      </c>
      <c r="C16" s="19">
        <f t="shared" si="134"/>
        <v>3.1757752467270279</v>
      </c>
      <c r="D16" s="23">
        <f t="shared" si="135"/>
        <v>0.83446165212430812</v>
      </c>
      <c r="E16">
        <v>0</v>
      </c>
      <c r="I16">
        <v>1</v>
      </c>
      <c r="J16">
        <v>2</v>
      </c>
      <c r="L16">
        <v>10</v>
      </c>
      <c r="M16" s="23">
        <f t="shared" si="131"/>
        <v>1.4191582675344068</v>
      </c>
      <c r="O16" s="11">
        <v>10</v>
      </c>
      <c r="P16">
        <v>0.46899999999999997</v>
      </c>
      <c r="Q16">
        <v>0.36499999999999999</v>
      </c>
      <c r="R16" s="12">
        <v>-0.20699999999999999</v>
      </c>
      <c r="T16" s="13">
        <v>3</v>
      </c>
      <c r="U16" s="15">
        <f>-1/3*((2/(1+DATA!$I$16))*N36*(1-M30)-((2*DATA!$I$16)/(1+DATA!$I$16))*(1-N36)*M30)</f>
        <v>-0.21548270694761043</v>
      </c>
      <c r="V16" s="14"/>
      <c r="Z16" s="11">
        <v>1</v>
      </c>
      <c r="AA16" cm="1">
        <f t="array" ref="AA16">I7-M39*SUM($AA$7:$AB$12*AL5:AM10)</f>
        <v>-0.29747270727772862</v>
      </c>
      <c r="AB16" s="12" cm="1">
        <f t="array" ref="AB16">J7-N39*SUM($AA$7:$AB$12*AM5:AN10)</f>
        <v>-0.73999999999999999</v>
      </c>
      <c r="AD16" s="13">
        <v>1</v>
      </c>
      <c r="AE16" s="14">
        <f>I13-M39*SUM(AA7:AB12)</f>
        <v>0.90984966874483075</v>
      </c>
    </row>
    <row r="17">
      <c r="B17">
        <v>4</v>
      </c>
      <c r="C17" s="19">
        <f t="shared" si="134"/>
        <v>3.3789276309323317</v>
      </c>
      <c r="D17" s="23">
        <f t="shared" si="135"/>
        <v>1.8393159934697598</v>
      </c>
      <c r="E17">
        <v>0</v>
      </c>
      <c r="H17">
        <v>1</v>
      </c>
      <c r="I17" cm="1">
        <f t="array" ref="I17">SUM(C14:D16*$I$7:$J$9)+$I$13</f>
        <v>3.7265025686892908</v>
      </c>
      <c r="J17" cm="1">
        <f t="array" ref="J17">SUM(D14:E16*$I$7:$J$9)+$I$13</f>
        <v>2.578660515266967</v>
      </c>
      <c r="L17">
        <v>11</v>
      </c>
      <c r="M17" s="23">
        <f t="shared" si="131"/>
        <v>2.9653661415614172</v>
      </c>
      <c r="O17" s="11">
        <v>11</v>
      </c>
      <c r="P17">
        <v>0.24099999999999999</v>
      </c>
      <c r="Q17">
        <v>0.48599999999999999</v>
      </c>
      <c r="R17" s="12">
        <v>-0.0060000000000000001</v>
      </c>
      <c r="Z17" s="11">
        <v>2</v>
      </c>
      <c r="AA17" cm="1">
        <f t="array" ref="AA17">I8-M40*SUM($AA$7:$AB$12*AL6:AM11)</f>
        <v>0.80500000000000005</v>
      </c>
      <c r="AB17" s="12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>
      <c r="B18">
        <v>5</v>
      </c>
      <c r="C18" s="19">
        <f t="shared" si="134"/>
        <v>1.5094131886761968</v>
      </c>
      <c r="D18" s="23">
        <f t="shared" si="135"/>
        <v>0.40501335750777256</v>
      </c>
      <c r="E18">
        <v>0</v>
      </c>
      <c r="H18">
        <v>2</v>
      </c>
      <c r="I18" cm="1">
        <f t="array" ref="I18">SUM(C15:D17*$I$7:$J$9)+$I$13</f>
        <v>0.9261933445799948</v>
      </c>
      <c r="J18" cm="1">
        <f t="array" ref="J18">SUM(D15:E17*$I$7:$J$9)+$I$13</f>
        <v>2.3298871002733854</v>
      </c>
      <c r="L18">
        <v>12</v>
      </c>
      <c r="M18" s="23">
        <f t="shared" si="131"/>
        <v>1.4064988787825257</v>
      </c>
      <c r="O18" s="13">
        <v>12</v>
      </c>
      <c r="P18" s="15">
        <v>-0.16700000000000001</v>
      </c>
      <c r="Q18" s="15">
        <v>-0.442</v>
      </c>
      <c r="R18" s="14">
        <v>0.01</v>
      </c>
      <c r="Z18" s="13">
        <v>3</v>
      </c>
      <c r="AA18" s="15" cm="1">
        <f t="array" ref="AA18">I9-M41*SUM($AA$7:$AB$12*AL7:AM12)</f>
        <v>0.51600000000000001</v>
      </c>
      <c r="AB18" s="14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>
      <c r="B19">
        <v>6</v>
      </c>
      <c r="C19" s="19">
        <f t="shared" si="134"/>
        <v>4.5198656803290973</v>
      </c>
      <c r="D19" s="23">
        <f t="shared" si="135"/>
        <v>0.53701995183003415</v>
      </c>
      <c r="E19">
        <v>0</v>
      </c>
      <c r="H19">
        <v>3</v>
      </c>
      <c r="I19" cm="1">
        <f t="array" ref="I19">SUM(C16:D18*$I$7:$J$9)+$I$13</f>
        <v>1.0663402409710838</v>
      </c>
      <c r="J19" cm="1">
        <f t="array" ref="J19">SUM(D16:E18*$I$7:$J$9)+$I$13</f>
        <v>2.5194060901838085</v>
      </c>
      <c r="T19" s="7"/>
      <c r="U19" s="18" t="s">
        <v>40</v>
      </c>
      <c r="V19" s="8" t="s">
        <v>57</v>
      </c>
      <c r="W19" s="9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>
      <c r="B20">
        <v>7</v>
      </c>
      <c r="C20" s="19">
        <f t="shared" si="134"/>
        <v>3.0540707238032767</v>
      </c>
      <c r="D20" s="23">
        <f t="shared" si="135"/>
        <v>1.2588938475691771</v>
      </c>
      <c r="E20">
        <v>0</v>
      </c>
      <c r="H20">
        <v>4</v>
      </c>
      <c r="I20" cm="1">
        <f t="array" ref="I20">SUM(C17:D19*$I$7:$J$9)+$I$13</f>
        <v>1.61039894979859</v>
      </c>
      <c r="J20" cm="1">
        <f t="array" ref="J20">SUM(D17:E19*$I$7:$J$9)+$I$13</f>
        <v>1.2279175852702235</v>
      </c>
      <c r="M20" t="s">
        <v>49</v>
      </c>
      <c r="N20" t="s">
        <v>50</v>
      </c>
      <c r="O20" s="7"/>
      <c r="P20" s="10" t="s">
        <v>23</v>
      </c>
      <c r="T20" s="11"/>
      <c r="U20">
        <v>1</v>
      </c>
      <c r="V20">
        <v>2</v>
      </c>
      <c r="W20" s="12">
        <v>3</v>
      </c>
      <c r="Z20" s="7"/>
      <c r="AA20" s="18" t="s">
        <v>58</v>
      </c>
      <c r="AB20" s="9"/>
      <c r="AC20" t="s">
        <v>59</v>
      </c>
      <c r="AI20">
        <v>0</v>
      </c>
      <c r="AJ20">
        <v>0</v>
      </c>
      <c r="AK20">
        <v>0</v>
      </c>
      <c r="AL20" s="7" cm="1">
        <f t="array" ref="AL20:AM25">AA7:AB12</f>
        <v>0.25854997551608538</v>
      </c>
      <c r="AM20" s="9">
        <f/>
        <v>0.024897186374374027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3.9314647214855474</v>
      </c>
      <c r="J21" cm="1">
        <f t="array" ref="J21">SUM(D18:E20*$I$7:$J$9)+$I$13</f>
        <v>1.9992675616372875</v>
      </c>
      <c r="M21">
        <v>1</v>
      </c>
      <c r="O21" s="11"/>
      <c r="P21" s="12">
        <v>1</v>
      </c>
      <c r="T21" s="11">
        <v>1</v>
      </c>
      <c r="U21" cm="1">
        <f t="array" ref="U21:U32">P7:P18-$M$39*$U14*$M$7:$M$18</f>
        <v>0.056014690001220252</v>
      </c>
      <c r="V21" cm="1">
        <f t="array" ref="V21:V32">Q7:Q18-$M$39*$U15*$M$7:$M$18</f>
        <v>-0.67228815551437848</v>
      </c>
      <c r="W21" s="12" cm="1">
        <f t="array" ref="W21:W32">R7:R18-$M$39*$U16*$M$7:$M$18</f>
        <v>-0.69770031390516085</v>
      </c>
      <c r="Z21" s="11"/>
      <c r="AA21">
        <v>1</v>
      </c>
      <c r="AB21" s="12">
        <v>2</v>
      </c>
      <c r="AI21">
        <v>0</v>
      </c>
      <c r="AJ21">
        <v>0</v>
      </c>
      <c r="AK21">
        <v>0</v>
      </c>
      <c r="AL21" s="11">
        <f/>
        <v>0</v>
      </c>
      <c r="AM21" s="12">
        <f/>
        <v>0.18325925690277059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>
      <c r="H22">
        <v>6</v>
      </c>
      <c r="I22" cm="1">
        <f t="array" ref="I22">SUM(C19:D21*$I$7:$J$9)+$I$13</f>
        <v>0.90914028044519068</v>
      </c>
      <c r="J22" cm="1">
        <f t="array" ref="J22">SUM(D19:E21*$I$7:$J$9)+$I$13</f>
        <v>1.9038574771198606</v>
      </c>
      <c r="L22">
        <v>1</v>
      </c>
      <c r="M22" cm="1">
        <f t="array" ref="M22:M24">TRANSPOSE(MMULT(TRANSPOSE(M7:M18),P7:R18)+TRANSPOSE(P22:P24))</f>
        <v>-1.7591516446008924</v>
      </c>
      <c r="O22" s="11">
        <v>1</v>
      </c>
      <c r="P22" s="12">
        <v>1</v>
      </c>
      <c r="T22" s="11">
        <v>2</v>
      </c>
      <c r="U22">
        <f/>
        <v>-0.82619885417065386</v>
      </c>
      <c r="V22">
        <f/>
        <v>-0.040805381684508542</v>
      </c>
      <c r="W22" s="12">
        <f/>
        <v>1.0412050379249227</v>
      </c>
      <c r="Z22" s="11">
        <v>1</v>
      </c>
      <c r="AA22" s="19" cm="1">
        <f t="array" ref="AA22">SUM(MMULT($AS$20:$AU$22,MMULT(AL19:AM21,$AS$17:$AT$18))*$AA$16:$AB$18)</f>
        <v>-0.2870757183324163</v>
      </c>
      <c r="AB22" s="16" cm="1">
        <f t="array" ref="AB22">SUM(MMULT($AS$20:$AU$22,MMULT(AM19:AN21,$AS$17:$AT$18))*$AA$16:$AB$18)</f>
        <v>-0.15993640119581368</v>
      </c>
      <c r="AI22">
        <v>0</v>
      </c>
      <c r="AJ22">
        <v>0</v>
      </c>
      <c r="AK22">
        <v>0</v>
      </c>
      <c r="AL22" s="11">
        <f/>
        <v>0</v>
      </c>
      <c r="AM22" s="12">
        <f/>
        <v>0.18675867741169788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>
      <c r="L23">
        <v>2</v>
      </c>
      <c r="M23">
        <f/>
        <v>-2.9418578085603255</v>
      </c>
      <c r="O23" s="11">
        <v>2</v>
      </c>
      <c r="P23" s="12">
        <v>1</v>
      </c>
      <c r="T23" s="11">
        <v>3</v>
      </c>
      <c r="U23">
        <f/>
        <v>-0.49153526439622375</v>
      </c>
      <c r="V23">
        <f/>
        <v>0.31112910650450176</v>
      </c>
      <c r="W23" s="12">
        <f/>
        <v>-0.066711155578689729</v>
      </c>
      <c r="Z23" s="11">
        <v>2</v>
      </c>
      <c r="AA23" s="19" cm="1">
        <f t="array" ref="AA23">SUM(MMULT($AS$20:$AU$22,MMULT(AL20:AM22,$AS$17:$AT$18))*$AA$16:$AB$18)</f>
        <v>-0.13149963702306047</v>
      </c>
      <c r="AB23" s="16" cm="1">
        <f t="array" ref="AB23">SUM(MMULT($AS$20:$AU$22,MMULT(AM20:AN22,$AS$17:$AT$18))*$AA$16:$AB$18)</f>
        <v>-0.34000174362484115</v>
      </c>
      <c r="AI23">
        <v>0</v>
      </c>
      <c r="AJ23">
        <v>0</v>
      </c>
      <c r="AK23">
        <v>0</v>
      </c>
      <c r="AL23" s="11">
        <f/>
        <v>0.010964669349876444</v>
      </c>
      <c r="AM23" s="12">
        <f/>
        <v>0</v>
      </c>
      <c r="AN23">
        <v>0</v>
      </c>
      <c r="AO23">
        <v>0</v>
      </c>
      <c r="AP23">
        <v>0</v>
      </c>
    </row>
    <row r="24">
      <c r="I24" t="s">
        <v>28</v>
      </c>
      <c r="J24" t="s">
        <v>60</v>
      </c>
      <c r="L24">
        <v>3</v>
      </c>
      <c r="M24">
        <f/>
        <v>0.57311162397466386</v>
      </c>
      <c r="O24" s="13">
        <v>3</v>
      </c>
      <c r="P24" s="14">
        <v>1</v>
      </c>
      <c r="T24" s="11">
        <v>4</v>
      </c>
      <c r="U24">
        <f/>
        <v>-0.20888561752369922</v>
      </c>
      <c r="V24">
        <f/>
        <v>-0.20255667324771548</v>
      </c>
      <c r="W24" s="12">
        <f/>
        <v>0.2207013124968189</v>
      </c>
      <c r="Z24" s="11">
        <v>3</v>
      </c>
      <c r="AA24" s="19" cm="1">
        <f t="array" ref="AA24">SUM(MMULT($AS$20:$AU$22,MMULT(AL21:AM23,$AS$17:$AT$18))*$AA$16:$AB$18)</f>
        <v>0.23678865655933787</v>
      </c>
      <c r="AB24" s="16" cm="1">
        <f t="array" ref="AB24">SUM(MMULT($AS$20:$AU$22,MMULT(AM21:AN23,$AS$17:$AT$18))*$AA$16:$AB$18)</f>
        <v>-0.3499621886403611</v>
      </c>
      <c r="AI24">
        <v>0</v>
      </c>
      <c r="AJ24">
        <v>0</v>
      </c>
      <c r="AK24">
        <v>0</v>
      </c>
      <c r="AL24" s="11">
        <f/>
        <v>0.19633817774343448</v>
      </c>
      <c r="AM24" s="12">
        <f/>
        <v>0</v>
      </c>
      <c r="AN24">
        <v>0</v>
      </c>
      <c r="AO24">
        <v>0</v>
      </c>
      <c r="AP24">
        <v>0</v>
      </c>
    </row>
    <row r="25">
      <c r="I25">
        <v>1</v>
      </c>
      <c r="J25">
        <v>2</v>
      </c>
      <c r="T25" s="11">
        <v>5</v>
      </c>
      <c r="U25">
        <f/>
        <v>-0.37653427200599987</v>
      </c>
      <c r="V25">
        <f/>
        <v>-0.18635900562718444</v>
      </c>
      <c r="W25" s="12">
        <f/>
        <v>0.25771626604547393</v>
      </c>
      <c r="Z25" s="11">
        <v>4</v>
      </c>
      <c r="AA25" s="19" cm="1">
        <f t="array" ref="AA25">SUM(MMULT($AS$20:$AU$22,MMULT(AL22:AM24,$AS$17:$AT$18))*$AA$16:$AB$18)</f>
        <v>-0.059635255940534704</v>
      </c>
      <c r="AB25" s="16" cm="1">
        <f t="array" ref="AB25">SUM(MMULT($AS$20:$AU$22,MMULT(AM22:AN24,$AS$17:$AT$18))*$AA$16:$AB$18)</f>
        <v>-0.17069743115429187</v>
      </c>
      <c r="AI25">
        <v>0</v>
      </c>
      <c r="AJ25">
        <v>0</v>
      </c>
      <c r="AK25">
        <v>0</v>
      </c>
      <c r="AL25" s="13">
        <f/>
        <v>0.040735369253453321</v>
      </c>
      <c r="AM25" s="14">
        <f/>
        <v>0</v>
      </c>
      <c r="AN25">
        <v>0</v>
      </c>
      <c r="AO25">
        <v>0</v>
      </c>
      <c r="AP25">
        <v>0</v>
      </c>
    </row>
    <row r="26">
      <c r="H26">
        <v>1</v>
      </c>
      <c r="I26">
        <f t="shared" ref="I26:J31" si="136">MAX(0,I17)</f>
        <v>3.7265025686892908</v>
      </c>
      <c r="J26">
        <f>MAX(0,J17)</f>
        <v>2.578660515266967</v>
      </c>
      <c r="L26" s="7"/>
      <c r="M26" s="18" t="s">
        <v>55</v>
      </c>
      <c r="N26" s="9"/>
      <c r="O26" t="s">
        <v>56</v>
      </c>
      <c r="T26" s="11">
        <v>6</v>
      </c>
      <c r="U26">
        <f/>
        <v>0.66907785830097422</v>
      </c>
      <c r="V26">
        <f/>
        <v>0.8913418857326576</v>
      </c>
      <c r="W26" s="12">
        <f/>
        <v>0.79802483628122356</v>
      </c>
      <c r="Z26" s="11">
        <v>5</v>
      </c>
      <c r="AA26" s="19" cm="1">
        <f t="array" ref="AA26">SUM(MMULT($AS$20:$AU$22,MMULT(AL23:AM25,$AS$17:$AT$18))*$AA$16:$AB$18)</f>
        <v>-0.23198828068867802</v>
      </c>
      <c r="AB26" s="16" cm="1">
        <f t="array" ref="AB26">SUM(MMULT($AS$20:$AU$22,MMULT(AM23:AN25,$AS$17:$AT$18))*$AA$16:$AB$18)</f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>
      <c r="H27">
        <v>2</v>
      </c>
      <c r="I27">
        <f t="shared" si="136"/>
        <v>0.9261933445799948</v>
      </c>
      <c r="J27">
        <f t="shared" si="136"/>
        <v>2.3298871002733854</v>
      </c>
      <c r="L27" s="11"/>
      <c r="M27">
        <v>1</v>
      </c>
      <c r="N27" s="12"/>
      <c r="T27" s="11">
        <v>7</v>
      </c>
      <c r="U27">
        <f/>
        <v>-0.049249593053885876</v>
      </c>
      <c r="V27">
        <f/>
        <v>-0.86408976586570696</v>
      </c>
      <c r="W27" s="12">
        <f/>
        <v>0.31993268045385193</v>
      </c>
      <c r="Z27" s="13">
        <v>6</v>
      </c>
      <c r="AA27" s="20" cm="1">
        <f t="array" ref="AA27">SUM(MMULT($AS$20:$AU$22,MMULT(AL24:AM26,$AS$17:$AT$18))*$AA$16:$AB$18)</f>
        <v>-0.21925155021812304</v>
      </c>
      <c r="AB27" s="17" cm="1">
        <f t="array" ref="AB27">SUM(MMULT($AS$20:$AU$22,MMULT(AM24:AN26,$AS$17:$AT$18))*$AA$16:$AB$18)</f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>
      <c r="H28">
        <v>3</v>
      </c>
      <c r="I28">
        <f t="shared" si="136"/>
        <v>1.0663402409710838</v>
      </c>
      <c r="J28">
        <f t="shared" si="136"/>
        <v>2.5194060901838085</v>
      </c>
      <c r="L28" s="11">
        <v>1</v>
      </c>
      <c r="M28">
        <f t="shared" ref="M28:M30" si="137">1/(1+EXP(-M22))</f>
        <v>0.14689662216313995</v>
      </c>
      <c r="N28" s="12" t="s">
        <v>10</v>
      </c>
      <c r="T28" s="11">
        <v>8</v>
      </c>
      <c r="U28">
        <f/>
        <v>0.63201391250153693</v>
      </c>
      <c r="V28">
        <f/>
        <v>0.18443722862080664</v>
      </c>
      <c r="W28" s="12">
        <f/>
        <v>-0.47291854858519072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>
      <c r="H29">
        <v>4</v>
      </c>
      <c r="I29">
        <f t="shared" si="136"/>
        <v>1.61039894979859</v>
      </c>
      <c r="J29">
        <f t="shared" si="136"/>
        <v>1.2279175852702235</v>
      </c>
      <c r="L29" s="11">
        <v>2</v>
      </c>
      <c r="M29">
        <f t="shared" si="137"/>
        <v>0.050122748110857353</v>
      </c>
      <c r="N29" s="12" t="s">
        <v>11</v>
      </c>
      <c r="T29" s="11">
        <v>9</v>
      </c>
      <c r="U29">
        <f/>
        <v>1.0814187586052109</v>
      </c>
      <c r="V29">
        <f/>
        <v>-0.94761974986257203</v>
      </c>
      <c r="W29" s="12">
        <f/>
        <v>-0.86636668370676406</v>
      </c>
      <c r="AI29" t="s">
        <v>66</v>
      </c>
    </row>
    <row r="30">
      <c r="H30">
        <v>5</v>
      </c>
      <c r="I30">
        <f t="shared" si="136"/>
        <v>3.9314647214855474</v>
      </c>
      <c r="J30">
        <f t="shared" si="136"/>
        <v>1.9992675616372875</v>
      </c>
      <c r="L30" s="13">
        <v>3</v>
      </c>
      <c r="M30" s="15">
        <f t="shared" si="137"/>
        <v>0.63948085568380564</v>
      </c>
      <c r="N30" s="14" t="s">
        <v>12</v>
      </c>
      <c r="T30" s="11">
        <v>10</v>
      </c>
      <c r="U30">
        <f/>
        <v>0.5413630034590492</v>
      </c>
      <c r="V30">
        <f/>
        <v>0.36450943370777195</v>
      </c>
      <c r="W30" s="12">
        <f/>
        <v>-0.17641959349246047</v>
      </c>
    </row>
    <row r="31">
      <c r="H31">
        <v>6</v>
      </c>
      <c r="I31">
        <f t="shared" si="136"/>
        <v>0.90914028044519068</v>
      </c>
      <c r="J31">
        <f t="shared" si="136"/>
        <v>1.9038574771198606</v>
      </c>
      <c r="T31" s="11">
        <v>11</v>
      </c>
      <c r="U31">
        <f/>
        <v>0.39220427740026814</v>
      </c>
      <c r="V31">
        <f/>
        <v>0.48497494965400034</v>
      </c>
      <c r="W31" s="12">
        <f/>
        <v>0.057898512327444522</v>
      </c>
    </row>
    <row r="32" ht="26.25">
      <c r="L32" s="7"/>
      <c r="M32" s="18" t="s">
        <v>61</v>
      </c>
      <c r="N32" s="9"/>
      <c r="O32" t="s">
        <v>62</v>
      </c>
      <c r="T32" s="13">
        <v>12</v>
      </c>
      <c r="U32" s="15">
        <f/>
        <v>-0.095282499874157808</v>
      </c>
      <c r="V32" s="15">
        <f/>
        <v>-0.44248619026909947</v>
      </c>
      <c r="W32" s="14">
        <f/>
        <v>0.040307618571883766</v>
      </c>
      <c r="AA32" s="6" t="s">
        <v>68</v>
      </c>
    </row>
    <row r="33" ht="26.25">
      <c r="I33" t="s">
        <v>33</v>
      </c>
      <c r="L33" s="11"/>
      <c r="M33">
        <v>1</v>
      </c>
      <c r="N33" s="25" t="s">
        <v>63</v>
      </c>
      <c r="AA33" s="6" t="s">
        <v>20</v>
      </c>
    </row>
    <row r="34">
      <c r="I34" t="s">
        <v>70</v>
      </c>
      <c r="J34" t="s">
        <v>71</v>
      </c>
      <c r="L34" s="26" t="s">
        <v>65</v>
      </c>
      <c r="M34" s="1">
        <f>((2/(1+DATA!$I$16))*N34*LN(M28)+((2*DATA!$I$16)/(1+DATA!$I$16))*(1-N34)*LN(1-M28))</f>
        <v>-3.4392193755148552</v>
      </c>
      <c r="N34" s="12">
        <v>1</v>
      </c>
      <c r="T34" s="7"/>
      <c r="U34" s="10" t="s">
        <v>23</v>
      </c>
      <c r="V34" t="s">
        <v>64</v>
      </c>
      <c r="AA34" t="s">
        <v>73</v>
      </c>
      <c r="AC34" t="s">
        <v>25</v>
      </c>
      <c r="AD34" t="s">
        <v>74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>
      <c r="E35">
        <v>1</v>
      </c>
      <c r="F35">
        <v>2</v>
      </c>
      <c r="I35">
        <v>1</v>
      </c>
      <c r="L35" s="11">
        <v>2</v>
      </c>
      <c r="M35" s="1">
        <f>((2/(1+DATA!$I$17))*N35*LN(M29)+((2*DATA!$I$17)/(1+DATA!$I$17))*(1-N35)*LN(1-M29))</f>
        <v>-0.039179056208333229</v>
      </c>
      <c r="N35" s="12">
        <v>0</v>
      </c>
      <c r="T35" s="11"/>
      <c r="U35" s="12">
        <v>1</v>
      </c>
      <c r="AA35">
        <v>1</v>
      </c>
      <c r="AB35" s="2" t="s">
        <v>75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>
      <c r="D36">
        <v>1</v>
      </c>
      <c r="E36">
        <f>MAX(I26:I31)</f>
        <v>3.9314647214855474</v>
      </c>
      <c r="F36">
        <f>MAX(J26:J31)</f>
        <v>2.578660515266967</v>
      </c>
      <c r="H36">
        <v>1</v>
      </c>
      <c r="I36" s="19">
        <f t="shared" ref="I36:I41" si="138">MAX(I26:J26)</f>
        <v>3.7265025686892908</v>
      </c>
      <c r="L36" s="11">
        <v>3</v>
      </c>
      <c r="M36" s="1">
        <f>((2/(1+DATA!$I$18))*N36*LN(M30)+((2*DATA!$I$18)/(1+DATA!$I$18))*(1-N36)*LN(1-M30))</f>
        <v>-0.7045189978559423</v>
      </c>
      <c r="N36" s="12">
        <v>1</v>
      </c>
      <c r="T36" s="11">
        <v>1</v>
      </c>
      <c r="U36" s="12">
        <f t="shared" ref="U36:U38" si="139">P22-$M$39*$U14</f>
        <v>1.0509900869511686</v>
      </c>
      <c r="Z36">
        <v>1</v>
      </c>
      <c r="AA36" s="19">
        <f t="shared" ref="AA36:AA41" si="140">AA22</f>
        <v>-0.2870757183324163</v>
      </c>
      <c r="AB36">
        <f>MATCH(MAX(FRONTEND!M28:Q28),FRONTEND!M28:Q28,0)</f>
        <v>4</v>
      </c>
      <c r="AC36">
        <f t="shared" ref="AC36:AG41" si="141">IF($AB36=AC$35,$AA36,0)</f>
        <v>0</v>
      </c>
      <c r="AD36">
        <f t="shared" si="141"/>
        <v>0</v>
      </c>
      <c r="AE36">
        <f t="shared" si="141"/>
        <v>0</v>
      </c>
      <c r="AF36">
        <f t="shared" si="141"/>
        <v>-0.2870757183324163</v>
      </c>
      <c r="AG36">
        <f t="shared" si="141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>
      <c r="H37">
        <v>2</v>
      </c>
      <c r="I37" s="19">
        <f t="shared" si="138"/>
        <v>2.3298871002733854</v>
      </c>
      <c r="L37" s="27" t="s">
        <v>6</v>
      </c>
      <c r="M37" s="15">
        <f>-1*SUM(M34:M36)/3</f>
        <v>1.3943058098597103</v>
      </c>
      <c r="N37" s="14"/>
      <c r="T37" s="11">
        <v>2</v>
      </c>
      <c r="U37" s="12">
        <f t="shared" si="139"/>
        <v>0.9996543258750975</v>
      </c>
      <c r="Z37">
        <v>2</v>
      </c>
      <c r="AA37" s="19">
        <f t="shared" si="140"/>
        <v>-0.13149963702306047</v>
      </c>
      <c r="AB37">
        <f>MATCH(MAX(FRONTEND!M29:Q29),FRONTEND!M29:Q29,0)</f>
        <v>2</v>
      </c>
      <c r="AC37">
        <f t="shared" si="141"/>
        <v>0</v>
      </c>
      <c r="AD37">
        <f t="shared" si="141"/>
        <v>-0.13149963702306047</v>
      </c>
      <c r="AE37">
        <f t="shared" si="141"/>
        <v>0</v>
      </c>
      <c r="AF37">
        <f t="shared" si="141"/>
        <v>0</v>
      </c>
      <c r="AG37">
        <f t="shared" si="141"/>
        <v>0</v>
      </c>
      <c r="AI37">
        <v>0</v>
      </c>
      <c r="AJ37">
        <v>0</v>
      </c>
      <c r="AK37">
        <v>0</v>
      </c>
      <c r="AL37" s="7" cm="1">
        <f t="array" ref="AL37:AP42">FRONTEND!B4:F9</f>
        <v>0.098070127981472688</v>
      </c>
      <c r="AM37" s="8">
        <f/>
        <v>0.76989837351610546</v>
      </c>
      <c r="AN37" s="8">
        <f/>
        <v>1.0888675284528564</v>
      </c>
      <c r="AO37" s="8">
        <f/>
        <v>0.41864132753818439</v>
      </c>
      <c r="AP37" s="9">
        <f/>
        <v>-0.54807215149909738</v>
      </c>
      <c r="AQ37">
        <v>0</v>
      </c>
      <c r="AR37">
        <v>0</v>
      </c>
      <c r="AS37">
        <v>0</v>
      </c>
    </row>
    <row r="38">
      <c r="H38">
        <v>3</v>
      </c>
      <c r="I38" s="19">
        <f t="shared" si="138"/>
        <v>2.5194060901838085</v>
      </c>
      <c r="T38" s="13">
        <v>3</v>
      </c>
      <c r="U38" s="14">
        <f t="shared" si="139"/>
        <v>1.021548270694761</v>
      </c>
      <c r="Z38">
        <v>3</v>
      </c>
      <c r="AA38" s="19">
        <f t="shared" si="140"/>
        <v>0.23678865655933787</v>
      </c>
      <c r="AB38">
        <f>MATCH(MAX(FRONTEND!M30:Q30),FRONTEND!M30:Q30,0)</f>
        <v>3</v>
      </c>
      <c r="AC38">
        <f t="shared" si="141"/>
        <v>0</v>
      </c>
      <c r="AD38">
        <f t="shared" si="141"/>
        <v>0</v>
      </c>
      <c r="AE38">
        <f t="shared" si="141"/>
        <v>0.23678865655933787</v>
      </c>
      <c r="AF38">
        <f t="shared" si="141"/>
        <v>0</v>
      </c>
      <c r="AG38">
        <f t="shared" si="141"/>
        <v>0</v>
      </c>
      <c r="AI38">
        <v>0</v>
      </c>
      <c r="AJ38">
        <v>0</v>
      </c>
      <c r="AK38">
        <v>0</v>
      </c>
      <c r="AL38" s="11">
        <f/>
        <v>0.3947945813296071</v>
      </c>
      <c r="AM38">
        <f/>
        <v>0.76298402984034686</v>
      </c>
      <c r="AN38">
        <f/>
        <v>-1.5092547447204521</v>
      </c>
      <c r="AO38">
        <f/>
        <v>0.78695236170270555</v>
      </c>
      <c r="AP38" s="12">
        <f/>
        <v>-1.6514230540804744</v>
      </c>
      <c r="AQ38">
        <v>0</v>
      </c>
      <c r="AR38">
        <v>0</v>
      </c>
      <c r="AS38">
        <v>0</v>
      </c>
    </row>
    <row r="39">
      <c r="H39">
        <v>4</v>
      </c>
      <c r="I39" s="19">
        <f t="shared" si="138"/>
        <v>1.61039894979859</v>
      </c>
      <c r="L39" s="2" t="s">
        <v>67</v>
      </c>
      <c r="M39">
        <v>0.10000000000000001</v>
      </c>
      <c r="Z39">
        <v>4</v>
      </c>
      <c r="AA39" s="19">
        <f t="shared" si="140"/>
        <v>-0.059635255940534704</v>
      </c>
      <c r="AB39">
        <f>MATCH(MAX(FRONTEND!M31:Q31),FRONTEND!M31:Q31,0)</f>
        <v>4</v>
      </c>
      <c r="AC39">
        <f t="shared" si="141"/>
        <v>0</v>
      </c>
      <c r="AD39">
        <f t="shared" si="141"/>
        <v>0</v>
      </c>
      <c r="AE39">
        <f t="shared" si="141"/>
        <v>0</v>
      </c>
      <c r="AF39">
        <f t="shared" si="141"/>
        <v>-0.059635255940534704</v>
      </c>
      <c r="AG39">
        <f t="shared" si="141"/>
        <v>0</v>
      </c>
      <c r="AI39">
        <v>0</v>
      </c>
      <c r="AJ39">
        <v>0</v>
      </c>
      <c r="AK39">
        <v>0</v>
      </c>
      <c r="AL39" s="11">
        <f/>
        <v>1.2610501600821225</v>
      </c>
      <c r="AM39">
        <f/>
        <v>1.0201001967063095</v>
      </c>
      <c r="AN39">
        <f/>
        <v>0.20946802791688546</v>
      </c>
      <c r="AO39">
        <f/>
        <v>-1.5474479187727208</v>
      </c>
      <c r="AP39" s="12">
        <f/>
        <v>-0.51000095484744268</v>
      </c>
      <c r="AQ39">
        <v>0</v>
      </c>
      <c r="AR39">
        <v>0</v>
      </c>
      <c r="AS39">
        <v>0</v>
      </c>
    </row>
    <row r="40">
      <c r="H40">
        <v>5</v>
      </c>
      <c r="I40" s="19">
        <f t="shared" si="138"/>
        <v>3.9314647214855474</v>
      </c>
      <c r="U40" t="s">
        <v>69</v>
      </c>
      <c r="Z40">
        <v>5</v>
      </c>
      <c r="AA40" s="19">
        <f t="shared" si="140"/>
        <v>-0.23198828068867802</v>
      </c>
      <c r="AB40">
        <f>MATCH(MAX(FRONTEND!M32:Q32),FRONTEND!M32:Q32,0)</f>
        <v>1</v>
      </c>
      <c r="AC40">
        <f t="shared" si="141"/>
        <v>-0.23198828068867802</v>
      </c>
      <c r="AD40">
        <f t="shared" si="141"/>
        <v>0</v>
      </c>
      <c r="AE40">
        <f t="shared" si="141"/>
        <v>0</v>
      </c>
      <c r="AF40">
        <f t="shared" si="141"/>
        <v>0</v>
      </c>
      <c r="AG40">
        <f t="shared" si="141"/>
        <v>0</v>
      </c>
      <c r="AI40">
        <v>0</v>
      </c>
      <c r="AJ40">
        <v>0</v>
      </c>
      <c r="AK40">
        <v>0</v>
      </c>
      <c r="AL40" s="11">
        <f/>
        <v>-1.914822845899089</v>
      </c>
      <c r="AM40">
        <f/>
        <v>-0.96507706088431011</v>
      </c>
      <c r="AN40">
        <f/>
        <v>-0.73600695036684105</v>
      </c>
      <c r="AO40">
        <f/>
        <v>-1.2146668976505628</v>
      </c>
      <c r="AP40" s="12">
        <f/>
        <v>0.61213976054071273</v>
      </c>
      <c r="AQ40">
        <v>0</v>
      </c>
      <c r="AR40">
        <v>0</v>
      </c>
      <c r="AS40">
        <v>0</v>
      </c>
    </row>
    <row r="41">
      <c r="H41">
        <v>6</v>
      </c>
      <c r="I41" s="19">
        <f t="shared" si="138"/>
        <v>1.9038574771198606</v>
      </c>
      <c r="U41">
        <v>1</v>
      </c>
      <c r="V41" t="s">
        <v>72</v>
      </c>
      <c r="Z41">
        <v>6</v>
      </c>
      <c r="AA41" s="19">
        <f t="shared" si="140"/>
        <v>-0.21925155021812304</v>
      </c>
      <c r="AB41">
        <f>MATCH(MAX(FRONTEND!M33:Q33),FRONTEND!M33:Q33,0)</f>
        <v>5</v>
      </c>
      <c r="AC41">
        <f t="shared" si="141"/>
        <v>0</v>
      </c>
      <c r="AD41">
        <f t="shared" si="141"/>
        <v>0</v>
      </c>
      <c r="AE41">
        <f t="shared" si="141"/>
        <v>0</v>
      </c>
      <c r="AF41">
        <f t="shared" si="141"/>
        <v>0</v>
      </c>
      <c r="AG41">
        <f t="shared" si="141"/>
        <v>-0.21925155021812304</v>
      </c>
      <c r="AI41">
        <v>0</v>
      </c>
      <c r="AJ41">
        <v>0</v>
      </c>
      <c r="AK41">
        <v>0</v>
      </c>
      <c r="AL41" s="11">
        <f/>
        <v>0.61185767787065537</v>
      </c>
      <c r="AM41">
        <f/>
        <v>-1.6862564508613829</v>
      </c>
      <c r="AN41">
        <f/>
        <v>-0.39331255882270999</v>
      </c>
      <c r="AO41">
        <f/>
        <v>1.027314449369916</v>
      </c>
      <c r="AP41" s="12">
        <f/>
        <v>1.3115002107703582</v>
      </c>
      <c r="AQ41">
        <v>0</v>
      </c>
      <c r="AR41">
        <v>0</v>
      </c>
      <c r="AS41">
        <v>0</v>
      </c>
    </row>
    <row r="42">
      <c r="T42">
        <v>1</v>
      </c>
      <c r="U42" s="19" cm="1">
        <f t="array" ref="U42">SUM(MMULT(TRANSPOSE($U$14:$U$16),TRANSPOSE(P7:R7)))</f>
        <v>0.23365278914171136</v>
      </c>
      <c r="AI42">
        <v>0</v>
      </c>
      <c r="AJ42">
        <v>0</v>
      </c>
      <c r="AK42">
        <v>0</v>
      </c>
      <c r="AL42" s="13">
        <f/>
        <v>-0.45094970136476858</v>
      </c>
      <c r="AM42" s="15">
        <f/>
        <v>0.098350911682930572</v>
      </c>
      <c r="AN42" s="15">
        <f/>
        <v>1.3402386975402607</v>
      </c>
      <c r="AO42" s="15">
        <f/>
        <v>0.52920667781247754</v>
      </c>
      <c r="AP42" s="14">
        <f/>
        <v>0.78585618911594302</v>
      </c>
      <c r="AQ42">
        <v>0</v>
      </c>
      <c r="AR42">
        <v>0</v>
      </c>
      <c r="AS42">
        <v>0</v>
      </c>
    </row>
    <row r="43">
      <c r="I43" t="s">
        <v>76</v>
      </c>
      <c r="T43">
        <v>2</v>
      </c>
      <c r="U43" s="19" cm="1">
        <f t="array" ref="U43">SUM(MMULT(TRANSPOSE($U$14:$U$16),TRANSPOSE(P8:R8)))</f>
        <v>0.2681746894535007</v>
      </c>
      <c r="AA43" t="s">
        <v>43</v>
      </c>
      <c r="AB43" t="s">
        <v>78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>
      <c r="I44" t="s">
        <v>70</v>
      </c>
      <c r="J44" t="s">
        <v>71</v>
      </c>
      <c r="T44">
        <v>3</v>
      </c>
      <c r="U44" s="19" cm="1">
        <f t="array" ref="U44">SUM(MMULT(TRANSPOSE($U$14:$U$16),TRANSPOSE(P9:R9)))</f>
        <v>0.3432904499076021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>
      <c r="E45">
        <v>1</v>
      </c>
      <c r="F45">
        <v>2</v>
      </c>
      <c r="I45">
        <v>1</v>
      </c>
      <c r="T45">
        <v>4</v>
      </c>
      <c r="U45" s="19" cm="1">
        <f t="array" ref="U45">SUM(MMULT(TRANSPOSE($U$14:$U$16),TRANSPOSE(P10:R10)))</f>
        <v>0.10760310780334223</v>
      </c>
      <c r="Z45">
        <v>1</v>
      </c>
      <c r="AA45">
        <f t="shared" ref="AA45:AA50" si="142">AC36*IF(AC36&gt;0,1,0)</f>
        <v>0</v>
      </c>
      <c r="AB45">
        <f t="shared" ref="AB45:AE50" si="143">AD36*IF(AD36&gt;0,1,0)</f>
        <v>0</v>
      </c>
      <c r="AC45">
        <f t="shared" si="143"/>
        <v>0</v>
      </c>
      <c r="AD45">
        <f t="shared" si="143"/>
        <v>0</v>
      </c>
      <c r="AE45">
        <f t="shared" si="143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>
      <c r="D46">
        <v>1</v>
      </c>
      <c r="E46">
        <f>AVERAGE(I26:I31)</f>
        <v>2.0283400176616162</v>
      </c>
      <c r="F46">
        <f>AVERAGE(J26:J31)</f>
        <v>2.0931660549585884</v>
      </c>
      <c r="H46">
        <v>1</v>
      </c>
      <c r="I46" s="23">
        <f t="shared" ref="I46:I51" si="144">AVERAGE(I26:J26)</f>
        <v>3.1525815419781287</v>
      </c>
      <c r="T46">
        <v>5</v>
      </c>
      <c r="U46" s="19" cm="1">
        <f t="array" ref="U46">SUM(MMULT(TRANSPOSE($U$14:$U$16),TRANSPOSE(P11:R11)))</f>
        <v>0.25629479627523688</v>
      </c>
      <c r="Z46">
        <v>2</v>
      </c>
      <c r="AA46">
        <f t="shared" si="142"/>
        <v>0</v>
      </c>
      <c r="AB46">
        <f t="shared" si="143"/>
        <v>0</v>
      </c>
      <c r="AC46">
        <f t="shared" ref="AC46:AC50" si="145">AE37*IF(AE37&gt;0,1,0)</f>
        <v>0</v>
      </c>
      <c r="AD46">
        <f t="shared" ref="AD46:AD50" si="146">AF37*IF(AF37&gt;0,1,0)</f>
        <v>0</v>
      </c>
      <c r="AE46">
        <f t="shared" ref="AE46:AE50" si="147">AG37*IF(AG37&gt;0,1,0)</f>
        <v>0</v>
      </c>
    </row>
    <row r="47">
      <c r="H47">
        <v>2</v>
      </c>
      <c r="I47" s="23">
        <f t="shared" si="144"/>
        <v>1.6280402224266901</v>
      </c>
      <c r="T47">
        <v>6</v>
      </c>
      <c r="U47" s="19" cm="1">
        <f t="array" ref="U47">SUM(MMULT(TRANSPOSE($U$14:$U$16),TRANSPOSE(P12:R12)))</f>
        <v>-0.45170029332589579</v>
      </c>
      <c r="Z47">
        <v>3</v>
      </c>
      <c r="AA47">
        <f t="shared" si="142"/>
        <v>0</v>
      </c>
      <c r="AB47">
        <f t="shared" si="143"/>
        <v>0</v>
      </c>
      <c r="AC47">
        <f t="shared" si="145"/>
        <v>0.23678865655933787</v>
      </c>
      <c r="AD47">
        <f t="shared" si="146"/>
        <v>0</v>
      </c>
      <c r="AE47">
        <f t="shared" si="147"/>
        <v>0</v>
      </c>
    </row>
    <row r="48">
      <c r="H48">
        <v>3</v>
      </c>
      <c r="I48" s="23">
        <f t="shared" si="144"/>
        <v>1.7928731655774461</v>
      </c>
      <c r="T48">
        <v>7</v>
      </c>
      <c r="U48" s="23" cm="1">
        <f t="array" ref="U48">SUM(MMULT(TRANSPOSE($U$14:$U$16),TRANSPOSE(P13:R13)))</f>
        <v>0.049794372748748053</v>
      </c>
      <c r="Z48">
        <v>4</v>
      </c>
      <c r="AA48">
        <f t="shared" si="142"/>
        <v>0</v>
      </c>
      <c r="AB48">
        <f t="shared" si="143"/>
        <v>0</v>
      </c>
      <c r="AC48">
        <f t="shared" si="145"/>
        <v>0</v>
      </c>
      <c r="AD48">
        <f t="shared" si="146"/>
        <v>0</v>
      </c>
      <c r="AE48">
        <f t="shared" si="147"/>
        <v>0</v>
      </c>
    </row>
    <row r="49">
      <c r="H49">
        <v>4</v>
      </c>
      <c r="I49" s="23">
        <f t="shared" si="144"/>
        <v>1.4191582675344068</v>
      </c>
      <c r="T49">
        <v>8</v>
      </c>
      <c r="U49" s="23" cm="1">
        <f t="array" ref="U49">SUM(MMULT(TRANSPOSE($U$14:$U$16),TRANSPOSE(P14:R14)))</f>
        <v>-0.16983086510146023</v>
      </c>
      <c r="Z49">
        <v>5</v>
      </c>
      <c r="AA49">
        <f t="shared" si="142"/>
        <v>0</v>
      </c>
      <c r="AB49">
        <f t="shared" si="143"/>
        <v>0</v>
      </c>
      <c r="AC49">
        <f t="shared" si="145"/>
        <v>0</v>
      </c>
      <c r="AD49">
        <f t="shared" si="146"/>
        <v>0</v>
      </c>
      <c r="AE49">
        <f t="shared" si="147"/>
        <v>0</v>
      </c>
    </row>
    <row r="50">
      <c r="H50">
        <v>5</v>
      </c>
      <c r="I50" s="23">
        <f t="shared" si="144"/>
        <v>2.9653661415614172</v>
      </c>
      <c r="T50">
        <v>9</v>
      </c>
      <c r="U50" s="23" cm="1">
        <f t="array" ref="U50">SUM(MMULT(TRANSPOSE($U$14:$U$16),TRANSPOSE(P15:R15)))</f>
        <v>-0.31306354499180844</v>
      </c>
      <c r="Z50">
        <v>6</v>
      </c>
      <c r="AA50">
        <f t="shared" si="142"/>
        <v>0</v>
      </c>
      <c r="AB50">
        <f t="shared" si="143"/>
        <v>0</v>
      </c>
      <c r="AC50">
        <f t="shared" si="145"/>
        <v>0</v>
      </c>
      <c r="AD50">
        <f t="shared" si="146"/>
        <v>0</v>
      </c>
      <c r="AE50">
        <f t="shared" si="147"/>
        <v>0</v>
      </c>
    </row>
    <row r="51">
      <c r="H51">
        <v>6</v>
      </c>
      <c r="I51" s="23">
        <f t="shared" si="144"/>
        <v>1.4064988787825257</v>
      </c>
      <c r="T51">
        <v>10</v>
      </c>
      <c r="U51" s="23" cm="1">
        <f t="array" ref="U51">SUM(MMULT(TRANSPOSE($U$14:$U$16),TRANSPOSE(P16:R16)))</f>
        <v>-0.19327687690693157</v>
      </c>
    </row>
    <row r="52">
      <c r="T52">
        <v>11</v>
      </c>
      <c r="U52" s="23" cm="1">
        <f t="array" ref="U52">SUM(MMULT(TRANSPOSE($U$14:$U$16),TRANSPOSE(P17:R17)))</f>
        <v>-0.11991323706360479</v>
      </c>
      <c r="Z52" s="7"/>
      <c r="AA52" s="18" t="s">
        <v>22</v>
      </c>
      <c r="AB52" s="8" t="s">
        <v>80</v>
      </c>
      <c r="AC52" s="9"/>
      <c r="AE52" s="7"/>
      <c r="AF52" s="10" t="s">
        <v>23</v>
      </c>
      <c r="AG52" t="s">
        <v>81</v>
      </c>
    </row>
    <row r="53">
      <c r="H53" s="7"/>
      <c r="I53" s="18" t="s">
        <v>35</v>
      </c>
      <c r="J53" s="9" t="s">
        <v>71</v>
      </c>
      <c r="T53">
        <v>12</v>
      </c>
      <c r="U53" s="23" cm="1">
        <f t="array" ref="U53">SUM(MMULT(TRANSPOSE($U$14:$U$16),TRANSPOSE(P18:R18)))</f>
        <v>0.081470738506906643</v>
      </c>
      <c r="Z53" s="11"/>
      <c r="AA53">
        <v>1</v>
      </c>
      <c r="AB53">
        <v>2</v>
      </c>
      <c r="AC53" s="12">
        <v>3</v>
      </c>
      <c r="AE53" s="11"/>
      <c r="AF53" s="12">
        <v>1</v>
      </c>
    </row>
    <row r="54">
      <c r="E54">
        <v>1</v>
      </c>
      <c r="H54" s="11"/>
      <c r="I54">
        <v>1</v>
      </c>
      <c r="J54" s="12"/>
      <c r="Z54" s="11">
        <v>1</v>
      </c>
      <c r="AA54" cm="1">
        <f t="array" ref="AA54">FRONTEND!$M7-$M$39*SUM($AA$45:$AE$50*AK35:AO40)</f>
        <v>-0.53023032015520977</v>
      </c>
      <c r="AB54" cm="1">
        <f t="array" ref="AB54">FRONTEND!$N7-$M$39*SUM($AA$45:$AE$50*AL35:AP40)</f>
        <v>0.87121685207665622</v>
      </c>
      <c r="AC54" s="12" cm="1">
        <f t="array" ref="AC54">FRONTEND!$O7-$M$39*SUM($AA$45:$AE$50*AM35:AQ40)</f>
        <v>-0.53291295175279851</v>
      </c>
      <c r="AE54" s="13">
        <v>1</v>
      </c>
      <c r="AF54" s="14">
        <f>FRONTEND!$W$7-$M$39*SUM(AA22:AA27)</f>
        <v>1.0692661785643476</v>
      </c>
    </row>
    <row r="55">
      <c r="D55">
        <v>1</v>
      </c>
      <c r="E55">
        <f t="array" ref="E55:E56">TRANSPOSE(E36:F36)</f>
        <v>3.9314647214855474</v>
      </c>
      <c r="H55" s="11">
        <v>1</v>
      </c>
      <c r="I55" s="19">
        <f t="shared" ref="I55:I60" si="148">I36</f>
        <v>3.7265025686892908</v>
      </c>
      <c r="J55" s="12"/>
      <c r="T55" t="s">
        <v>77</v>
      </c>
      <c r="U55" s="19" t="s">
        <v>33</v>
      </c>
      <c r="W55" s="2" t="s">
        <v>25</v>
      </c>
      <c r="Z55" s="11">
        <v>2</v>
      </c>
      <c r="AA55" cm="1">
        <f t="array" ref="AA55">FRONTEND!$M8-$M$39*SUM($AA$45:$AE$50*AK36:AO41)</f>
        <v>0.10393340365978745</v>
      </c>
      <c r="AB55" cm="1">
        <f t="array" ref="AB55">FRONTEND!$N8-$M$39*SUM($AA$45:$AE$50*AL36:AP41)</f>
        <v>-0.16826255965918374</v>
      </c>
      <c r="AC55" s="12" cm="1">
        <f t="array" ref="AC55">FRONTEND!$O8-$M$39*SUM($AA$45:$AE$50*AM36:AQ41)</f>
        <v>-0.75863413925037815</v>
      </c>
    </row>
    <row r="56">
      <c r="D56">
        <v>2</v>
      </c>
      <c r="E56">
        <f/>
        <v>2.578660515266967</v>
      </c>
      <c r="H56" s="11">
        <v>2</v>
      </c>
      <c r="I56" s="19">
        <f t="shared" si="148"/>
        <v>2.3298871002733854</v>
      </c>
      <c r="J56" s="12"/>
      <c r="U56">
        <v>1</v>
      </c>
      <c r="V56" s="2" t="s">
        <v>75</v>
      </c>
      <c r="W56">
        <v>1</v>
      </c>
      <c r="X56">
        <v>2</v>
      </c>
      <c r="Z56" s="11">
        <v>3</v>
      </c>
      <c r="AA56" cm="1">
        <f t="array" ref="AA56">FRONTEND!$M9-$M$39*SUM($AA$45:$AE$50*AK37:AO42)</f>
        <v>0.71784518448659962</v>
      </c>
      <c r="AB56" cm="1">
        <f t="array" ref="AB56">FRONTEND!$N9-$M$39*SUM($AA$45:$AE$50*AL37:AP42)</f>
        <v>0.80004003470774276</v>
      </c>
      <c r="AC56" s="12" cm="1">
        <f t="array" ref="AC56">FRONTEND!$O9-$M$39*SUM($AA$45:$AE$50*AM37:AQ42)</f>
        <v>-0.94035818862182641</v>
      </c>
    </row>
    <row r="57">
      <c r="D57">
        <v>3</v>
      </c>
      <c r="E57">
        <f t="array" ref="E57:E58">TRANSPOSE(E46:F46)</f>
        <v>2.0283400176616162</v>
      </c>
      <c r="H57" s="11">
        <v>3</v>
      </c>
      <c r="I57" s="19">
        <f t="shared" si="148"/>
        <v>2.5194060901838085</v>
      </c>
      <c r="J57" s="12"/>
      <c r="T57">
        <v>1</v>
      </c>
      <c r="U57" s="1">
        <f t="shared" ref="U57:U62" si="149">U42</f>
        <v>0.23365278914171136</v>
      </c>
      <c r="V57">
        <f t="shared" ref="V57:V62" si="150">MATCH(MAX(I26:J26),I26:J26,0)</f>
        <v>1</v>
      </c>
      <c r="W57">
        <f t="shared" ref="W57:W62" si="151">IF($V57=W$56,$U57,0)</f>
        <v>0.23365278914171136</v>
      </c>
      <c r="X57">
        <f t="shared" ref="X57:X62" si="152">IF($V57=X$56,$U57,0)</f>
        <v>0</v>
      </c>
      <c r="Z57" s="11">
        <v>4</v>
      </c>
      <c r="AA57" cm="1">
        <f t="array" ref="AA57">FRONTEND!$M10-$M$39*SUM($AA$45:$AE$50*AK38:AO43)</f>
        <v>0.80485193007230305</v>
      </c>
      <c r="AB57" cm="1">
        <f t="array" ref="AB57">FRONTEND!$N10-$M$39*SUM($AA$45:$AE$50*AL38:AP43)</f>
        <v>0.53342780969956993</v>
      </c>
      <c r="AC57" s="12" cm="1">
        <f t="array" ref="AC57">FRONTEND!$O10-$M$39*SUM($AA$45:$AE$50*AM38:AQ43)</f>
        <v>-0.88523806571382246</v>
      </c>
    </row>
    <row r="58">
      <c r="D58">
        <v>4</v>
      </c>
      <c r="E58">
        <f/>
        <v>2.0931660549585884</v>
      </c>
      <c r="H58" s="11">
        <v>4</v>
      </c>
      <c r="I58" s="19">
        <f t="shared" si="148"/>
        <v>1.61039894979859</v>
      </c>
      <c r="J58" s="12"/>
      <c r="T58">
        <v>2</v>
      </c>
      <c r="U58" s="1">
        <f t="shared" si="149"/>
        <v>0.2681746894535007</v>
      </c>
      <c r="V58">
        <f t="shared" si="150"/>
        <v>2</v>
      </c>
      <c r="W58">
        <f t="shared" si="151"/>
        <v>0</v>
      </c>
      <c r="X58">
        <f t="shared" si="152"/>
        <v>0.2681746894535007</v>
      </c>
      <c r="Z58" s="13">
        <v>5</v>
      </c>
      <c r="AA58" s="15" cm="1">
        <f t="array" ref="AA58">FRONTEND!$M11-$M$39*SUM($AA$45:$AE$50*AK39:AO44)</f>
        <v>0.44892863996139837</v>
      </c>
      <c r="AB58" s="15" cm="1">
        <f t="array" ref="AB58">FRONTEND!$N11-$M$39*SUM($AA$45:$AE$50*AL39:AP44)</f>
        <v>-0.42868680475884552</v>
      </c>
      <c r="AC58" s="14" cm="1">
        <f t="array" ref="AC58">FRONTEND!$O11-$M$39*SUM($AA$45:$AE$50*AM39:AQ44)</f>
        <v>0.26867435916697013</v>
      </c>
    </row>
    <row r="59">
      <c r="H59" s="11">
        <v>5</v>
      </c>
      <c r="I59" s="19">
        <f t="shared" si="148"/>
        <v>3.9314647214855474</v>
      </c>
      <c r="J59" s="12"/>
      <c r="T59">
        <v>3</v>
      </c>
      <c r="U59" s="1">
        <f t="shared" si="149"/>
        <v>0.3432904499076021</v>
      </c>
      <c r="V59">
        <f t="shared" si="150"/>
        <v>2</v>
      </c>
      <c r="W59">
        <f t="shared" si="151"/>
        <v>0</v>
      </c>
      <c r="X59">
        <f t="shared" si="152"/>
        <v>0.3432904499076021</v>
      </c>
    </row>
    <row r="60">
      <c r="H60" s="11">
        <v>6</v>
      </c>
      <c r="I60" s="19">
        <f t="shared" si="148"/>
        <v>1.9038574771198606</v>
      </c>
      <c r="J60" s="12"/>
      <c r="T60">
        <v>4</v>
      </c>
      <c r="U60" s="1">
        <f t="shared" si="149"/>
        <v>0.10760310780334223</v>
      </c>
      <c r="V60">
        <f t="shared" si="150"/>
        <v>1</v>
      </c>
      <c r="W60">
        <f t="shared" si="151"/>
        <v>0.10760310780334223</v>
      </c>
      <c r="X60">
        <f t="shared" si="152"/>
        <v>0</v>
      </c>
    </row>
    <row r="61" ht="26.25">
      <c r="H61" s="11">
        <v>7</v>
      </c>
      <c r="I61" s="23">
        <f t="shared" ref="I61:I66" si="153">I46</f>
        <v>3.1525815419781287</v>
      </c>
      <c r="J61" s="12"/>
      <c r="T61">
        <v>5</v>
      </c>
      <c r="U61" s="1">
        <f t="shared" si="149"/>
        <v>0.25629479627523688</v>
      </c>
      <c r="V61">
        <f t="shared" si="150"/>
        <v>1</v>
      </c>
      <c r="W61">
        <f t="shared" si="151"/>
        <v>0.25629479627523688</v>
      </c>
      <c r="X61">
        <f t="shared" si="152"/>
        <v>0</v>
      </c>
      <c r="AA61" s="6" t="s">
        <v>68</v>
      </c>
    </row>
    <row r="62" ht="26.25">
      <c r="H62" s="11">
        <v>8</v>
      </c>
      <c r="I62" s="23">
        <f t="shared" si="153"/>
        <v>1.6280402224266901</v>
      </c>
      <c r="J62" s="12"/>
      <c r="T62">
        <v>6</v>
      </c>
      <c r="U62" s="1">
        <f t="shared" si="149"/>
        <v>-0.45170029332589579</v>
      </c>
      <c r="V62">
        <f t="shared" si="150"/>
        <v>2</v>
      </c>
      <c r="W62">
        <f t="shared" si="151"/>
        <v>0</v>
      </c>
      <c r="X62">
        <f t="shared" si="152"/>
        <v>-0.45170029332589579</v>
      </c>
      <c r="AA62" s="6" t="s">
        <v>21</v>
      </c>
      <c r="AI62">
        <v>0</v>
      </c>
      <c r="AJ62">
        <v>0</v>
      </c>
      <c r="AK62">
        <v>0</v>
      </c>
    </row>
    <row r="63">
      <c r="H63" s="11">
        <v>9</v>
      </c>
      <c r="I63" s="23">
        <f t="shared" si="153"/>
        <v>1.7928731655774461</v>
      </c>
      <c r="J63" s="12"/>
      <c r="AA63" t="s">
        <v>43</v>
      </c>
      <c r="AB63" t="s">
        <v>83</v>
      </c>
      <c r="AI63">
        <v>0</v>
      </c>
      <c r="AJ63" s="29" cm="1">
        <f t="array" ref="AJ63:AJ68">FRONTEND!B26:B31</f>
        <v>0.36548104119790437</v>
      </c>
      <c r="AK63">
        <v>0</v>
      </c>
    </row>
    <row r="64">
      <c r="H64" s="11">
        <v>10</v>
      </c>
      <c r="I64" s="23">
        <f t="shared" si="153"/>
        <v>1.4191582675344068</v>
      </c>
      <c r="J64" s="12"/>
      <c r="T64" t="s">
        <v>77</v>
      </c>
      <c r="U64" s="23" t="s">
        <v>76</v>
      </c>
      <c r="W64" s="2" t="s">
        <v>335</v>
      </c>
      <c r="AA64">
        <v>1</v>
      </c>
      <c r="AI64">
        <v>0</v>
      </c>
      <c r="AJ64" s="30">
        <f/>
        <v>-0.24318936518565337</v>
      </c>
      <c r="AK64">
        <v>0</v>
      </c>
    </row>
    <row r="65">
      <c r="H65" s="11">
        <v>11</v>
      </c>
      <c r="I65" s="23">
        <f t="shared" si="153"/>
        <v>2.9653661415614172</v>
      </c>
      <c r="J65" s="12"/>
      <c r="U65">
        <v>1</v>
      </c>
      <c r="V65">
        <v>2</v>
      </c>
      <c r="W65" s="2">
        <v>2</v>
      </c>
      <c r="Z65">
        <v>1</v>
      </c>
      <c r="AA65" s="23">
        <f t="shared" ref="AA65:AA70" si="154">AB22*IF(AB22&gt;0,1,0)</f>
        <v>0</v>
      </c>
      <c r="AI65">
        <v>0</v>
      </c>
      <c r="AJ65" s="30">
        <f/>
        <v>0.086633902217030781</v>
      </c>
      <c r="AK65">
        <v>0</v>
      </c>
    </row>
    <row r="66">
      <c r="H66" s="13">
        <v>12</v>
      </c>
      <c r="I66" s="28">
        <f t="shared" si="153"/>
        <v>1.4064988787825257</v>
      </c>
      <c r="J66" s="14"/>
      <c r="T66">
        <v>1</v>
      </c>
      <c r="U66">
        <f t="shared" ref="U66:U71" si="155">$U48*1/$W$65</f>
        <v>0.024897186374374027</v>
      </c>
      <c r="V66">
        <f t="shared" ref="V66:V71" si="156">$U48*1/$W$65</f>
        <v>0.024897186374374027</v>
      </c>
      <c r="Z66">
        <v>2</v>
      </c>
      <c r="AA66" s="23">
        <f t="shared" si="154"/>
        <v>0</v>
      </c>
      <c r="AI66">
        <v>0</v>
      </c>
      <c r="AJ66" s="30">
        <f/>
        <v>-0.84368679885201792</v>
      </c>
      <c r="AK66">
        <v>0</v>
      </c>
    </row>
    <row r="67">
      <c r="T67">
        <v>2</v>
      </c>
      <c r="U67">
        <f t="shared" si="155"/>
        <v>-0.084915432550730113</v>
      </c>
      <c r="V67">
        <f t="shared" si="156"/>
        <v>-0.084915432550730113</v>
      </c>
      <c r="Z67">
        <v>3</v>
      </c>
      <c r="AA67" s="23">
        <f t="shared" si="154"/>
        <v>0</v>
      </c>
      <c r="AI67">
        <v>0</v>
      </c>
      <c r="AJ67" s="30">
        <f/>
        <v>0.17422066566536737</v>
      </c>
      <c r="AK67">
        <v>0</v>
      </c>
    </row>
    <row r="68">
      <c r="T68">
        <v>3</v>
      </c>
      <c r="U68">
        <f t="shared" si="155"/>
        <v>-0.15653177249590422</v>
      </c>
      <c r="V68">
        <f t="shared" si="156"/>
        <v>-0.15653177249590422</v>
      </c>
      <c r="Z68">
        <v>4</v>
      </c>
      <c r="AA68" s="23">
        <f t="shared" si="154"/>
        <v>0</v>
      </c>
      <c r="AI68">
        <v>0</v>
      </c>
      <c r="AJ68" s="31">
        <f/>
        <v>0.46054055495736873</v>
      </c>
      <c r="AK68">
        <v>0</v>
      </c>
    </row>
    <row r="69">
      <c r="T69">
        <v>4</v>
      </c>
      <c r="U69">
        <f t="shared" si="155"/>
        <v>-0.096638438453465786</v>
      </c>
      <c r="V69">
        <f t="shared" si="156"/>
        <v>-0.096638438453465786</v>
      </c>
      <c r="Z69">
        <v>5</v>
      </c>
      <c r="AA69" s="23">
        <f t="shared" si="154"/>
        <v>0</v>
      </c>
      <c r="AI69">
        <v>0</v>
      </c>
      <c r="AJ69">
        <v>0</v>
      </c>
      <c r="AK69">
        <v>0</v>
      </c>
    </row>
    <row r="70">
      <c r="T70">
        <v>5</v>
      </c>
      <c r="U70">
        <f t="shared" si="155"/>
        <v>-0.059956618531802397</v>
      </c>
      <c r="V70">
        <f t="shared" si="156"/>
        <v>-0.059956618531802397</v>
      </c>
      <c r="Z70">
        <v>6</v>
      </c>
      <c r="AA70" s="23">
        <f t="shared" si="154"/>
        <v>0</v>
      </c>
    </row>
    <row r="71">
      <c r="T71">
        <v>6</v>
      </c>
      <c r="U71">
        <f t="shared" si="155"/>
        <v>0.040735369253453321</v>
      </c>
      <c r="V71">
        <f t="shared" si="156"/>
        <v>0.040735369253453321</v>
      </c>
    </row>
    <row r="72">
      <c r="Z72" s="7"/>
      <c r="AA72" s="10" t="s">
        <v>22</v>
      </c>
      <c r="AB72" t="s">
        <v>84</v>
      </c>
      <c r="AC72" s="7"/>
      <c r="AD72" s="10" t="s">
        <v>23</v>
      </c>
      <c r="AE72" t="s">
        <v>85</v>
      </c>
    </row>
    <row r="73">
      <c r="T73" s="7"/>
      <c r="U73" s="18" t="s">
        <v>82</v>
      </c>
      <c r="V73" s="9"/>
      <c r="W73" t="s">
        <v>77</v>
      </c>
      <c r="Z73" s="11"/>
      <c r="AA73" s="12">
        <v>1</v>
      </c>
      <c r="AC73" s="11"/>
      <c r="AD73" s="12">
        <v>1</v>
      </c>
    </row>
    <row r="74">
      <c r="T74" s="11"/>
      <c r="U74">
        <v>1</v>
      </c>
      <c r="V74" s="12">
        <v>2</v>
      </c>
      <c r="Z74" s="11">
        <v>1</v>
      </c>
      <c r="AA74" s="12" cm="1">
        <f t="array" ref="AA74">FRONTEND!T7-$M39*SUM($AA$65:$AA$70*AJ62:AJ67)</f>
        <v>0.122</v>
      </c>
      <c r="AC74" s="13">
        <v>1</v>
      </c>
      <c r="AD74" s="14">
        <f>FRONTEND!$W$7-$M$39*SUM(AB22:AB27)</f>
        <v>1.1020597764615307</v>
      </c>
    </row>
    <row r="75">
      <c r="T75" s="11">
        <v>1</v>
      </c>
      <c r="U75" s="19">
        <f t="shared" ref="U75:V80" si="157">W57+U66</f>
        <v>0.25854997551608538</v>
      </c>
      <c r="V75" s="16">
        <f>X57+V66</f>
        <v>0.024897186374374027</v>
      </c>
      <c r="Z75" s="11">
        <v>2</v>
      </c>
      <c r="AA75" s="12" cm="1">
        <f t="array" ref="AA75">FRONTEND!T8-$M40*SUM($AA$65:$AA$70*AJ63:AJ68)</f>
        <v>0.51600000000000001</v>
      </c>
    </row>
    <row r="76">
      <c r="T76" s="11">
        <v>2</v>
      </c>
      <c r="U76" s="19">
        <f t="shared" si="157"/>
        <v>-0.084915432550730113</v>
      </c>
      <c r="V76" s="16">
        <f t="shared" si="157"/>
        <v>0.18325925690277059</v>
      </c>
      <c r="Z76" s="13">
        <v>3</v>
      </c>
      <c r="AA76" s="14" cm="1">
        <f t="array" ref="AA76">FRONTEND!T9-$M41*SUM($AA$65:$AA$70*AJ64:AJ69)</f>
        <v>-0.97699999999999998</v>
      </c>
    </row>
    <row r="77">
      <c r="T77" s="11">
        <v>3</v>
      </c>
      <c r="U77" s="19">
        <f t="shared" si="157"/>
        <v>-0.15653177249590422</v>
      </c>
      <c r="V77" s="16">
        <f t="shared" si="157"/>
        <v>0.18675867741169788</v>
      </c>
    </row>
    <row r="78">
      <c r="T78" s="11">
        <v>4</v>
      </c>
      <c r="U78" s="19">
        <f t="shared" si="157"/>
        <v>0.010964669349876444</v>
      </c>
      <c r="V78" s="16">
        <f t="shared" si="157"/>
        <v>-0.096638438453465786</v>
      </c>
    </row>
    <row r="79">
      <c r="T79" s="11">
        <v>5</v>
      </c>
      <c r="U79" s="19">
        <f t="shared" si="157"/>
        <v>0.19633817774343448</v>
      </c>
      <c r="V79" s="16">
        <f t="shared" si="157"/>
        <v>-0.059956618531802397</v>
      </c>
    </row>
    <row r="80">
      <c r="T80" s="13">
        <v>6</v>
      </c>
      <c r="U80" s="20">
        <f t="shared" si="157"/>
        <v>0.040735369253453321</v>
      </c>
      <c r="V80" s="17">
        <f t="shared" si="157"/>
        <v>-0.41096492407244245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55" zoomScale="100" workbookViewId="0">
      <selection activeCell="AE85" activeCellId="0" sqref="AE85"/>
    </sheetView>
  </sheetViews>
  <sheetFormatPr defaultRowHeight="15"/>
  <cols>
    <col customWidth="1" min="37" max="37" width="9.140625"/>
    <col customWidth="1" min="38" max="38" width="1.85546875"/>
    <col customWidth="1" min="39" max="39" width="9.5703125"/>
    <col bestFit="1" customWidth="1" min="40" max="40" width="13.140625"/>
    <col customWidth="1" min="42" max="42" width="12"/>
    <col bestFit="1" customWidth="1" min="43" max="44" width="13.85546875"/>
    <col customWidth="1" min="45" max="45" width="10.85546875"/>
    <col customWidth="1" min="46" max="46" width="1.85546875"/>
    <col bestFit="1" customWidth="1" min="47" max="47" width="13.140625"/>
    <col bestFit="1" customWidth="1" min="49" max="49" width="13.140625"/>
    <col bestFit="1" customWidth="1" min="51" max="51" width="13.140625"/>
    <col bestFit="1" customWidth="1" min="54" max="54" width="13.85546875"/>
    <col bestFit="1" customWidth="1" min="57" max="57" width="13.85546875"/>
    <col bestFit="1" customWidth="1" min="59" max="59" width="13.85546875"/>
    <col bestFit="1" customWidth="1" min="61" max="61" width="13.85546875"/>
  </cols>
  <sheetData>
    <row r="2" ht="26.25">
      <c r="B2" s="7"/>
      <c r="C2" s="18" t="s">
        <v>35</v>
      </c>
      <c r="D2" s="9"/>
      <c r="L2" s="6" t="s">
        <v>19</v>
      </c>
      <c r="W2" s="6" t="s">
        <v>19</v>
      </c>
      <c r="AE2" s="6" t="s">
        <v>37</v>
      </c>
      <c r="AK2" s="6" t="s">
        <v>37</v>
      </c>
      <c r="BL2" s="6" t="s">
        <v>68</v>
      </c>
    </row>
    <row r="3" ht="26.25">
      <c r="B3" s="11"/>
      <c r="C3">
        <v>1</v>
      </c>
      <c r="D3" s="12">
        <v>2</v>
      </c>
      <c r="L3" s="6" t="s">
        <v>86</v>
      </c>
      <c r="W3" s="6" t="s">
        <v>38</v>
      </c>
      <c r="AE3" s="6" t="s">
        <v>38</v>
      </c>
      <c r="AK3" s="6" t="s">
        <v>86</v>
      </c>
      <c r="BL3" s="6" t="s">
        <v>20</v>
      </c>
    </row>
    <row r="4">
      <c r="B4" s="11">
        <v>1</v>
      </c>
      <c r="C4" s="19" cm="1">
        <f t="array" ref="C4:D9">FRONTEND!M49:N54</f>
        <v>4.0296676785617889</v>
      </c>
      <c r="D4" s="16">
        <f/>
        <v>1.426184227044502</v>
      </c>
      <c r="K4" t="s">
        <v>87</v>
      </c>
      <c r="BL4" t="s">
        <v>73</v>
      </c>
      <c r="BN4" t="s">
        <v>25</v>
      </c>
      <c r="BO4" t="s">
        <v>74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ht="21">
      <c r="B5" s="11">
        <v>2</v>
      </c>
      <c r="C5" s="19">
        <f/>
        <v>3.1757752467270279</v>
      </c>
      <c r="D5" s="16">
        <f/>
        <v>0.83446165212430812</v>
      </c>
      <c r="K5" s="7"/>
      <c r="L5" s="9" t="s">
        <v>88</v>
      </c>
      <c r="N5" s="2" t="s">
        <v>89</v>
      </c>
      <c r="O5">
        <v>2</v>
      </c>
      <c r="P5" t="s">
        <v>90</v>
      </c>
      <c r="W5" t="s">
        <v>3</v>
      </c>
      <c r="Y5" s="7"/>
      <c r="Z5" s="18" t="s">
        <v>40</v>
      </c>
      <c r="AA5" s="8"/>
      <c r="AB5" s="9"/>
      <c r="AD5" s="7"/>
      <c r="AE5" s="8" t="s">
        <v>41</v>
      </c>
      <c r="AF5" s="9" t="s">
        <v>42</v>
      </c>
      <c r="AK5" s="32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32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75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>
      <c r="B6" s="11">
        <v>3</v>
      </c>
      <c r="C6" s="19">
        <f/>
        <v>3.3789276309323317</v>
      </c>
      <c r="D6" s="16">
        <f/>
        <v>1.8393159934697598</v>
      </c>
      <c r="K6" s="11"/>
      <c r="L6" s="12">
        <v>1</v>
      </c>
      <c r="N6" s="2" t="s">
        <v>102</v>
      </c>
      <c r="O6">
        <v>2</v>
      </c>
      <c r="P6" t="s">
        <v>103</v>
      </c>
      <c r="W6">
        <v>1</v>
      </c>
      <c r="Y6" s="11"/>
      <c r="Z6">
        <v>1</v>
      </c>
      <c r="AA6">
        <v>2</v>
      </c>
      <c r="AB6" s="12">
        <v>3</v>
      </c>
      <c r="AD6" s="11"/>
      <c r="AE6">
        <v>1</v>
      </c>
      <c r="AF6" s="12"/>
      <c r="AJ6" t="s">
        <v>104</v>
      </c>
      <c r="AK6" s="33" t="s">
        <v>105</v>
      </c>
      <c r="AL6" s="33"/>
      <c r="AM6" t="s">
        <v>106</v>
      </c>
      <c r="AN6" s="34" t="s">
        <v>107</v>
      </c>
      <c r="AO6" s="34" t="s">
        <v>108</v>
      </c>
      <c r="AP6" s="34" t="s">
        <v>109</v>
      </c>
      <c r="AQ6" s="34" t="s">
        <v>110</v>
      </c>
      <c r="AR6" s="34" t="s">
        <v>111</v>
      </c>
      <c r="AS6" s="34" t="s">
        <v>112</v>
      </c>
      <c r="AT6" s="33"/>
      <c r="AU6" t="s">
        <v>113</v>
      </c>
      <c r="AV6" t="s">
        <v>114</v>
      </c>
      <c r="AW6" s="35" t="s">
        <v>115</v>
      </c>
      <c r="AX6" s="36" t="s">
        <v>116</v>
      </c>
      <c r="AY6" t="s">
        <v>117</v>
      </c>
      <c r="AZ6" s="37" t="s">
        <v>118</v>
      </c>
      <c r="BA6" t="s">
        <v>119</v>
      </c>
      <c r="BB6" s="35" t="s">
        <v>120</v>
      </c>
      <c r="BC6" s="36" t="s">
        <v>121</v>
      </c>
      <c r="BD6" t="s">
        <v>122</v>
      </c>
      <c r="BE6" s="37" t="s">
        <v>123</v>
      </c>
      <c r="BF6" t="s">
        <v>124</v>
      </c>
      <c r="BG6" s="35" t="s">
        <v>125</v>
      </c>
      <c r="BH6" s="36" t="s">
        <v>126</v>
      </c>
      <c r="BI6" t="s">
        <v>127</v>
      </c>
      <c r="BK6">
        <v>1</v>
      </c>
      <c r="BL6" s="19" cm="1">
        <f t="array" ref="BL6:BL11">AU56:AU61</f>
        <v>0.050890062870490319</v>
      </c>
      <c r="BM6">
        <f>MATCH(MAX(FRONTEND!$M28:$Q28),FRONTEND!$M28:$Q28,0)</f>
        <v>4</v>
      </c>
      <c r="BN6">
        <f t="shared" ref="BN6:BN11" si="158">IF($BM6=BN$5,$BL6,0)</f>
        <v>0</v>
      </c>
      <c r="BO6">
        <f t="shared" ref="BO6:BR11" si="159">IF($BM6=BO$5,$BL6,0)</f>
        <v>0</v>
      </c>
      <c r="BP6">
        <f t="shared" si="159"/>
        <v>0</v>
      </c>
      <c r="BQ6">
        <f t="shared" si="159"/>
        <v>0.050890062870490319</v>
      </c>
      <c r="BR6">
        <f t="shared" si="159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K7" s="11">
        <v>1</v>
      </c>
      <c r="L7" s="12">
        <v>0.80500000000000005</v>
      </c>
      <c r="V7">
        <v>1</v>
      </c>
      <c r="W7" s="19">
        <f t="shared" ref="W7:W18" si="160">K74</f>
        <v>0.60856989533920758</v>
      </c>
      <c r="Y7" s="11">
        <v>1</v>
      </c>
      <c r="Z7" s="38">
        <v>-0.13400000000000001</v>
      </c>
      <c r="AA7" s="38">
        <v>-0.67100000000000004</v>
      </c>
      <c r="AB7" s="39">
        <v>-0.77800000000000002</v>
      </c>
      <c r="AD7" s="11">
        <v>1</v>
      </c>
      <c r="AE7" s="1">
        <f>-1/3*((2/(1+DATA!$I$16))*X34/W28-((2*DATA!$I$16)/(1+DATA!$I$16))*(1-X34)*(1-W28))</f>
        <v>-1.3425747080782457</v>
      </c>
      <c r="AF7" s="12"/>
      <c r="AK7" s="33">
        <v>1</v>
      </c>
      <c r="AL7" s="33"/>
      <c r="AM7">
        <v>1</v>
      </c>
      <c r="AN7" s="34">
        <v>1</v>
      </c>
      <c r="AO7" s="34">
        <v>1</v>
      </c>
      <c r="AP7" s="34">
        <v>1</v>
      </c>
      <c r="AQ7" s="34">
        <v>1</v>
      </c>
      <c r="AR7" s="34">
        <v>1</v>
      </c>
      <c r="AS7" s="34">
        <v>1</v>
      </c>
      <c r="AT7" s="33"/>
      <c r="AU7">
        <v>1</v>
      </c>
      <c r="AV7">
        <v>2</v>
      </c>
      <c r="AW7" s="35">
        <v>1</v>
      </c>
      <c r="AX7" s="36">
        <v>2</v>
      </c>
      <c r="AY7">
        <v>1</v>
      </c>
      <c r="AZ7" s="37">
        <v>1</v>
      </c>
      <c r="BA7">
        <v>2</v>
      </c>
      <c r="BB7" s="35">
        <v>1</v>
      </c>
      <c r="BC7" s="36">
        <v>2</v>
      </c>
      <c r="BD7">
        <v>1</v>
      </c>
      <c r="BE7" s="37">
        <v>1</v>
      </c>
      <c r="BF7">
        <v>2</v>
      </c>
      <c r="BG7" s="35">
        <v>1</v>
      </c>
      <c r="BH7" s="36">
        <v>2</v>
      </c>
      <c r="BI7">
        <v>1</v>
      </c>
      <c r="BK7">
        <v>2</v>
      </c>
      <c r="BL7" s="19">
        <f/>
        <v>0.040980476017124352</v>
      </c>
      <c r="BM7">
        <f>MATCH(MAX(FRONTEND!$M29:$Q29),FRONTEND!$M29:$Q29,0)</f>
        <v>2</v>
      </c>
      <c r="BN7">
        <f t="shared" si="158"/>
        <v>0</v>
      </c>
      <c r="BO7">
        <f t="shared" si="159"/>
        <v>0.040980476017124352</v>
      </c>
      <c r="BP7">
        <f t="shared" si="159"/>
        <v>0</v>
      </c>
      <c r="BQ7">
        <f t="shared" si="159"/>
        <v>0</v>
      </c>
      <c r="BR7">
        <f t="shared" si="159"/>
        <v>0</v>
      </c>
      <c r="BT7">
        <v>0</v>
      </c>
      <c r="BU7">
        <v>0</v>
      </c>
      <c r="BV7">
        <v>0</v>
      </c>
      <c r="BW7" s="7" cm="1">
        <f t="array" ref="BW7:CA12">FRONTEND!$B$4:$F$9</f>
        <v>0.098070127981472688</v>
      </c>
      <c r="BX7" s="8">
        <f/>
        <v>0.76989837351610546</v>
      </c>
      <c r="BY7" s="8">
        <f/>
        <v>1.0888675284528564</v>
      </c>
      <c r="BZ7" s="8">
        <f/>
        <v>0.41864132753818439</v>
      </c>
      <c r="CA7" s="9">
        <f/>
        <v>-0.54807215149909738</v>
      </c>
      <c r="CB7">
        <v>0</v>
      </c>
      <c r="CC7">
        <v>0</v>
      </c>
      <c r="CD7">
        <v>0</v>
      </c>
    </row>
    <row r="8">
      <c r="B8" s="11">
        <v>5</v>
      </c>
      <c r="C8" s="19">
        <f/>
        <v>4.5198656803290973</v>
      </c>
      <c r="D8" s="16">
        <f/>
        <v>0.53701995183003415</v>
      </c>
      <c r="K8" s="13">
        <v>2</v>
      </c>
      <c r="L8" s="14">
        <v>-0.97699999999999998</v>
      </c>
      <c r="V8">
        <v>2</v>
      </c>
      <c r="W8" s="19">
        <f t="shared" si="160"/>
        <v>0.94880195131128564</v>
      </c>
      <c r="Y8" s="11">
        <v>2</v>
      </c>
      <c r="Z8" s="38">
        <v>-0.94499999999999995</v>
      </c>
      <c r="AA8" s="38">
        <v>-0.040000000000000001</v>
      </c>
      <c r="AB8" s="39">
        <v>0.99099999999999999</v>
      </c>
      <c r="AD8" s="11">
        <v>2</v>
      </c>
      <c r="AE8" s="1">
        <f>-1/3*((2/(1+DATA!$I$16))*X35/W29-((2*DATA!$I$16)/(1+DATA!$I$16))*(1-X35)*(1-W29))</f>
        <v>0.017385605626435603</v>
      </c>
      <c r="AF8" s="12"/>
      <c r="AJ8">
        <v>1</v>
      </c>
      <c r="AK8" s="40" cm="1">
        <f t="array" ref="AK8:AK9">AE94:AE95</f>
        <v>0.015918469712969587</v>
      </c>
      <c r="AL8" s="33"/>
      <c r="AM8" cm="1">
        <f t="array" ref="AM8:AM9">_xlfn.ANCHORARRAY(AK8)*(1-$O$59:$O$60)</f>
        <v>0.0054090946280509408</v>
      </c>
      <c r="AN8" s="34" cm="1">
        <f t="array" ref="AN8:AN9">_xlfn.ANCHORARRAY(AM8)*(1-$R$59:$R$60*$R$59:$R$60)</f>
        <v>0.0053470125081467061</v>
      </c>
      <c r="AO8" s="34" cm="1">
        <f t="array" ref="AO8:AO9">_xlfn.ANCHORARRAY(AK8)*(_xlfn.ANCHORARRAY(T53)-$R$59:$R$60)</f>
        <v>-0.0063837759630260898</v>
      </c>
      <c r="AP8" s="34" cm="1">
        <f t="array" ref="AP8:AP9">_xlfn.ANCHORARRAY(AO8)*($O$59:$O$60*(1-$O$59:$O$60))</f>
        <v>-0.0014321103317208707</v>
      </c>
      <c r="AQ8" s="34" cm="1">
        <f t="array" ref="AQ8:AQ9">MMULT(TRANSPOSE($P$23:$Q$24),_xlfn.ANCHORARRAY($AN$8))*_xlfn.ANCHORARRAY($T$53)</f>
        <v>-0.0018919812699227517</v>
      </c>
      <c r="AR8" s="34" cm="1">
        <f t="array" ref="AR8:AR9">_xlfn.ANCHORARRAY($AQ$8)*($L$59:$L$60*(1-$L$59:$L$60))</f>
        <v>-0.00023583814680679254</v>
      </c>
      <c r="AS8" s="34" cm="1">
        <f t="array" ref="AS8:AS9">_xlfn.ANCHORARRAY(AK8)*$O$59:$O$60+MMULT(TRANSPOSE($P$23:$Q$24),_xlfn.ANCHORARRAY(AN8))*$L$59:$L$60+MMULT(TRANSPOSE($P$18:$Q$19),_xlfn.ANCHORARRAY(AP8))+MMULT(TRANSPOSE($P$13:$Q$14),_xlfn.ANCHORARRAY(AR8))</f>
        <v>0.013695299119954367</v>
      </c>
      <c r="AT8" s="33"/>
      <c r="AU8" cm="1">
        <f t="array" ref="AU8:AV9">MMULT(_xlfn.ANCHORARRAY(AN8),TRANSPOSE($H$14:$H$15))</f>
        <v>0.016330154360940784</v>
      </c>
      <c r="AV8">
        <f/>
        <v>0.0067313211493813226</v>
      </c>
      <c r="AW8" s="35" cm="1">
        <f t="array" ref="AW8:AX9">MMULT(_xlfn.ANCHORARRAY(AN8),TRANSPOSE($L$59:$L$60*_xlfn.ANCHORARRAY($T$53)))</f>
        <v>-0.0023205696269484196</v>
      </c>
      <c r="AX8" s="36">
        <f/>
        <v>0.0044077714672523804</v>
      </c>
      <c r="AY8" cm="1">
        <f t="array" ref="AY8:AY9">_xlfn.ANCHORARRAY(AN8)</f>
        <v>0.0053470125081467061</v>
      </c>
      <c r="AZ8" s="37" cm="1">
        <f t="array" ref="AZ8:BA9">MMULT(_xlfn.ANCHORARRAY(AP8),TRANSPOSE(H14:H15))</f>
        <v>-0.0043737662373649101</v>
      </c>
      <c r="BA8">
        <f/>
        <v>-0.0018028748856436575</v>
      </c>
      <c r="BB8" s="35" cm="1">
        <f t="array" ref="BB8:BC9">MMULT(_xlfn.ANCHORARRAY(AP8),TRANSPOSE(_xlfn.ANCHORARRAY($T$53)))</f>
        <v>0.00072774395972983997</v>
      </c>
      <c r="BC8" s="36">
        <f/>
        <v>-0.0014261308197730347</v>
      </c>
      <c r="BD8" cm="1">
        <f t="array" ref="BD8:BD9">_xlfn.ANCHORARRAY(AP8)</f>
        <v>-0.0014321103317208707</v>
      </c>
      <c r="BE8" s="37" cm="1">
        <f t="array" ref="BE8:BF9">MMULT(_xlfn.ANCHORARRAY(AR8),TRANSPOSE($H$14:$H$15))</f>
        <v>-0.00072026637971864434</v>
      </c>
      <c r="BF8">
        <f/>
        <v>-0.00029689519203718751</v>
      </c>
      <c r="BG8" s="35" cm="1">
        <f t="array" ref="BG8:BH9">MMULT(_xlfn.ANCHORARRAY(AR8),TRANSPOSE(_xlfn.ANCHORARRAY($T$53)))</f>
        <v>0.00011984396942817005</v>
      </c>
      <c r="BH8" s="36">
        <f/>
        <v>-0.00023485344822222736</v>
      </c>
      <c r="BI8" cm="1">
        <f t="array" ref="BI8:BI9">_xlfn.ANCHORARRAY(AR8)</f>
        <v>-0.00023583814680679254</v>
      </c>
      <c r="BK8">
        <v>3</v>
      </c>
      <c r="BL8" s="19">
        <f/>
        <v>0.026940477659322011</v>
      </c>
      <c r="BM8">
        <f>MATCH(MAX(FRONTEND!$M30:$Q30),FRONTEND!$M30:$Q30,0)</f>
        <v>3</v>
      </c>
      <c r="BN8">
        <f t="shared" si="158"/>
        <v>0</v>
      </c>
      <c r="BO8">
        <f t="shared" si="159"/>
        <v>0</v>
      </c>
      <c r="BP8">
        <f t="shared" si="159"/>
        <v>0.026940477659322011</v>
      </c>
      <c r="BQ8">
        <f t="shared" si="159"/>
        <v>0</v>
      </c>
      <c r="BR8">
        <f t="shared" si="159"/>
        <v>0</v>
      </c>
      <c r="BT8">
        <v>0</v>
      </c>
      <c r="BU8">
        <v>0</v>
      </c>
      <c r="BV8">
        <v>0</v>
      </c>
      <c r="BW8" s="11">
        <f/>
        <v>0.3947945813296071</v>
      </c>
      <c r="BX8">
        <f/>
        <v>0.76298402984034686</v>
      </c>
      <c r="BY8">
        <f/>
        <v>-1.5092547447204521</v>
      </c>
      <c r="BZ8">
        <f/>
        <v>0.78695236170270555</v>
      </c>
      <c r="CA8" s="12">
        <f/>
        <v>-1.6514230540804744</v>
      </c>
      <c r="CB8">
        <v>0</v>
      </c>
      <c r="CC8">
        <v>0</v>
      </c>
      <c r="CD8">
        <v>0</v>
      </c>
    </row>
    <row r="9">
      <c r="B9" s="13">
        <v>6</v>
      </c>
      <c r="C9" s="20">
        <f/>
        <v>3.0540707238032767</v>
      </c>
      <c r="D9" s="17">
        <f/>
        <v>1.2588938475691771</v>
      </c>
      <c r="V9">
        <v>3</v>
      </c>
      <c r="W9" s="19">
        <f t="shared" si="160"/>
        <v>0.99745141029449336</v>
      </c>
      <c r="Y9" s="11">
        <v>3</v>
      </c>
      <c r="Z9" s="38">
        <v>-0.62</v>
      </c>
      <c r="AA9" s="38">
        <v>0.312</v>
      </c>
      <c r="AB9" s="39">
        <v>-0.121</v>
      </c>
      <c r="AD9" s="13">
        <v>3</v>
      </c>
      <c r="AE9" s="24">
        <f>-1/3*((2/(1+DATA!$I$16))*X36/W30-((2*DATA!$I$16)/(1+DATA!$I$16))*(1-X36)*(1-W30))</f>
        <v>-0.68263746291027205</v>
      </c>
      <c r="AF9" s="14"/>
      <c r="AJ9">
        <v>2</v>
      </c>
      <c r="AK9" s="41">
        <f/>
        <v>-0.18405015923934487</v>
      </c>
      <c r="AL9" s="33"/>
      <c r="AM9">
        <f/>
        <v>-0.16949691974839218</v>
      </c>
      <c r="AN9" s="34">
        <f/>
        <v>-0.00025639708469544668</v>
      </c>
      <c r="AO9" s="34">
        <f/>
        <v>0.00062920888610017395</v>
      </c>
      <c r="AP9" s="34">
        <f/>
        <v>4.5818824054582567e-05</v>
      </c>
      <c r="AQ9" s="34">
        <f/>
        <v>0.0037180971484493813</v>
      </c>
      <c r="AR9" s="34">
        <f/>
        <v>0.00053000623512148399</v>
      </c>
      <c r="AS9" s="34">
        <f/>
        <v>-0.012559587375184471</v>
      </c>
      <c r="AT9" s="33"/>
      <c r="AU9">
        <f/>
        <v>-0.00078305483003687283</v>
      </c>
      <c r="AV9">
        <f/>
        <v>-0.00032277671245777104</v>
      </c>
      <c r="AW9" s="35">
        <f/>
        <v>0.00011127471392218601</v>
      </c>
      <c r="AX9" s="36">
        <f/>
        <v>-0.00021135910052303062</v>
      </c>
      <c r="AY9">
        <f/>
        <v>-0.00025639708469544668</v>
      </c>
      <c r="AZ9" s="37">
        <f/>
        <v>0.00013993392914419397</v>
      </c>
      <c r="BA9">
        <f/>
        <v>5.7681035705168611e-05</v>
      </c>
      <c r="BB9" s="35">
        <f/>
        <v>-2.3283382368716707e-05</v>
      </c>
      <c r="BC9" s="36">
        <f/>
        <v>4.5627516024885611e-05</v>
      </c>
      <c r="BD9">
        <f/>
        <v>4.5818824054582567e-05</v>
      </c>
      <c r="BE9" s="37">
        <f/>
        <v>0.0016186765261177202</v>
      </c>
      <c r="BF9">
        <f/>
        <v>0.00066722158856773889</v>
      </c>
      <c r="BG9" s="35">
        <f/>
        <v>-0.000269328994900367</v>
      </c>
      <c r="BH9" s="36">
        <f/>
        <v>0.00052779329206455606</v>
      </c>
      <c r="BI9">
        <f/>
        <v>0.00053000623512148399</v>
      </c>
      <c r="BK9">
        <v>4</v>
      </c>
      <c r="BL9" s="19">
        <f/>
        <v>0.01186686443658775</v>
      </c>
      <c r="BM9">
        <f>MATCH(MAX(FRONTEND!$M31:$Q31),FRONTEND!$M31:$Q31,0)</f>
        <v>4</v>
      </c>
      <c r="BN9">
        <f t="shared" si="158"/>
        <v>0</v>
      </c>
      <c r="BO9">
        <f t="shared" si="159"/>
        <v>0</v>
      </c>
      <c r="BP9">
        <f t="shared" si="159"/>
        <v>0</v>
      </c>
      <c r="BQ9">
        <f t="shared" si="159"/>
        <v>0.01186686443658775</v>
      </c>
      <c r="BR9">
        <f t="shared" si="159"/>
        <v>0</v>
      </c>
      <c r="BT9">
        <v>0</v>
      </c>
      <c r="BU9">
        <v>0</v>
      </c>
      <c r="BV9">
        <v>0</v>
      </c>
      <c r="BW9" s="11">
        <f/>
        <v>1.2610501600821225</v>
      </c>
      <c r="BX9">
        <f/>
        <v>1.0201001967063095</v>
      </c>
      <c r="BY9">
        <f/>
        <v>0.20946802791688546</v>
      </c>
      <c r="BZ9">
        <f/>
        <v>-1.5474479187727208</v>
      </c>
      <c r="CA9" s="12">
        <f/>
        <v>-0.51000095484744268</v>
      </c>
      <c r="CB9">
        <v>0</v>
      </c>
      <c r="CC9">
        <v>0</v>
      </c>
      <c r="CD9">
        <v>0</v>
      </c>
    </row>
    <row r="10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19">
        <f t="shared" si="160"/>
        <v>0.9714887658606689</v>
      </c>
      <c r="Y10" s="11">
        <v>4</v>
      </c>
      <c r="Z10" s="38">
        <v>-0.29099999999999998</v>
      </c>
      <c r="AA10" s="38">
        <v>-0.20200000000000001</v>
      </c>
      <c r="AB10" s="39">
        <v>0.186</v>
      </c>
      <c r="AK10" s="33"/>
      <c r="AL10" s="33"/>
      <c r="AN10" s="34"/>
      <c r="AO10" s="34"/>
      <c r="AP10" s="34"/>
      <c r="AQ10" s="34"/>
      <c r="AR10" s="34"/>
      <c r="AS10" s="34"/>
      <c r="AT10" s="33"/>
      <c r="AW10" s="35"/>
      <c r="AX10" s="36"/>
      <c r="AZ10" s="37"/>
      <c r="BB10" s="35"/>
      <c r="BC10" s="36"/>
      <c r="BE10" s="37"/>
      <c r="BG10" s="35"/>
      <c r="BH10" s="36"/>
      <c r="BK10">
        <v>5</v>
      </c>
      <c r="BL10" s="19">
        <f/>
        <v>0.0010550624522317365</v>
      </c>
      <c r="BM10">
        <f>MATCH(MAX(FRONTEND!$M32:$Q32),FRONTEND!$M32:$Q32,0)</f>
        <v>1</v>
      </c>
      <c r="BN10">
        <f t="shared" si="158"/>
        <v>0.0010550624522317365</v>
      </c>
      <c r="BO10">
        <f t="shared" si="159"/>
        <v>0</v>
      </c>
      <c r="BP10">
        <f t="shared" si="159"/>
        <v>0</v>
      </c>
      <c r="BQ10">
        <f t="shared" si="159"/>
        <v>0</v>
      </c>
      <c r="BR10">
        <f t="shared" si="159"/>
        <v>0</v>
      </c>
      <c r="BT10">
        <v>0</v>
      </c>
      <c r="BU10">
        <v>0</v>
      </c>
      <c r="BV10">
        <v>0</v>
      </c>
      <c r="BW10" s="11">
        <f/>
        <v>-1.914822845899089</v>
      </c>
      <c r="BX10">
        <f/>
        <v>-0.96507706088431011</v>
      </c>
      <c r="BY10">
        <f/>
        <v>-0.73600695036684105</v>
      </c>
      <c r="BZ10">
        <f/>
        <v>-1.2146668976505628</v>
      </c>
      <c r="CA10" s="12">
        <f/>
        <v>0.61213976054071273</v>
      </c>
      <c r="CB10">
        <v>0</v>
      </c>
      <c r="CC10">
        <v>0</v>
      </c>
      <c r="CD10">
        <v>0</v>
      </c>
    </row>
    <row r="11" ht="21">
      <c r="K11" s="7"/>
      <c r="L11" s="8" t="s">
        <v>130</v>
      </c>
      <c r="M11" s="9"/>
      <c r="O11" s="7"/>
      <c r="P11" s="8" t="s">
        <v>131</v>
      </c>
      <c r="Q11" s="9"/>
      <c r="S11" s="7"/>
      <c r="T11" s="9" t="s">
        <v>132</v>
      </c>
      <c r="V11">
        <v>5</v>
      </c>
      <c r="W11" s="19">
        <f t="shared" si="160"/>
        <v>0.99582468486163989</v>
      </c>
      <c r="Y11" s="11">
        <v>5</v>
      </c>
      <c r="Z11" s="38">
        <v>-0.57699999999999996</v>
      </c>
      <c r="AA11" s="38">
        <v>-0.185</v>
      </c>
      <c r="AB11" s="39">
        <v>0.17299999999999999</v>
      </c>
      <c r="AK11" s="44" t="s">
        <v>133</v>
      </c>
      <c r="AL11" s="33"/>
      <c r="AN11" s="34"/>
      <c r="AO11" s="34"/>
      <c r="AP11" s="34"/>
      <c r="AQ11" s="34"/>
      <c r="AR11" s="34"/>
      <c r="AS11" s="34"/>
      <c r="AT11" s="33"/>
      <c r="AU11" s="32" t="s">
        <v>133</v>
      </c>
      <c r="AW11" s="35"/>
      <c r="AX11" s="36"/>
      <c r="AZ11" s="37"/>
      <c r="BB11" s="35"/>
      <c r="BC11" s="36"/>
      <c r="BE11" s="37"/>
      <c r="BG11" s="35"/>
      <c r="BH11" s="36"/>
      <c r="BK11">
        <v>6</v>
      </c>
      <c r="BL11" s="19">
        <f/>
        <v>-0.002687843311090714</v>
      </c>
      <c r="BM11">
        <f>MATCH(MAX(FRONTEND!$M33:$Q33),FRONTEND!$M33:$Q33,0)</f>
        <v>5</v>
      </c>
      <c r="BN11">
        <f t="shared" si="158"/>
        <v>0</v>
      </c>
      <c r="BO11">
        <f t="shared" si="159"/>
        <v>0</v>
      </c>
      <c r="BP11">
        <f t="shared" si="159"/>
        <v>0</v>
      </c>
      <c r="BQ11">
        <f t="shared" si="159"/>
        <v>0</v>
      </c>
      <c r="BR11">
        <f t="shared" si="159"/>
        <v>-0.002687843311090714</v>
      </c>
      <c r="BT11">
        <v>0</v>
      </c>
      <c r="BU11">
        <v>0</v>
      </c>
      <c r="BV11">
        <v>0</v>
      </c>
      <c r="BW11" s="11">
        <f/>
        <v>0.61185767787065537</v>
      </c>
      <c r="BX11">
        <f/>
        <v>-1.6862564508613829</v>
      </c>
      <c r="BY11">
        <f/>
        <v>-0.39331255882270999</v>
      </c>
      <c r="BZ11">
        <f/>
        <v>1.027314449369916</v>
      </c>
      <c r="CA11" s="12">
        <f/>
        <v>1.3115002107703582</v>
      </c>
      <c r="CB11">
        <v>0</v>
      </c>
      <c r="CC11">
        <v>0</v>
      </c>
      <c r="CD11">
        <v>0</v>
      </c>
    </row>
    <row r="12">
      <c r="C12" t="s">
        <v>134</v>
      </c>
      <c r="K12" s="11"/>
      <c r="L12">
        <v>1</v>
      </c>
      <c r="M12" s="12">
        <v>2</v>
      </c>
      <c r="O12" s="11"/>
      <c r="P12">
        <v>1</v>
      </c>
      <c r="Q12" s="12">
        <v>2</v>
      </c>
      <c r="S12" s="11"/>
      <c r="T12" s="12">
        <v>1</v>
      </c>
      <c r="V12">
        <v>6</v>
      </c>
      <c r="W12" s="19">
        <f t="shared" si="160"/>
        <v>0.99897304396636466</v>
      </c>
      <c r="Y12" s="11">
        <v>6</v>
      </c>
      <c r="Z12" s="38">
        <v>0.57199999999999995</v>
      </c>
      <c r="AA12" s="38">
        <v>0.89200000000000002</v>
      </c>
      <c r="AB12" s="39">
        <v>0.75700000000000001</v>
      </c>
      <c r="AD12" s="7" t="s">
        <v>47</v>
      </c>
      <c r="AE12" s="8" t="s">
        <v>48</v>
      </c>
      <c r="AF12" s="9"/>
      <c r="AJ12" t="s">
        <v>104</v>
      </c>
      <c r="AK12" s="33" t="s">
        <v>105</v>
      </c>
      <c r="AL12" s="33"/>
      <c r="AM12" t="s">
        <v>106</v>
      </c>
      <c r="AN12" s="34" t="s">
        <v>107</v>
      </c>
      <c r="AO12" s="34" t="s">
        <v>108</v>
      </c>
      <c r="AP12" s="34" t="s">
        <v>109</v>
      </c>
      <c r="AQ12" s="34" t="s">
        <v>110</v>
      </c>
      <c r="AR12" s="34" t="s">
        <v>111</v>
      </c>
      <c r="AS12" s="34" t="s">
        <v>112</v>
      </c>
      <c r="AT12" s="33"/>
      <c r="AU12" t="s">
        <v>113</v>
      </c>
      <c r="AW12" s="35" t="s">
        <v>115</v>
      </c>
      <c r="AX12" s="36"/>
      <c r="AY12" t="s">
        <v>117</v>
      </c>
      <c r="AZ12" s="37" t="s">
        <v>118</v>
      </c>
      <c r="BB12" s="35" t="s">
        <v>120</v>
      </c>
      <c r="BC12" s="36"/>
      <c r="BD12" t="s">
        <v>122</v>
      </c>
      <c r="BE12" s="37" t="s">
        <v>123</v>
      </c>
      <c r="BG12" s="35" t="s">
        <v>125</v>
      </c>
      <c r="BH12" s="36"/>
      <c r="BI12" t="s">
        <v>127</v>
      </c>
      <c r="BT12">
        <v>0</v>
      </c>
      <c r="BU12">
        <v>0</v>
      </c>
      <c r="BV12">
        <v>0</v>
      </c>
      <c r="BW12" s="13">
        <f/>
        <v>-0.45094970136476858</v>
      </c>
      <c r="BX12" s="15">
        <f/>
        <v>0.098350911682930572</v>
      </c>
      <c r="BY12" s="15">
        <f/>
        <v>1.3402386975402607</v>
      </c>
      <c r="BZ12" s="15">
        <f/>
        <v>0.52920667781247754</v>
      </c>
      <c r="CA12" s="14">
        <f/>
        <v>0.78585618911594302</v>
      </c>
      <c r="CB12">
        <v>0</v>
      </c>
      <c r="CC12">
        <v>0</v>
      </c>
      <c r="CD12">
        <v>0</v>
      </c>
    </row>
    <row r="13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11">
        <v>1</v>
      </c>
      <c r="L13">
        <v>0.878</v>
      </c>
      <c r="M13" s="12">
        <v>-0.13900000000000001</v>
      </c>
      <c r="O13" s="11">
        <v>1</v>
      </c>
      <c r="P13">
        <v>-0.253</v>
      </c>
      <c r="Q13" s="12">
        <v>-0.872</v>
      </c>
      <c r="S13" s="11">
        <v>1</v>
      </c>
      <c r="T13" s="12">
        <v>0</v>
      </c>
      <c r="V13">
        <v>7</v>
      </c>
      <c r="W13" s="23">
        <f t="shared" si="160"/>
        <v>0.1162509603413962</v>
      </c>
      <c r="Y13" s="11">
        <v>7</v>
      </c>
      <c r="Z13" s="38">
        <v>-0.20999999999999999</v>
      </c>
      <c r="AA13" s="38">
        <v>-0.86299999999999999</v>
      </c>
      <c r="AB13" s="39">
        <v>0.252</v>
      </c>
      <c r="AD13" s="11"/>
      <c r="AE13">
        <v>1</v>
      </c>
      <c r="AF13" s="12"/>
      <c r="AK13" s="33">
        <v>1</v>
      </c>
      <c r="AL13" s="33"/>
      <c r="AM13">
        <v>1</v>
      </c>
      <c r="AN13" s="34">
        <v>1</v>
      </c>
      <c r="AO13" s="34">
        <v>1</v>
      </c>
      <c r="AP13" s="34">
        <v>1</v>
      </c>
      <c r="AQ13" s="34">
        <v>1</v>
      </c>
      <c r="AR13" s="34">
        <v>1</v>
      </c>
      <c r="AS13" s="34">
        <v>1</v>
      </c>
      <c r="AT13" s="33"/>
      <c r="AU13">
        <v>1</v>
      </c>
      <c r="AV13">
        <v>2</v>
      </c>
      <c r="AW13" s="35">
        <v>1</v>
      </c>
      <c r="AX13" s="36">
        <v>2</v>
      </c>
      <c r="AY13">
        <v>1</v>
      </c>
      <c r="AZ13" s="37">
        <v>1</v>
      </c>
      <c r="BA13">
        <v>2</v>
      </c>
      <c r="BB13" s="35">
        <v>1</v>
      </c>
      <c r="BC13" s="36">
        <v>2</v>
      </c>
      <c r="BD13">
        <v>1</v>
      </c>
      <c r="BE13" s="37">
        <v>1</v>
      </c>
      <c r="BF13">
        <v>2</v>
      </c>
      <c r="BG13" s="35">
        <v>1</v>
      </c>
      <c r="BH13" s="36">
        <v>2</v>
      </c>
      <c r="BI13">
        <v>1</v>
      </c>
      <c r="BL13" t="s">
        <v>43</v>
      </c>
      <c r="BM13" t="s">
        <v>78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>
      <c r="B14">
        <v>1</v>
      </c>
      <c r="C14" s="19" cm="1">
        <f t="array" ref="C14:H15">TRANSPOSE(_xlfn.ANCHORARRAY(C4))</f>
        <v>4.0296676785617889</v>
      </c>
      <c r="D14" s="19">
        <f/>
        <v>3.1757752467270279</v>
      </c>
      <c r="E14" s="19">
        <f/>
        <v>3.3789276309323317</v>
      </c>
      <c r="F14" s="19">
        <f/>
        <v>1.5094131886761968</v>
      </c>
      <c r="G14" s="19">
        <f/>
        <v>4.5198656803290973</v>
      </c>
      <c r="H14" s="19">
        <f/>
        <v>3.0540707238032767</v>
      </c>
      <c r="K14" s="13">
        <v>2</v>
      </c>
      <c r="L14" s="15">
        <v>-0.012999999999999999</v>
      </c>
      <c r="M14" s="14">
        <v>0.997</v>
      </c>
      <c r="O14" s="13">
        <v>2</v>
      </c>
      <c r="P14" s="15">
        <v>-0.21199999999999999</v>
      </c>
      <c r="Q14" s="14">
        <v>0.248</v>
      </c>
      <c r="S14" s="13">
        <v>2</v>
      </c>
      <c r="T14" s="14">
        <v>0</v>
      </c>
      <c r="V14">
        <v>8</v>
      </c>
      <c r="W14" s="23">
        <f t="shared" si="160"/>
        <v>0.22445770386338093</v>
      </c>
      <c r="Y14" s="11">
        <v>8</v>
      </c>
      <c r="Z14" s="38">
        <v>0.54900000000000004</v>
      </c>
      <c r="AA14" s="38">
        <v>0.185</v>
      </c>
      <c r="AB14" s="39">
        <v>-0.50800000000000001</v>
      </c>
      <c r="AD14" s="11">
        <v>1</v>
      </c>
      <c r="AE14">
        <f>-1/3*((2/(1+DATA!$I$16))*X34*(1-W28)-((2*DATA!$I$16)/(1+DATA!$I$16))*(1-X34)*W28)</f>
        <v>-0.33161043441720361</v>
      </c>
      <c r="AF14" s="12"/>
      <c r="AJ14">
        <v>1</v>
      </c>
      <c r="AK14" s="40" cm="1">
        <f t="array" ref="AK14:AK15">AF94:AF95+_xlfn.ANCHORARRAY(AS8)</f>
        <v>-0.013506735048508734</v>
      </c>
      <c r="AL14" s="33"/>
      <c r="AM14" cm="1">
        <f t="array" ref="AM14:AM15">_xlfn.ANCHORARRAY(AK14)*(1-$O$53:$O$54)</f>
        <v>-0.006261828657836724</v>
      </c>
      <c r="AN14" s="34" cm="1">
        <f t="array" ref="AN14:AN15">_xlfn.ANCHORARRAY(AM14)*(1-$R$53:$R$54*$R$53:$R$54)</f>
        <v>-0.0012689437826601982</v>
      </c>
      <c r="AO14" s="34" cm="1">
        <f t="array" ref="AO14:AO15">_xlfn.ANCHORARRAY(AK14)*(_xlfn.ANCHORARRAY(T53)-$R$53:$R$54)</f>
        <v>-0.0051971761177792208</v>
      </c>
      <c r="AP14" s="34" cm="1">
        <f t="array" ref="AP14:AP15">_xlfn.ANCHORARRAY(AO14)*($O$53:$O$54*(1-$O$53:$O$54))</f>
        <v>-0.0012924109560607487</v>
      </c>
      <c r="AQ14" s="34" cm="1">
        <f t="array" ref="AQ14:AQ15">MMULT(TRANSPOSE($P$23:$Q$24),_xlfn.ANCHORARRAY(AN14))*_xlfn.ANCHORARRAY(T47)</f>
        <v>0.00016051499605116288</v>
      </c>
      <c r="AR14" s="34" cm="1">
        <f t="array" ref="AR14:AR15">_xlfn.ANCHORARRAY(AQ14)*($L$53:$L$54*(1-$L$53:$L$54))</f>
        <v>6.67523847809918e-06</v>
      </c>
      <c r="AS14" s="34" cm="1">
        <f t="array" ref="AS14:AS15">_xlfn.ANCHORARRAY(AK14)*$O$53:$O$54+MMULT(TRANSPOSE($P$23:$Q$24),_xlfn.ANCHORARRAY(AN14))*$L$53:$L$54+MMULT(TRANSPOSE($P$18:$Q$19),_xlfn.ANCHORARRAY(AP14))+MMULT(TRANSPOSE($P$13:$Q$14),_xlfn.ANCHORARRAY(AR14))</f>
        <v>-0.0081135459484704478</v>
      </c>
      <c r="AT14" s="33"/>
      <c r="AU14" cm="1">
        <f t="array" ref="AU14:AV15">MMULT(_xlfn.ANCHORARRAY(AN14),TRANSPOSE($G$14:$G$15))</f>
        <v>-0.0057354554535128145</v>
      </c>
      <c r="AV14">
        <f/>
        <v>-0.00068144812903920095</v>
      </c>
      <c r="AW14" s="35" cm="1">
        <f t="array" ref="AW14:AX15">MMULT(_xlfn.ANCHORARRAY(AN14),TRANSPOSE($L$53:$L$54*_xlfn.ANCHORARRAY(T47)))</f>
        <v>0.0002131267851433816</v>
      </c>
      <c r="AX14" s="36">
        <f/>
        <v>-0.00083855703932265643</v>
      </c>
      <c r="AY14" cm="1">
        <f t="array" ref="AY14:AY15">_xlfn.ANCHORARRAY(AN14)</f>
        <v>-0.0012689437826601982</v>
      </c>
      <c r="AZ14" s="37" cm="1">
        <f t="array" ref="AZ14:BA15">MMULT(_xlfn.ANCHORARRAY(AP14),TRANSPOSE($G$14:$G$15))</f>
        <v>-0.0058415239251802947</v>
      </c>
      <c r="BA14">
        <f/>
        <v>-0.00069405046936835168</v>
      </c>
      <c r="BB14" s="35" cm="1">
        <f t="array" ref="BB14:BC15">MMULT(_xlfn.ANCHORARRAY(AP14),TRANSPOSE(_xlfn.ANCHORARRAY(T47)))</f>
        <v>0.00022693458299969757</v>
      </c>
      <c r="BC14" s="36">
        <f/>
        <v>-0.001255562724688264</v>
      </c>
      <c r="BD14" cm="1">
        <f t="array" ref="BD14:BD15">_xlfn.ANCHORARRAY(AP14)</f>
        <v>-0.0012924109560607487</v>
      </c>
      <c r="BE14" s="37" cm="1">
        <f t="array" ref="BE14:BF15">MMULT(_xlfn.ANCHORARRAY(AR14),TRANSPOSE($G$14:$G$15))</f>
        <v>3.0171181305172718e-05</v>
      </c>
      <c r="BF14">
        <f/>
        <v>3.584736245962812e-06</v>
      </c>
      <c r="BG14" s="35" cm="1">
        <f t="array" ref="BG14:BH15">MMULT(_xlfn.ANCHORARRAY(AR14),TRANSPOSE(_xlfn.ANCHORARRAY(T47)))</f>
        <v>-1.1721058641194074e-06</v>
      </c>
      <c r="BH14" s="36">
        <f/>
        <v>6.484919190914222e-06</v>
      </c>
      <c r="BI14" cm="1">
        <f t="array" ref="BI14:BI15">_xlfn.ANCHORARRAY(AR14)</f>
        <v>6.67523847809918e-06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>
      <c r="B15">
        <v>2</v>
      </c>
      <c r="C15" s="23">
        <f/>
        <v>1.426184227044502</v>
      </c>
      <c r="D15" s="23">
        <f/>
        <v>0.83446165212430812</v>
      </c>
      <c r="E15" s="23">
        <f/>
        <v>1.8393159934697598</v>
      </c>
      <c r="F15" s="23">
        <f/>
        <v>0.40501335750777256</v>
      </c>
      <c r="G15" s="23">
        <f/>
        <v>0.53701995183003415</v>
      </c>
      <c r="H15" s="23">
        <f/>
        <v>1.2588938475691771</v>
      </c>
      <c r="V15">
        <v>9</v>
      </c>
      <c r="W15" s="23">
        <f t="shared" si="160"/>
        <v>0.3742313671418277</v>
      </c>
      <c r="Y15" s="11">
        <v>9</v>
      </c>
      <c r="Z15" s="38">
        <v>0.98999999999999999</v>
      </c>
      <c r="AA15" s="38">
        <v>-0.94699999999999995</v>
      </c>
      <c r="AB15" s="39">
        <v>-0.90500000000000003</v>
      </c>
      <c r="AD15" s="11">
        <v>2</v>
      </c>
      <c r="AE15">
        <f>-1/3*((2/(1+DATA!$I$16))*X35*(1-W29)-((2*DATA!$I$16)/(1+DATA!$I$16))*(1-X35)*W29)</f>
        <v>0.051579911614943699</v>
      </c>
      <c r="AF15" s="12"/>
      <c r="AJ15">
        <v>2</v>
      </c>
      <c r="AK15" s="41">
        <f/>
        <v>0.12916961361514753</v>
      </c>
      <c r="AL15" s="33"/>
      <c r="AM15">
        <f/>
        <v>0.11237834847878342</v>
      </c>
      <c r="AN15" s="34">
        <f/>
        <v>0.0001211356412436669</v>
      </c>
      <c r="AO15" s="34">
        <f/>
        <v>-0.0004696873737846689</v>
      </c>
      <c r="AP15" s="34">
        <f/>
        <v>-5.311953067131887e-05</v>
      </c>
      <c r="AQ15" s="34">
        <f/>
        <v>-0.00080862400443740181</v>
      </c>
      <c r="AR15" s="34">
        <f/>
        <v>-0.00017589111024851037</v>
      </c>
      <c r="AS15" s="34">
        <f/>
        <v>0.014894484403283205</v>
      </c>
      <c r="AT15" s="33"/>
      <c r="AU15">
        <f/>
        <v>0.00054751682752190794</v>
      </c>
      <c r="AV15">
        <f/>
        <v>6.50522562255743e-05</v>
      </c>
      <c r="AW15" s="35">
        <f/>
        <v>-2.0345463792274377e-05</v>
      </c>
      <c r="AX15" s="36">
        <f/>
        <v>8.0050153573227276e-05</v>
      </c>
      <c r="AY15">
        <f/>
        <v>0.0001211356412436669</v>
      </c>
      <c r="AZ15" s="37">
        <f/>
        <v>-0.000240093143636483</v>
      </c>
      <c r="BA15">
        <f/>
        <v>-2.8526247802345681e-05</v>
      </c>
      <c r="BB15" s="35">
        <f/>
        <v>9.3272642772836209e-06</v>
      </c>
      <c r="BC15" s="36">
        <f/>
        <v>-5.1605027294977515e-05</v>
      </c>
      <c r="BD15">
        <f/>
        <v>-5.311953067131887e-05</v>
      </c>
      <c r="BE15" s="37">
        <f/>
        <v>-0.00079500419268722358</v>
      </c>
      <c r="BF15">
        <f/>
        <v>-9.4457035552986262e-05</v>
      </c>
      <c r="BG15" s="35">
        <f/>
        <v>3.0884739540789939e-05</v>
      </c>
      <c r="BH15" s="36">
        <f/>
        <v>-0.0001708762376211882</v>
      </c>
      <c r="BI15">
        <f/>
        <v>-0.00017589111024851037</v>
      </c>
      <c r="BK15">
        <v>1</v>
      </c>
      <c r="BL15">
        <f t="shared" ref="BL15:BL20" si="161">BN6*IF(BN6&gt;0,1,0)</f>
        <v>0</v>
      </c>
      <c r="BM15">
        <f t="shared" ref="BM15:BP20" si="162">BO6*IF(BO6&gt;0,1,0)</f>
        <v>0</v>
      </c>
      <c r="BN15">
        <f t="shared" si="162"/>
        <v>0</v>
      </c>
      <c r="BO15">
        <f t="shared" si="162"/>
        <v>0.050890062870490319</v>
      </c>
      <c r="BP15">
        <f t="shared" si="162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>
      <c r="K16" s="7"/>
      <c r="L16" s="8" t="s">
        <v>136</v>
      </c>
      <c r="M16" s="9"/>
      <c r="O16" s="7"/>
      <c r="P16" s="8" t="s">
        <v>137</v>
      </c>
      <c r="Q16" s="9"/>
      <c r="S16" s="7"/>
      <c r="T16" s="9" t="s">
        <v>138</v>
      </c>
      <c r="V16">
        <v>10</v>
      </c>
      <c r="W16" s="23">
        <f t="shared" si="160"/>
        <v>0.39794932752033113</v>
      </c>
      <c r="Y16" s="11">
        <v>10</v>
      </c>
      <c r="Z16" s="38">
        <v>0.46899999999999997</v>
      </c>
      <c r="AA16" s="38">
        <v>0.36499999999999999</v>
      </c>
      <c r="AB16" s="39">
        <v>-0.20699999999999999</v>
      </c>
      <c r="AD16" s="13">
        <v>3</v>
      </c>
      <c r="AE16" s="15">
        <f>-1/3*((2/(1+DATA!$I$16))*X36*(1-W30)-((2*DATA!$I$16)/(1+DATA!$I$16))*(1-X36)*W30)</f>
        <v>-0.07436821879287156</v>
      </c>
      <c r="AF16" s="14"/>
      <c r="AK16" s="33"/>
      <c r="AL16" s="33"/>
      <c r="AN16" s="34"/>
      <c r="AO16" s="34"/>
      <c r="AP16" s="34"/>
      <c r="AQ16" s="34"/>
      <c r="AR16" s="34"/>
      <c r="AS16" s="34"/>
      <c r="AT16" s="33"/>
      <c r="AW16" s="35"/>
      <c r="AX16" s="36"/>
      <c r="AZ16" s="37"/>
      <c r="BB16" s="35"/>
      <c r="BC16" s="36"/>
      <c r="BE16" s="37"/>
      <c r="BG16" s="35"/>
      <c r="BH16" s="36"/>
      <c r="BK16">
        <v>2</v>
      </c>
      <c r="BL16">
        <f t="shared" si="161"/>
        <v>0</v>
      </c>
      <c r="BM16">
        <f t="shared" si="162"/>
        <v>0.040980476017124352</v>
      </c>
      <c r="BN16">
        <f t="shared" si="162"/>
        <v>0</v>
      </c>
      <c r="BO16">
        <f t="shared" si="162"/>
        <v>0</v>
      </c>
      <c r="BP16">
        <f t="shared" si="162"/>
        <v>0</v>
      </c>
    </row>
    <row r="17" ht="21">
      <c r="K17" s="11"/>
      <c r="L17">
        <v>1</v>
      </c>
      <c r="M17" s="12">
        <v>2</v>
      </c>
      <c r="O17" s="11"/>
      <c r="P17">
        <v>1</v>
      </c>
      <c r="Q17" s="12">
        <v>2</v>
      </c>
      <c r="S17" s="11"/>
      <c r="T17" s="12">
        <v>1</v>
      </c>
      <c r="V17">
        <v>11</v>
      </c>
      <c r="W17" s="23">
        <f t="shared" si="160"/>
        <v>0.24383137408274619</v>
      </c>
      <c r="Y17" s="11">
        <v>11</v>
      </c>
      <c r="Z17" s="38">
        <v>0.24099999999999999</v>
      </c>
      <c r="AA17" s="38">
        <v>0.48599999999999999</v>
      </c>
      <c r="AB17" s="39">
        <v>-0.0060000000000000001</v>
      </c>
      <c r="AK17" s="44" t="s">
        <v>139</v>
      </c>
      <c r="AL17" s="33"/>
      <c r="AN17" s="34"/>
      <c r="AO17" s="34"/>
      <c r="AP17" s="34"/>
      <c r="AQ17" s="34"/>
      <c r="AR17" s="34"/>
      <c r="AS17" s="34"/>
      <c r="AT17" s="33"/>
      <c r="AU17" s="32" t="s">
        <v>139</v>
      </c>
      <c r="AW17" s="35"/>
      <c r="AX17" s="36"/>
      <c r="AZ17" s="37"/>
      <c r="BB17" s="35"/>
      <c r="BC17" s="36"/>
      <c r="BE17" s="37"/>
      <c r="BG17" s="35"/>
      <c r="BH17" s="36"/>
      <c r="BK17">
        <v>3</v>
      </c>
      <c r="BL17">
        <f t="shared" si="161"/>
        <v>0</v>
      </c>
      <c r="BM17">
        <f t="shared" si="162"/>
        <v>0</v>
      </c>
      <c r="BN17">
        <f t="shared" si="162"/>
        <v>0.026940477659322011</v>
      </c>
      <c r="BO17">
        <f t="shared" si="162"/>
        <v>0</v>
      </c>
      <c r="BP17">
        <f t="shared" si="162"/>
        <v>0</v>
      </c>
    </row>
    <row r="18">
      <c r="K18" s="11">
        <v>1</v>
      </c>
      <c r="L18">
        <v>-0.21199999999999999</v>
      </c>
      <c r="M18" s="12">
        <v>0.248</v>
      </c>
      <c r="O18" s="11">
        <v>1</v>
      </c>
      <c r="P18">
        <v>-0.012999999999999999</v>
      </c>
      <c r="Q18" s="12">
        <v>0.997</v>
      </c>
      <c r="S18" s="11">
        <v>1</v>
      </c>
      <c r="T18" s="12">
        <v>0</v>
      </c>
      <c r="V18">
        <v>12</v>
      </c>
      <c r="W18" s="23">
        <f t="shared" si="160"/>
        <v>0.31354044843851148</v>
      </c>
      <c r="Y18" s="13">
        <v>12</v>
      </c>
      <c r="Z18" s="42">
        <v>-0.16700000000000001</v>
      </c>
      <c r="AA18" s="42">
        <v>-0.442</v>
      </c>
      <c r="AB18" s="43">
        <v>0.01</v>
      </c>
      <c r="AJ18" t="s">
        <v>104</v>
      </c>
      <c r="AK18" s="33" t="s">
        <v>105</v>
      </c>
      <c r="AL18" s="33"/>
      <c r="AM18" t="s">
        <v>106</v>
      </c>
      <c r="AN18" s="34" t="s">
        <v>107</v>
      </c>
      <c r="AO18" s="34" t="s">
        <v>108</v>
      </c>
      <c r="AP18" s="34" t="s">
        <v>109</v>
      </c>
      <c r="AQ18" s="34" t="s">
        <v>110</v>
      </c>
      <c r="AR18" s="34" t="s">
        <v>111</v>
      </c>
      <c r="AS18" s="34" t="s">
        <v>112</v>
      </c>
      <c r="AT18" s="33"/>
      <c r="AU18" t="s">
        <v>113</v>
      </c>
      <c r="AW18" s="35" t="s">
        <v>115</v>
      </c>
      <c r="AX18" s="36"/>
      <c r="AY18" t="s">
        <v>117</v>
      </c>
      <c r="AZ18" s="37" t="s">
        <v>118</v>
      </c>
      <c r="BB18" s="35" t="s">
        <v>120</v>
      </c>
      <c r="BC18" s="36"/>
      <c r="BD18" t="s">
        <v>122</v>
      </c>
      <c r="BE18" s="37" t="s">
        <v>123</v>
      </c>
      <c r="BG18" s="35" t="s">
        <v>125</v>
      </c>
      <c r="BH18" s="36"/>
      <c r="BI18" t="s">
        <v>127</v>
      </c>
      <c r="BK18">
        <v>4</v>
      </c>
      <c r="BL18">
        <f t="shared" si="161"/>
        <v>0</v>
      </c>
      <c r="BM18">
        <f t="shared" si="162"/>
        <v>0</v>
      </c>
      <c r="BN18">
        <f t="shared" si="162"/>
        <v>0</v>
      </c>
      <c r="BO18">
        <f t="shared" si="162"/>
        <v>0.01186686443658775</v>
      </c>
      <c r="BP18">
        <f t="shared" si="162"/>
        <v>0</v>
      </c>
    </row>
    <row r="19">
      <c r="K19" s="13">
        <v>2</v>
      </c>
      <c r="L19" s="15">
        <v>-0.253</v>
      </c>
      <c r="M19" s="14">
        <v>-0.872</v>
      </c>
      <c r="O19" s="13">
        <v>2</v>
      </c>
      <c r="P19" s="15">
        <v>0.878</v>
      </c>
      <c r="Q19" s="14">
        <v>-0.13900000000000001</v>
      </c>
      <c r="S19" s="13">
        <v>2</v>
      </c>
      <c r="T19" s="14">
        <v>0</v>
      </c>
      <c r="AD19" s="7"/>
      <c r="AE19" s="18" t="s">
        <v>40</v>
      </c>
      <c r="AF19" s="8" t="s">
        <v>57</v>
      </c>
      <c r="AG19" s="9"/>
      <c r="AK19" s="33">
        <v>1</v>
      </c>
      <c r="AL19" s="33"/>
      <c r="AM19">
        <v>1</v>
      </c>
      <c r="AN19" s="34">
        <v>1</v>
      </c>
      <c r="AO19" s="34">
        <v>1</v>
      </c>
      <c r="AP19" s="34">
        <v>1</v>
      </c>
      <c r="AQ19" s="34">
        <v>1</v>
      </c>
      <c r="AR19" s="34">
        <v>1</v>
      </c>
      <c r="AS19" s="34">
        <v>1</v>
      </c>
      <c r="AT19" s="33"/>
      <c r="AU19">
        <v>1</v>
      </c>
      <c r="AV19">
        <v>2</v>
      </c>
      <c r="AW19" s="35">
        <v>1</v>
      </c>
      <c r="AX19" s="36">
        <v>2</v>
      </c>
      <c r="AY19">
        <v>1</v>
      </c>
      <c r="AZ19" s="37">
        <v>1</v>
      </c>
      <c r="BA19">
        <v>2</v>
      </c>
      <c r="BB19" s="35">
        <v>1</v>
      </c>
      <c r="BC19" s="36">
        <v>2</v>
      </c>
      <c r="BD19">
        <v>1</v>
      </c>
      <c r="BE19" s="37">
        <v>1</v>
      </c>
      <c r="BF19">
        <v>2</v>
      </c>
      <c r="BG19" s="35">
        <v>1</v>
      </c>
      <c r="BH19" s="36">
        <v>2</v>
      </c>
      <c r="BI19">
        <v>1</v>
      </c>
      <c r="BK19">
        <v>5</v>
      </c>
      <c r="BL19">
        <f t="shared" si="161"/>
        <v>0.0010550624522317365</v>
      </c>
      <c r="BM19">
        <f t="shared" si="162"/>
        <v>0</v>
      </c>
      <c r="BN19">
        <f t="shared" si="162"/>
        <v>0</v>
      </c>
      <c r="BO19">
        <f t="shared" si="162"/>
        <v>0</v>
      </c>
      <c r="BP19">
        <f t="shared" si="162"/>
        <v>0</v>
      </c>
    </row>
    <row r="20">
      <c r="W20" t="s">
        <v>49</v>
      </c>
      <c r="X20" t="s">
        <v>50</v>
      </c>
      <c r="Y20" s="7"/>
      <c r="Z20" s="10" t="s">
        <v>23</v>
      </c>
      <c r="AD20" s="11"/>
      <c r="AE20">
        <v>1</v>
      </c>
      <c r="AF20">
        <v>2</v>
      </c>
      <c r="AG20" s="12">
        <v>3</v>
      </c>
      <c r="AJ20">
        <v>1</v>
      </c>
      <c r="AK20" s="40" cm="1">
        <f t="array" ref="AK20:AK21">AG94:AG95+_xlfn.ANCHORARRAY(AS14)</f>
        <v>-0.068765748304515262</v>
      </c>
      <c r="AL20" s="33"/>
      <c r="AM20" cm="1">
        <f t="array" ref="AM20:AM21">_xlfn.ANCHORARRAY(AK20)*(1-$O$47:$O$48)</f>
        <v>-0.021641964221773474</v>
      </c>
      <c r="AN20" s="34" cm="1">
        <f t="array" ref="AN20:AN21">_xlfn.ANCHORARRAY(AM20)*(1-$R$47:$R$48*$R$47:$R$48)</f>
        <v>-0.021636581924868867</v>
      </c>
      <c r="AO20" s="34" cm="1">
        <f t="array" ref="AO20:AO21">_xlfn.ANCHORARRAY(AK20)*(_xlfn.ANCHORARRAY(T41)-$R$47:$R$48)</f>
        <v>0.016037447298591589</v>
      </c>
      <c r="AP20" s="34" cm="1">
        <f t="array" ref="AP20:AP21">_xlfn.ANCHORARRAY(AO20)*($O$47:$O$48*(1-$O$47:$O$48))</f>
        <v>0.0034588181380357853</v>
      </c>
      <c r="AQ20" s="34" cm="1">
        <f t="array" ref="AQ20:AQ21">MMULT(TRANSPOSE($P$23:$Q$24),_xlfn.ANCHORARRAY(AN20))*_xlfn.ANCHORARRAY(T47)</f>
        <v>0.0026820462244676858</v>
      </c>
      <c r="AR20" s="34" cm="1">
        <f t="array" ref="AR20:AR21">_xlfn.ANCHORARRAY(AQ20)*($L$47:$L$48*(1-$L$47:$L$48))</f>
        <v>0.0006359411256405752</v>
      </c>
      <c r="AS20" s="34" cm="1">
        <f t="array" ref="AS20:AS21">_xlfn.ANCHORARRAY(AK20)*$O$47:$O$48+MMULT(TRANSPOSE($P$23:$Q$24),_xlfn.ANCHORARRAY(AN20))*$L$47:$L$48+MMULT(TRANSPOSE($P$18:$Q$19),_xlfn.ANCHORARRAY(AP20))+MMULT(TRANSPOSE($P$13:$Q$14),_xlfn.ANCHORARRAY(AR20))</f>
        <v>-0.055872686247377415</v>
      </c>
      <c r="AT20" s="33"/>
      <c r="AU20" cm="1">
        <f t="array" ref="AU20:AV21">MMULT(_xlfn.ANCHORARRAY(AN20),TRANSPOSE($F$14:$F$15))</f>
        <v>-0.032658542115270084</v>
      </c>
      <c r="AV20">
        <f/>
        <v>-0.0087631046903831247</v>
      </c>
      <c r="AW20" s="35" cm="1">
        <f t="array" ref="AW20:AX21">MMULT(_xlfn.ANCHORARRAY(AN20),TRANSPOSE($L$47:$L$48*_xlfn.ANCHORARRAY($T$41)))</f>
        <v>0.0033052601614728628</v>
      </c>
      <c r="AX20" s="36">
        <f/>
        <v>-0.014345275618060833</v>
      </c>
      <c r="AY20" cm="1">
        <f t="array" ref="AY20:AY21">_xlfn.ANCHORARRAY(AN20)</f>
        <v>-0.021636581924868867</v>
      </c>
      <c r="AZ20" s="37" cm="1">
        <f t="array" ref="AZ20:BA21">MMULT(_xlfn.ANCHORARRAY(AP20),TRANSPOSE($F$14:$F$15))</f>
        <v>0.0052207857147836606</v>
      </c>
      <c r="BA20">
        <f/>
        <v>0.0014008675470946557</v>
      </c>
      <c r="BB20" s="35" cm="1">
        <f t="array" ref="BB20:BC21">MMULT(_xlfn.ANCHORARRAY(AP20),TRANSPOSE(_xlfn.ANCHORARRAY(T47)))</f>
        <v>-0.00060733426016395251</v>
      </c>
      <c r="BC20" s="36">
        <f/>
        <v>0.0033602029642568819</v>
      </c>
      <c r="BD20" cm="1">
        <f t="array" ref="BD20:BD21">_xlfn.ANCHORARRAY(AP20)</f>
        <v>0.0034588181380357853</v>
      </c>
      <c r="BE20" s="37" cm="1">
        <f t="array" ref="BE20:BF21">MMULT(_xlfn.ANCHORARRAY(AR20),TRANSPOSE($F$14:$F$15))</f>
        <v>0.00095989792226347048</v>
      </c>
      <c r="BF20">
        <f/>
        <v>0.00025756465047296158</v>
      </c>
      <c r="BG20" s="35" cm="1">
        <f t="array" ref="BG20:BH21">MMULT(_xlfn.ANCHORARRAY(AR20),TRANSPOSE(_xlfn.ANCHORARRAY(T41)))</f>
        <v>-0.00015834213889408879</v>
      </c>
      <c r="BH20" s="36">
        <f/>
        <v>0.00063432037263445938</v>
      </c>
      <c r="BI20" cm="1">
        <f t="array" ref="BI20:BI21">_xlfn.ANCHORARRAY(AR20)</f>
        <v>0.0006359411256405752</v>
      </c>
      <c r="BK20">
        <v>6</v>
      </c>
      <c r="BL20">
        <f t="shared" si="161"/>
        <v>0</v>
      </c>
      <c r="BM20">
        <f t="shared" si="162"/>
        <v>0</v>
      </c>
      <c r="BN20">
        <f t="shared" si="162"/>
        <v>0</v>
      </c>
      <c r="BO20">
        <f t="shared" si="162"/>
        <v>0</v>
      </c>
      <c r="BP20">
        <f t="shared" si="162"/>
        <v>0</v>
      </c>
    </row>
    <row r="21">
      <c r="K21" s="7"/>
      <c r="L21" s="8" t="s">
        <v>140</v>
      </c>
      <c r="M21" s="9"/>
      <c r="O21" s="7"/>
      <c r="P21" s="8" t="s">
        <v>141</v>
      </c>
      <c r="Q21" s="9"/>
      <c r="S21" s="7"/>
      <c r="T21" s="9" t="s">
        <v>142</v>
      </c>
      <c r="W21">
        <v>1</v>
      </c>
      <c r="Y21" s="11"/>
      <c r="Z21" s="12">
        <v>1</v>
      </c>
      <c r="AD21" s="11">
        <v>1</v>
      </c>
      <c r="AE21" cm="1">
        <f t="array" ref="AE21:AE32">Z7:Z18-$W$39*$AE14*$W$7:$W$18</f>
        <v>-0.11381918726333333</v>
      </c>
      <c r="AF21" cm="1">
        <f t="array" ref="AF21:AF32">AA7:AA18-$W$39*$AE15*$W$7:$W$18</f>
        <v>-0.67413899814131117</v>
      </c>
      <c r="AG21" s="12" cm="1">
        <f t="array" ref="AG21:AG32">AB7:AB18-$W$39*$AE16*$W$7:$W$18</f>
        <v>-0.77347417408726593</v>
      </c>
      <c r="AJ21">
        <v>2</v>
      </c>
      <c r="AK21" s="41">
        <f/>
        <v>0.026489287620951908</v>
      </c>
      <c r="AL21" s="33"/>
      <c r="AM21">
        <f/>
        <v>0.019835619508130373</v>
      </c>
      <c r="AN21" s="34">
        <f/>
        <v>0.0014490905486462056</v>
      </c>
      <c r="AO21" s="34">
        <f/>
        <v>0.00091842503714355435</v>
      </c>
      <c r="AP21" s="34">
        <f/>
        <v>0.00017274681939386105</v>
      </c>
      <c r="AQ21" s="34">
        <f/>
        <v>-0.014321267244127201</v>
      </c>
      <c r="AR21" s="34">
        <f/>
        <v>-0.0031918164954047304</v>
      </c>
      <c r="AS21" s="34">
        <f/>
        <v>-0.0010667966326687963</v>
      </c>
      <c r="AT21" s="33"/>
      <c r="AU21">
        <f/>
        <v>0.0021872763857126087</v>
      </c>
      <c r="AV21">
        <f/>
        <v>0.00058690102843998</v>
      </c>
      <c r="AW21" s="35">
        <f/>
        <v>-0.00022136681650727905</v>
      </c>
      <c r="AX21" s="36">
        <f/>
        <v>0.00096076188873269993</v>
      </c>
      <c r="AY21">
        <f/>
        <v>0.0014490905486462056</v>
      </c>
      <c r="AZ21" s="37">
        <f/>
        <v>0.0002607463274949589</v>
      </c>
      <c r="BA21">
        <f/>
        <v>6.9964769321496464e-05</v>
      </c>
      <c r="BB21" s="35">
        <f/>
        <v>-3.033263316117173e-05</v>
      </c>
      <c r="BC21" s="36">
        <f/>
        <v>0.00016782159437929794</v>
      </c>
      <c r="BD21">
        <f/>
        <v>0.00017274681939386105</v>
      </c>
      <c r="BE21" s="37">
        <f/>
        <v>-0.0048177699139981371</v>
      </c>
      <c r="BF21">
        <f/>
        <v>-0.0012927283153525617</v>
      </c>
      <c r="BG21" s="35">
        <f/>
        <v>0.00079472616326037673</v>
      </c>
      <c r="BH21" s="36">
        <f/>
        <v>-0.0031836818647426757</v>
      </c>
      <c r="BI21">
        <f/>
        <v>-0.0031918164954047304</v>
      </c>
    </row>
    <row r="22">
      <c r="K22" s="11"/>
      <c r="L22">
        <v>1</v>
      </c>
      <c r="M22" s="12">
        <v>2</v>
      </c>
      <c r="O22" s="11"/>
      <c r="P22">
        <v>1</v>
      </c>
      <c r="Q22" s="12">
        <v>2</v>
      </c>
      <c r="S22" s="11"/>
      <c r="T22" s="12">
        <v>1</v>
      </c>
      <c r="V22">
        <v>1</v>
      </c>
      <c r="W22" cm="1">
        <f t="array" ref="W22:W24">TRANSPOSE(MMULT(TRANSPOSE(W7:W18),Z7:AB18)+TRANSPOSE(Z22:Z24))</f>
        <v>-0.22012360513760698</v>
      </c>
      <c r="Y22" s="11">
        <v>1</v>
      </c>
      <c r="Z22" s="12">
        <v>1</v>
      </c>
      <c r="AD22" s="11">
        <v>2</v>
      </c>
      <c r="AE22">
        <f/>
        <v>-0.91353673727497742</v>
      </c>
      <c r="AF22">
        <f/>
        <v>-0.044893912078872222</v>
      </c>
      <c r="AG22" s="12">
        <f/>
        <v>0.99805607111062211</v>
      </c>
      <c r="AK22" s="33"/>
      <c r="AL22" s="33"/>
      <c r="AN22" s="34"/>
      <c r="AO22" s="34"/>
      <c r="AP22" s="34"/>
      <c r="AQ22" s="34"/>
      <c r="AR22" s="34"/>
      <c r="AS22" s="34"/>
      <c r="AT22" s="33"/>
      <c r="AW22" s="35"/>
      <c r="AX22" s="36"/>
      <c r="AZ22" s="37"/>
      <c r="BB22" s="35"/>
      <c r="BC22" s="36"/>
      <c r="BE22" s="37"/>
      <c r="BG22" s="35"/>
      <c r="BH22" s="36"/>
      <c r="BK22" s="7"/>
      <c r="BL22" s="18" t="s">
        <v>22</v>
      </c>
      <c r="BM22" s="8" t="s">
        <v>80</v>
      </c>
      <c r="BN22" s="9"/>
      <c r="BP22" s="7"/>
      <c r="BQ22" s="10" t="s">
        <v>23</v>
      </c>
      <c r="BR22" t="s">
        <v>81</v>
      </c>
    </row>
    <row r="23" ht="21">
      <c r="K23" s="11">
        <v>1</v>
      </c>
      <c r="L23">
        <v>-0.50700000000000001</v>
      </c>
      <c r="M23" s="12">
        <v>0.89100000000000001</v>
      </c>
      <c r="O23" s="11">
        <v>1</v>
      </c>
      <c r="P23">
        <v>0.67200000000000004</v>
      </c>
      <c r="Q23" s="12">
        <v>0.74099999999999999</v>
      </c>
      <c r="S23" s="11">
        <v>1</v>
      </c>
      <c r="T23" s="12">
        <v>0</v>
      </c>
      <c r="V23">
        <v>2</v>
      </c>
      <c r="W23">
        <f/>
        <v>1.0874896858976641</v>
      </c>
      <c r="Y23" s="11">
        <v>2</v>
      </c>
      <c r="Z23" s="12">
        <v>1</v>
      </c>
      <c r="AD23" s="11">
        <v>3</v>
      </c>
      <c r="AE23">
        <f/>
        <v>-0.58692347045221904</v>
      </c>
      <c r="AF23">
        <f/>
        <v>0.30685515444168093</v>
      </c>
      <c r="AG23" s="12">
        <f/>
        <v>-0.11358213152839608</v>
      </c>
      <c r="AK23" s="44" t="s">
        <v>143</v>
      </c>
      <c r="AL23" s="33"/>
      <c r="AN23" s="34"/>
      <c r="AO23" s="34"/>
      <c r="AP23" s="34"/>
      <c r="AQ23" s="34"/>
      <c r="AR23" s="34"/>
      <c r="AS23" s="34"/>
      <c r="AT23" s="33"/>
      <c r="AU23" s="32" t="s">
        <v>143</v>
      </c>
      <c r="AW23" s="35"/>
      <c r="AX23" s="36"/>
      <c r="AZ23" s="37"/>
      <c r="BB23" s="35"/>
      <c r="BC23" s="36"/>
      <c r="BE23" s="37"/>
      <c r="BG23" s="35"/>
      <c r="BH23" s="36"/>
      <c r="BK23" s="11"/>
      <c r="BL23">
        <v>1</v>
      </c>
      <c r="BM23">
        <v>2</v>
      </c>
      <c r="BN23" s="12">
        <v>3</v>
      </c>
      <c r="BP23" s="11"/>
      <c r="BQ23" s="12">
        <v>1</v>
      </c>
    </row>
    <row r="24">
      <c r="K24" s="13">
        <v>2</v>
      </c>
      <c r="L24" s="15">
        <v>0.67200000000000004</v>
      </c>
      <c r="M24" s="14">
        <v>0.74099999999999999</v>
      </c>
      <c r="O24" s="13">
        <v>2</v>
      </c>
      <c r="P24" s="15">
        <v>-0.50700000000000001</v>
      </c>
      <c r="Q24" s="14">
        <v>0.89100000000000001</v>
      </c>
      <c r="S24" s="13">
        <v>2</v>
      </c>
      <c r="T24" s="14">
        <v>0</v>
      </c>
      <c r="V24">
        <v>3</v>
      </c>
      <c r="W24">
        <f/>
        <v>1.9511891563668935</v>
      </c>
      <c r="Y24" s="13">
        <v>3</v>
      </c>
      <c r="Z24" s="14">
        <v>1</v>
      </c>
      <c r="AD24" s="11">
        <v>4</v>
      </c>
      <c r="AE24">
        <f/>
        <v>-0.25878441883215103</v>
      </c>
      <c r="AF24">
        <f/>
        <v>-0.20701093046780042</v>
      </c>
      <c r="AG24" s="12">
        <f/>
        <v>0.19322478890943429</v>
      </c>
      <c r="AJ24" t="s">
        <v>104</v>
      </c>
      <c r="AK24" s="33" t="s">
        <v>105</v>
      </c>
      <c r="AL24" s="33"/>
      <c r="AM24" t="s">
        <v>106</v>
      </c>
      <c r="AN24" s="34" t="s">
        <v>107</v>
      </c>
      <c r="AO24" s="34" t="s">
        <v>108</v>
      </c>
      <c r="AP24" s="34" t="s">
        <v>109</v>
      </c>
      <c r="AQ24" s="34" t="s">
        <v>110</v>
      </c>
      <c r="AR24" s="34" t="s">
        <v>111</v>
      </c>
      <c r="AS24" s="34" t="s">
        <v>112</v>
      </c>
      <c r="AT24" s="33"/>
      <c r="AU24" t="s">
        <v>113</v>
      </c>
      <c r="AW24" s="35" t="s">
        <v>115</v>
      </c>
      <c r="AX24" s="36"/>
      <c r="AY24" t="s">
        <v>117</v>
      </c>
      <c r="AZ24" s="37" t="s">
        <v>118</v>
      </c>
      <c r="BB24" s="35" t="s">
        <v>120</v>
      </c>
      <c r="BC24" s="36"/>
      <c r="BD24" t="s">
        <v>122</v>
      </c>
      <c r="BE24" s="37" t="s">
        <v>123</v>
      </c>
      <c r="BG24" s="35" t="s">
        <v>125</v>
      </c>
      <c r="BH24" s="36"/>
      <c r="BI24" t="s">
        <v>127</v>
      </c>
      <c r="BK24" s="11">
        <v>1</v>
      </c>
      <c r="BL24" cm="1">
        <f t="array" ref="BL24">FRONTEND!$M7-$W$39*SUM($BL$15:$BP$20*BV5:BZ10)</f>
        <v>-0.51228313084757848</v>
      </c>
      <c r="BM24" cm="1">
        <f t="array" ref="BM24">FRONTEND!$N7-$W$39*SUM($BL$15:$BP$20*BW5:CA10)</f>
        <v>0.89299962450070924</v>
      </c>
      <c r="BN24" s="12" cm="1">
        <f t="array" ref="BN24">FRONTEND!$O7-$W$39*SUM($BL$15:$BP$20*BX5:CB10)</f>
        <v>-0.52227574532366416</v>
      </c>
      <c r="BP24" s="13">
        <v>1</v>
      </c>
      <c r="BQ24" s="14">
        <f>FRONTEND!$W$7-$W$39*SUM(AU56:AU61)</f>
        <v>0.98709548998753349</v>
      </c>
    </row>
    <row r="25">
      <c r="AD25" s="11">
        <v>5</v>
      </c>
      <c r="AE25">
        <f/>
        <v>-0.54397741436496561</v>
      </c>
      <c r="AF25">
        <f/>
        <v>-0.19013645492291426</v>
      </c>
      <c r="AG25" s="12">
        <f/>
        <v>0.18040577080431328</v>
      </c>
      <c r="AK25" s="33">
        <v>1</v>
      </c>
      <c r="AL25" s="33"/>
      <c r="AM25">
        <v>1</v>
      </c>
      <c r="AN25" s="34">
        <v>1</v>
      </c>
      <c r="AO25" s="34">
        <v>1</v>
      </c>
      <c r="AP25" s="34">
        <v>1</v>
      </c>
      <c r="AQ25" s="34">
        <v>1</v>
      </c>
      <c r="AR25" s="34">
        <v>1</v>
      </c>
      <c r="AS25" s="34">
        <v>1</v>
      </c>
      <c r="AT25" s="33"/>
      <c r="AU25">
        <v>1</v>
      </c>
      <c r="AV25">
        <v>2</v>
      </c>
      <c r="AW25" s="35">
        <v>1</v>
      </c>
      <c r="AX25" s="36">
        <v>2</v>
      </c>
      <c r="AY25">
        <v>1</v>
      </c>
      <c r="AZ25" s="37">
        <v>1</v>
      </c>
      <c r="BA25">
        <v>2</v>
      </c>
      <c r="BB25" s="35">
        <v>1</v>
      </c>
      <c r="BC25" s="36">
        <v>2</v>
      </c>
      <c r="BD25">
        <v>1</v>
      </c>
      <c r="BE25" s="37">
        <v>1</v>
      </c>
      <c r="BF25">
        <v>2</v>
      </c>
      <c r="BG25" s="35">
        <v>1</v>
      </c>
      <c r="BH25" s="36">
        <v>2</v>
      </c>
      <c r="BI25">
        <v>1</v>
      </c>
      <c r="BK25" s="11">
        <v>2</v>
      </c>
      <c r="BL25" cm="1">
        <f t="array" ref="BL25">FRONTEND!$M8-$W$39*SUM($BL$15:$BP$20*BV6:BZ11)</f>
        <v>0.11929401565708365</v>
      </c>
      <c r="BM25" cm="1">
        <f t="array" ref="BM25">FRONTEND!$N8-$W$39*SUM($BL$15:$BP$20*BW6:CA11)</f>
        <v>-0.20105071457369933</v>
      </c>
      <c r="BN25" s="12" cm="1">
        <f t="array" ref="BN25">FRONTEND!$O8-$W$39*SUM($BL$15:$BP$20*BX6:CB11)</f>
        <v>-0.74587528533908365</v>
      </c>
    </row>
    <row r="26" ht="21">
      <c r="C26" s="45" t="s">
        <v>144</v>
      </c>
      <c r="D26" s="45"/>
      <c r="E26" s="45"/>
      <c r="F26" s="45"/>
      <c r="K26" s="32" t="s">
        <v>135</v>
      </c>
      <c r="V26" s="7"/>
      <c r="W26" s="18" t="s">
        <v>55</v>
      </c>
      <c r="X26" s="9"/>
      <c r="Y26" t="s">
        <v>56</v>
      </c>
      <c r="AD26" s="11">
        <v>6</v>
      </c>
      <c r="AE26">
        <f/>
        <v>0.60512698850807622</v>
      </c>
      <c r="AF26">
        <f/>
        <v>0.88684730586865035</v>
      </c>
      <c r="AG26" s="12">
        <f/>
        <v>0.76442918459018716</v>
      </c>
      <c r="AJ26">
        <v>1</v>
      </c>
      <c r="AK26" s="40" cm="1">
        <f t="array" ref="AK26:AK27">AH94:AH95+_xlfn.ANCHORARRAY(AS20)</f>
        <v>-0.21079132042979465</v>
      </c>
      <c r="AL26" s="33"/>
      <c r="AM26" cm="1">
        <f t="array" ref="AM26:AM27">_xlfn.ANCHORARRAY(AK26)*(1-$O$41:$O$42)</f>
        <v>-0.070304785462033864</v>
      </c>
      <c r="AN26" s="34" cm="1">
        <f t="array" ref="AN26:AN27">_xlfn.ANCHORARRAY(AM26)*(1-$R$41:$R$42*$R$41:$R$42)</f>
        <v>-0.065827102033372123</v>
      </c>
      <c r="AO26" s="34" cm="1">
        <f t="array" ref="AO26:AO27">_xlfn.ANCHORARRAY(AK26)*(_xlfn.ANCHORARRAY(T35)-$R$41:$R$42)</f>
        <v>0.15856872404210101</v>
      </c>
      <c r="AP26" s="34" cm="1">
        <f t="array" ref="AP26:AP27">_xlfn.ANCHORARRAY(AO26)*($O$41:$O$42*(1-$O$41:$O$42))</f>
        <v>0.03524777204622722</v>
      </c>
      <c r="AQ26" s="34" cm="1">
        <f t="array" ref="AQ26:AQ27">MMULT(TRANSPOSE($P$23:$Q$24),_xlfn.ANCHORARRAY(AN26))*_xlfn.ANCHORARRAY(T41)</f>
        <v>0.011017759793827601</v>
      </c>
      <c r="AR26" s="34" cm="1">
        <f t="array" ref="AR26:AR27">_xlfn.ANCHORARRAY(AQ26)*($L$41:$L$42*(1-$L$41:$L$42))</f>
        <v>0.0011478743770211141</v>
      </c>
      <c r="AS26" s="34" cm="1">
        <f t="array" ref="AS26:AS27">_xlfn.ANCHORARRAY(AK26)*$O$41:$O$42+MMULT(TRANSPOSE($P$23:$Q$24),_xlfn.ANCHORARRAY(AN26))*$L$41:$L$42+MMULT(TRANSPOSE($P$18:$Q$19),_xlfn.ANCHORARRAY(AP26))+MMULT(TRANSPOSE($P$13:$Q$14),_xlfn.ANCHORARRAY(AR26))</f>
        <v>-0.17942677518717351</v>
      </c>
      <c r="AT26" s="33"/>
      <c r="AU26" cm="1">
        <f t="array" ref="AU26:AV27">MMULT(_xlfn.ANCHORARRAY(AN26),TRANSPOSE($E$14:$E$15))</f>
        <v>-0.22242501392476294</v>
      </c>
      <c r="AV26">
        <f/>
        <v>-0.1210768415737471</v>
      </c>
      <c r="AW26" s="35" cm="1">
        <f t="array" ref="AW26:AX27">MMULT(_xlfn.ANCHORARRAY(AN26),TRANSPOSE($L$41:$L$42*_xlfn.ANCHORARRAY(T35)))</f>
        <v>0.029018511912791273</v>
      </c>
      <c r="AX26" s="36">
        <f/>
        <v>-0.055829845949385143</v>
      </c>
      <c r="AY26" cm="1">
        <f t="array" ref="AY26:AY27">_xlfn.ANCHORARRAY(AN26)</f>
        <v>-0.065827102033372123</v>
      </c>
      <c r="AZ26" s="37" cm="1">
        <f t="array" ref="AZ26:BA27">MMULT(_xlfn.ANCHORARRAY(AP26),TRANSPOSE($E$14:$E$15))</f>
        <v>0.11909967089580141</v>
      </c>
      <c r="BA26">
        <f/>
        <v>0.064831790858802044</v>
      </c>
      <c r="BB26" s="35" cm="1">
        <f t="array" ref="BB26:BC27">MMULT(_xlfn.ANCHORARRAY(AP26),TRANSPOSE(_xlfn.ANCHORARRAY(T35)))</f>
        <v>-0.017619886937243721</v>
      </c>
      <c r="BC26" s="36">
        <f/>
        <v>0.033443154896835775</v>
      </c>
      <c r="BD26" cm="1">
        <f t="array" ref="BD26:BD27">_xlfn.ANCHORARRAY(AP26)</f>
        <v>0.03524777204622722</v>
      </c>
      <c r="BE26" s="37" cm="1">
        <f t="array" ref="BE26:BF27">MMULT(_xlfn.ANCHORARRAY(AR26),TRANSPOSE($E$14:$E$15))</f>
        <v>0.0038785844493558794</v>
      </c>
      <c r="BF26">
        <f/>
        <v>0.0021113037001490721</v>
      </c>
      <c r="BG26" s="35" cm="1">
        <f t="array" ref="BG26:BH27">MMULT(_xlfn.ANCHORARRAY(AR26),TRANSPOSE(_xlfn.ANCHORARRAY(T35)))</f>
        <v>-0.00057380695479832325</v>
      </c>
      <c r="BH26" s="36">
        <f/>
        <v>0.0010891054487778594</v>
      </c>
      <c r="BI26" cm="1">
        <f t="array" ref="BI26:BI27">_xlfn.ANCHORARRAY(AR26)</f>
        <v>0.0011478743770211141</v>
      </c>
      <c r="BK26" s="11">
        <v>3</v>
      </c>
      <c r="BL26" cm="1">
        <f t="array" ref="BL26">FRONTEND!$M9-$W$39*SUM($BL$15:$BP$20*BV7:BZ12)</f>
        <v>0.73296607012922832</v>
      </c>
      <c r="BM26" cm="1">
        <f t="array" ref="BM26">FRONTEND!$N9-$W$39*SUM($BL$15:$BP$20*BW7:CA12)</f>
        <v>0.80055534384066374</v>
      </c>
      <c r="BN26" s="12" cm="1">
        <f t="array" ref="BN26">FRONTEND!$O9-$W$39*SUM($BL$15:$BP$20*BX7:CB12)</f>
        <v>-0.96440546834866825</v>
      </c>
    </row>
    <row r="27">
      <c r="C27" t="s">
        <v>145</v>
      </c>
      <c r="D27" s="29" t="s">
        <v>146</v>
      </c>
      <c r="E27" s="29" t="s">
        <v>147</v>
      </c>
      <c r="H27" t="s">
        <v>148</v>
      </c>
      <c r="I27" t="s">
        <v>149</v>
      </c>
      <c r="K27" t="s">
        <v>148</v>
      </c>
      <c r="L27" s="29" t="s">
        <v>150</v>
      </c>
      <c r="N27" t="s">
        <v>151</v>
      </c>
      <c r="O27" s="29" t="s">
        <v>150</v>
      </c>
      <c r="Q27" t="s">
        <v>145</v>
      </c>
      <c r="R27" s="29" t="s">
        <v>146</v>
      </c>
      <c r="T27" s="29" t="s">
        <v>147</v>
      </c>
      <c r="V27" s="11"/>
      <c r="W27">
        <v>1</v>
      </c>
      <c r="X27" s="12"/>
      <c r="AD27" s="11">
        <v>7</v>
      </c>
      <c r="AE27">
        <f/>
        <v>-0.20614499685397725</v>
      </c>
      <c r="AF27">
        <f/>
        <v>-0.86359962142595614</v>
      </c>
      <c r="AG27" s="12">
        <f/>
        <v>0.25286453768535505</v>
      </c>
      <c r="AJ27">
        <v>2</v>
      </c>
      <c r="AK27" s="41">
        <f/>
        <v>0.074704525421380105</v>
      </c>
      <c r="AL27" s="33"/>
      <c r="AM27">
        <f/>
        <v>0.071259957514161573</v>
      </c>
      <c r="AN27" s="34">
        <f/>
        <v>2.8069293368857336e-05</v>
      </c>
      <c r="AO27" s="34">
        <f/>
        <v>-0.0038100114263982868</v>
      </c>
      <c r="AP27" s="34">
        <f/>
        <v>-0.00016757636511710144</v>
      </c>
      <c r="AQ27" s="34">
        <f/>
        <v>-0.048628621796436074</v>
      </c>
      <c r="AR27" s="34">
        <f/>
        <v>-0.0046122959837606239</v>
      </c>
      <c r="AS27" s="34">
        <f/>
        <v>-0.0071148168750712155</v>
      </c>
      <c r="AT27" s="33"/>
      <c r="AU27">
        <f/>
        <v>9.4844110944777727e-05</v>
      </c>
      <c r="AV27">
        <f/>
        <v>5.1628300218733975e-05</v>
      </c>
      <c r="AW27" s="35">
        <f/>
        <v>-1.2373765498515807e-05</v>
      </c>
      <c r="AX27" s="36">
        <f/>
        <v>2.3806369660583477e-05</v>
      </c>
      <c r="AY27">
        <f/>
        <v>2.8069293368857336e-05</v>
      </c>
      <c r="AZ27" s="37">
        <f/>
        <v>-0.000566228410385379</v>
      </c>
      <c r="BA27">
        <f/>
        <v>-0.00030822588848741263</v>
      </c>
      <c r="BB27" s="35">
        <f/>
        <v>8.3769169944846001e-05</v>
      </c>
      <c r="BC27" s="36">
        <f/>
        <v>-0.00015899678221675831</v>
      </c>
      <c r="BD27">
        <f/>
        <v>-0.00016757636511710144</v>
      </c>
      <c r="BE27" s="37">
        <f/>
        <v>-0.015584614341566994</v>
      </c>
      <c r="BF27">
        <f/>
        <v>-0.0084834697695472545</v>
      </c>
      <c r="BG27" s="35">
        <f/>
        <v>0.0023056246973108792</v>
      </c>
      <c r="BH27" s="36">
        <f/>
        <v>-0.0043761554294172861</v>
      </c>
      <c r="BI27">
        <f/>
        <v>-0.0046122959837606239</v>
      </c>
      <c r="BK27" s="11">
        <v>4</v>
      </c>
      <c r="BL27" cm="1">
        <f t="array" ref="BL27">FRONTEND!$M10-$W$39*SUM($BL$15:$BP$20*BV8:BZ13)</f>
        <v>0.78757946568198078</v>
      </c>
      <c r="BM27" cm="1">
        <f t="array" ref="BM27">FRONTEND!$N10-$W$39*SUM($BL$15:$BP$20*BW8:CA13)</f>
        <v>0.50862609107874801</v>
      </c>
      <c r="BN27" s="12" cm="1">
        <f t="array" ref="BN27">FRONTEND!$O10-$W$39*SUM($BL$15:$BP$20*BX8:CB13)</f>
        <v>-0.9047486531590625</v>
      </c>
    </row>
    <row r="28">
      <c r="C28">
        <v>1</v>
      </c>
      <c r="D28" s="30">
        <v>1</v>
      </c>
      <c r="E28" s="30">
        <v>1</v>
      </c>
      <c r="H28" t="s">
        <v>151</v>
      </c>
      <c r="I28" t="s">
        <v>152</v>
      </c>
      <c r="K28">
        <v>1</v>
      </c>
      <c r="L28" s="30">
        <v>1</v>
      </c>
      <c r="N28">
        <v>1</v>
      </c>
      <c r="O28" s="30">
        <v>1</v>
      </c>
      <c r="Q28">
        <v>1</v>
      </c>
      <c r="R28" s="30">
        <v>1</v>
      </c>
      <c r="T28" s="30">
        <v>1</v>
      </c>
      <c r="V28" s="11">
        <v>1</v>
      </c>
      <c r="W28">
        <f t="shared" ref="W28:W30" si="163">1/(1+EXP(-W22))</f>
        <v>0.44519023472506319</v>
      </c>
      <c r="X28" s="12" t="s">
        <v>10</v>
      </c>
      <c r="AD28" s="11">
        <v>8</v>
      </c>
      <c r="AE28">
        <f/>
        <v>0.55644325166864239</v>
      </c>
      <c r="AF28">
        <f/>
        <v>0.18384224914734335</v>
      </c>
      <c r="AG28" s="12">
        <f/>
        <v>-0.50633074803693423</v>
      </c>
      <c r="AK28" s="33"/>
      <c r="AL28" s="33"/>
      <c r="AN28" s="34"/>
      <c r="AO28" s="34"/>
      <c r="AP28" s="34"/>
      <c r="AQ28" s="34"/>
      <c r="AR28" s="34"/>
      <c r="AS28" s="34"/>
      <c r="AT28" s="33"/>
      <c r="AW28" s="35"/>
      <c r="AX28" s="36"/>
      <c r="AZ28" s="37"/>
      <c r="BB28" s="35"/>
      <c r="BC28" s="36"/>
      <c r="BE28" s="37"/>
      <c r="BG28" s="35"/>
      <c r="BH28" s="36"/>
      <c r="BK28" s="13">
        <v>5</v>
      </c>
      <c r="BL28" s="15" cm="1">
        <f t="array" ref="BL28">FRONTEND!$M11-$W$39*SUM($BL$15:$BP$20*BV9:BZ14)</f>
        <v>0.41873346339093009</v>
      </c>
      <c r="BM28" s="15" cm="1">
        <f t="array" ref="BM28">FRONTEND!$N11-$W$39*SUM($BL$15:$BP$20*BW9:CA14)</f>
        <v>-0.42573849564770444</v>
      </c>
      <c r="BN28" s="14" cm="1">
        <f t="array" ref="BN28">FRONTEND!$O11-$W$39*SUM($BL$15:$BP$20*BX9:CB14)</f>
        <v>0.29491139049989001</v>
      </c>
    </row>
    <row r="29" ht="21">
      <c r="C29" cm="1">
        <f t="array" ref="C29:C30">MMULT($L$23:$M$24,$C$14:$C$15)+$L$29:$L$30*MMULT($P$23:$Q$24,$L$7:$L$8)+$T$23:$T$24</f>
        <v>-0.95197821889074408</v>
      </c>
      <c r="D29" s="30">
        <f t="shared" ref="D29:D60" si="164">(EXP(C29)-EXP(-C29))/(EXP(C29)+EXP(-C29))</f>
        <v>-0.74067732269118158</v>
      </c>
      <c r="E29" s="30" cm="1">
        <f t="array" ref="E29:E30">O29:O30*L7:L8+(1-O29:O30)*D29:D30</f>
        <v>-0.4552620783747916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3.988087614218065</v>
      </c>
      <c r="L29" s="30">
        <f t="shared" ref="L29:L60" si="165">1/(1+EXP(-K29))</f>
        <v>0.98180217247588075</v>
      </c>
      <c r="N29" cm="1">
        <f t="array" ref="N29:N30">MMULT($L$18:$M$19,$C$14:$C$15)+MMULT($P$18:$Q$19,$L$7:$L$8)+$T$18:$T$19</f>
        <v>-1.4851298595480626</v>
      </c>
      <c r="O29" s="30">
        <f t="shared" ref="O29:O60" si="166">1/(1+EXP(-N29))</f>
        <v>0.18465383435881236</v>
      </c>
      <c r="Q29" cm="1">
        <f t="array" ref="Q29:Q30">MMULT($L$23:$M$24,$C$14:$C$15)+MMULT($P$23:$Q$24,$L$29:$L$30*$L$7:$L$8)+$T$23:$T$24</f>
        <v>-0.76420633157134665</v>
      </c>
      <c r="R29" s="30">
        <f t="shared" ref="R29:R60" si="167">(EXP(Q29)-EXP(-Q29))/(EXP(Q29)+EXP(-Q29))</f>
        <v>-0.64354789833668269</v>
      </c>
      <c r="T29" s="46" cm="1">
        <f t="array" ref="T29:T30">O29:O30*L7:L8+(1-O29:O30)*R29:R30</f>
        <v>-0.37606797465641517</v>
      </c>
      <c r="V29" s="11">
        <v>2</v>
      </c>
      <c r="W29">
        <f t="shared" si="163"/>
        <v>0.74790871841668372</v>
      </c>
      <c r="X29" s="12" t="s">
        <v>11</v>
      </c>
      <c r="AD29" s="11">
        <v>9</v>
      </c>
      <c r="AE29">
        <f/>
        <v>1.0024099026230446</v>
      </c>
      <c r="AF29">
        <f/>
        <v>-0.94893028208407149</v>
      </c>
      <c r="AG29" s="12">
        <f/>
        <v>-0.90221690798092413</v>
      </c>
      <c r="AK29" s="44" t="s">
        <v>154</v>
      </c>
      <c r="AL29" s="33"/>
      <c r="AN29" s="34"/>
      <c r="AO29" s="34"/>
      <c r="AP29" s="34"/>
      <c r="AQ29" s="34"/>
      <c r="AR29" s="34"/>
      <c r="AS29" s="34"/>
      <c r="AT29" s="33"/>
      <c r="AU29" s="32" t="s">
        <v>154</v>
      </c>
      <c r="AW29" s="35"/>
      <c r="AX29" s="36"/>
      <c r="AZ29" s="37"/>
      <c r="BB29" s="35"/>
      <c r="BC29" s="36"/>
      <c r="BE29" s="37"/>
      <c r="BG29" s="35"/>
      <c r="BH29" s="36"/>
    </row>
    <row r="30">
      <c r="C30">
        <f/>
        <v>2.8410055911643446</v>
      </c>
      <c r="D30" s="31">
        <f t="shared" si="164"/>
        <v>0.99320973229730214</v>
      </c>
      <c r="E30" s="31">
        <f/>
        <v>0.60985406573770518</v>
      </c>
      <c r="H30" t="s">
        <v>155</v>
      </c>
      <c r="I30" t="s">
        <v>156</v>
      </c>
      <c r="J30">
        <v>2</v>
      </c>
      <c r="K30">
        <f/>
        <v>0.95656399454206531</v>
      </c>
      <c r="L30" s="31">
        <f t="shared" si="165"/>
        <v>0.72243333244892138</v>
      </c>
      <c r="N30">
        <f/>
        <v>-1.4205455686589383</v>
      </c>
      <c r="O30" s="31">
        <f t="shared" si="166"/>
        <v>0.19457606988500506</v>
      </c>
      <c r="Q30">
        <f/>
        <v>2.7351480896399418</v>
      </c>
      <c r="R30" s="31">
        <f t="shared" si="167"/>
        <v>0.99161532921281192</v>
      </c>
      <c r="T30" s="47">
        <f/>
        <v>0.60856989533920758</v>
      </c>
      <c r="V30" s="13">
        <v>3</v>
      </c>
      <c r="W30" s="15">
        <f t="shared" si="163"/>
        <v>0.87557624932731104</v>
      </c>
      <c r="X30" s="14" t="s">
        <v>12</v>
      </c>
      <c r="AD30" s="11">
        <v>10</v>
      </c>
      <c r="AE30">
        <f/>
        <v>0.48219641493750509</v>
      </c>
      <c r="AF30">
        <f/>
        <v>0.36294738088592748</v>
      </c>
      <c r="AG30" s="12">
        <f/>
        <v>-0.20404052173424919</v>
      </c>
      <c r="AJ30" t="s">
        <v>104</v>
      </c>
      <c r="AK30" s="33" t="s">
        <v>105</v>
      </c>
      <c r="AL30" s="33"/>
      <c r="AM30" t="s">
        <v>106</v>
      </c>
      <c r="AN30" s="34" t="s">
        <v>107</v>
      </c>
      <c r="AO30" s="34" t="s">
        <v>108</v>
      </c>
      <c r="AP30" s="34" t="s">
        <v>109</v>
      </c>
      <c r="AQ30" s="34" t="s">
        <v>110</v>
      </c>
      <c r="AR30" s="34" t="s">
        <v>111</v>
      </c>
      <c r="AS30" s="34" t="s">
        <v>112</v>
      </c>
      <c r="AT30" s="33"/>
      <c r="AU30" t="s">
        <v>113</v>
      </c>
      <c r="AW30" s="35" t="s">
        <v>115</v>
      </c>
      <c r="AX30" s="36"/>
      <c r="AY30" t="s">
        <v>117</v>
      </c>
      <c r="AZ30" s="37" t="s">
        <v>118</v>
      </c>
      <c r="BB30" s="35" t="s">
        <v>120</v>
      </c>
      <c r="BC30" s="36"/>
      <c r="BD30" t="s">
        <v>122</v>
      </c>
      <c r="BE30" s="37" t="s">
        <v>123</v>
      </c>
      <c r="BG30" s="35" t="s">
        <v>125</v>
      </c>
      <c r="BH30" s="36"/>
      <c r="BI30" t="s">
        <v>127</v>
      </c>
    </row>
    <row r="31" ht="26.25">
      <c r="C31" s="48" t="s">
        <v>157</v>
      </c>
      <c r="D31" s="48"/>
      <c r="E31" s="48"/>
      <c r="F31" s="48"/>
      <c r="AD31" s="11">
        <v>11</v>
      </c>
      <c r="AE31">
        <f/>
        <v>0.2490857027884123</v>
      </c>
      <c r="AF31">
        <f/>
        <v>0.48474231992758615</v>
      </c>
      <c r="AG31" s="12">
        <f/>
        <v>-0.0041866695023647822</v>
      </c>
      <c r="AK31" s="33">
        <v>1</v>
      </c>
      <c r="AL31" s="33"/>
      <c r="AM31">
        <v>1</v>
      </c>
      <c r="AN31" s="34">
        <v>1</v>
      </c>
      <c r="AO31" s="34">
        <v>1</v>
      </c>
      <c r="AP31" s="34">
        <v>1</v>
      </c>
      <c r="AQ31" s="34">
        <v>1</v>
      </c>
      <c r="AR31" s="34">
        <v>1</v>
      </c>
      <c r="AS31" s="34">
        <v>1</v>
      </c>
      <c r="AT31" s="33"/>
      <c r="AU31">
        <v>1</v>
      </c>
      <c r="AV31">
        <v>2</v>
      </c>
      <c r="AW31" s="35">
        <v>1</v>
      </c>
      <c r="AX31" s="36">
        <v>2</v>
      </c>
      <c r="AY31">
        <v>1</v>
      </c>
      <c r="AZ31" s="37">
        <v>1</v>
      </c>
      <c r="BA31">
        <v>2</v>
      </c>
      <c r="BB31" s="35">
        <v>1</v>
      </c>
      <c r="BC31" s="36">
        <v>2</v>
      </c>
      <c r="BD31">
        <v>1</v>
      </c>
      <c r="BE31" s="37">
        <v>1</v>
      </c>
      <c r="BF31">
        <v>2</v>
      </c>
      <c r="BG31" s="35">
        <v>1</v>
      </c>
      <c r="BH31" s="36">
        <v>2</v>
      </c>
      <c r="BI31">
        <v>1</v>
      </c>
      <c r="BL31" s="6" t="s">
        <v>68</v>
      </c>
    </row>
    <row r="32" ht="26.25">
      <c r="K32" s="32" t="s">
        <v>154</v>
      </c>
      <c r="V32" s="7"/>
      <c r="W32" s="18" t="s">
        <v>61</v>
      </c>
      <c r="X32" s="9"/>
      <c r="Y32" t="s">
        <v>62</v>
      </c>
      <c r="AD32" s="13">
        <v>12</v>
      </c>
      <c r="AE32" s="15">
        <f/>
        <v>-0.15660267156859406</v>
      </c>
      <c r="AF32" s="15">
        <f/>
        <v>-0.44361723886181681</v>
      </c>
      <c r="AG32" s="14">
        <f/>
        <v>0.012331744466989029</v>
      </c>
      <c r="AJ32">
        <v>1</v>
      </c>
      <c r="AK32" s="40" cm="1">
        <f t="array" ref="AK32:AK33">AI94:AI95+_xlfn.ANCHORARRAY(AS26)</f>
        <v>-0.24679317003692425</v>
      </c>
      <c r="AL32" s="33"/>
      <c r="AM32" cm="1">
        <f t="array" ref="AM32:AM33">_xlfn.ANCHORARRAY(AK32)*(1-$O$35:$O$36)</f>
        <v>-0.11444662866636675</v>
      </c>
      <c r="AN32" s="34" cm="1">
        <f t="array" ref="AN32:AN33">_xlfn.ANCHORARRAY(AM32)*(1-$R$35:$R$36*$R$35:$R$36)</f>
        <v>-0.067118358634162947</v>
      </c>
      <c r="AO32" s="34" cm="1">
        <f t="array" ref="AO32:AO33">_xlfn.ANCHORARRAY(AK32)*(_xlfn.ANCHORARRAY(T29)-$R$35:$R$36)</f>
        <v>-0.065894482150533729</v>
      </c>
      <c r="AP32" s="34" cm="1">
        <f t="array" ref="AP32:AP33">_xlfn.ANCHORARRAY(AO32)*($O$35:$O$36*(1-$O$35:$O$36))</f>
        <v>-0.016386959355087154</v>
      </c>
      <c r="AQ32" s="34" cm="1">
        <f t="array" ref="AQ32:AQ33">MMULT(TRANSPOSE($P$23:$Q$24),_xlfn.ANCHORARRAY(AN32))*_xlfn.ANCHORARRAY(T29)</f>
        <v>0.017102951210400549</v>
      </c>
      <c r="AR32" s="34" cm="1">
        <f t="array" ref="AR32:AR33">_xlfn.ANCHORARRAY(AQ32)*($L$35:$L$36*(1-$L$35:$L$36))</f>
        <v>0.0014910719950794399</v>
      </c>
      <c r="AS32" s="34" cm="1">
        <f t="array" ref="AS32:AS33">_xlfn.ANCHORARRAY(AK32)*$O$35:$O$36+MMULT(TRANSPOSE($P$23:$Q$24),_xlfn.ANCHORARRAY(AN32))*$L$35:$L$36+MMULT(TRANSPOSE($P$18:$Q$19),_xlfn.ANCHORARRAY(AP32))+MMULT(TRANSPOSE($P$13:$Q$14),_xlfn.ANCHORARRAY(AR32))</f>
        <v>-0.17845954822079366</v>
      </c>
      <c r="AT32" s="33"/>
      <c r="AU32" cm="1">
        <f t="array" ref="AU32:AV33">MMULT(_xlfn.ANCHORARRAY(AN32),TRANSPOSE($D$14:$D$15))</f>
        <v>-0.21315282195132199</v>
      </c>
      <c r="AV32">
        <f/>
        <v>-0.056007696433735432</v>
      </c>
      <c r="AW32" s="35" cm="1">
        <f t="array" ref="AW32:AX33">MMULT(_xlfn.ANCHORARRAY(AN32),TRANSPOSE($L$35:$L$36*_xlfn.ANCHORARRAY(T29)))</f>
        <v>0.022805477670779551</v>
      </c>
      <c r="AX32" s="36">
        <f/>
        <v>-0.030031385321045156</v>
      </c>
      <c r="AY32" cm="1">
        <f t="array" ref="AY32:AY33">_xlfn.ANCHORARRAY(AN32)</f>
        <v>-0.067118358634162947</v>
      </c>
      <c r="AZ32" s="37" cm="1">
        <f t="array" ref="AZ32:BA33">MMULT(_xlfn.ANCHORARRAY(AP32),TRANSPOSE($D$14:$D$15))</f>
        <v>-0.052041299889007686</v>
      </c>
      <c r="BA32">
        <f/>
        <v>-0.013674289176739914</v>
      </c>
      <c r="BB32" s="35" cm="1">
        <f t="array" ref="BB32:BC33">MMULT(_xlfn.ANCHORARRAY(AP32),TRANSPOSE(_xlfn.ANCHORARRAY(T29)))</f>
        <v>0.0061626106154446213</v>
      </c>
      <c r="BC32" s="36">
        <f/>
        <v>-0.0099726101396532384</v>
      </c>
      <c r="BD32" cm="1">
        <f t="array" ref="BD32:BD33">_xlfn.ANCHORARRAY(AP32)</f>
        <v>-0.016386959355087154</v>
      </c>
      <c r="BE32" s="37" cm="1">
        <f t="array" ref="BE32:BF33">MMULT(_xlfn.ANCHORARRAY(AR32),TRANSPOSE($D$14:$D$15))</f>
        <v>0.0047353095330611699</v>
      </c>
      <c r="BF32">
        <f/>
        <v>0.0012442424004502778</v>
      </c>
      <c r="BG32" s="35" cm="1">
        <f t="array" ref="BG32:BH33">MMULT(_xlfn.ANCHORARRAY(AR32),TRANSPOSE(_xlfn.ANCHORARRAY(T29)))</f>
        <v>-0.00056074442525642519</v>
      </c>
      <c r="BH32" s="36">
        <f/>
        <v>0.00090742152798871823</v>
      </c>
      <c r="BI32" cm="1">
        <f t="array" ref="BI32:BI33">_xlfn.ANCHORARRAY(AR32)</f>
        <v>0.0014910719950794399</v>
      </c>
      <c r="BL32" s="6" t="s">
        <v>21</v>
      </c>
      <c r="BT32">
        <v>0</v>
      </c>
      <c r="BU32">
        <v>0</v>
      </c>
      <c r="BV32">
        <v>0</v>
      </c>
    </row>
    <row r="33">
      <c r="C33" t="s">
        <v>145</v>
      </c>
      <c r="D33" s="29" t="s">
        <v>146</v>
      </c>
      <c r="E33" s="29" t="s">
        <v>147</v>
      </c>
      <c r="K33" t="s">
        <v>148</v>
      </c>
      <c r="L33" s="29" t="s">
        <v>150</v>
      </c>
      <c r="N33" t="s">
        <v>151</v>
      </c>
      <c r="O33" s="29" t="s">
        <v>150</v>
      </c>
      <c r="Q33" t="s">
        <v>145</v>
      </c>
      <c r="R33" s="29" t="s">
        <v>146</v>
      </c>
      <c r="T33" s="29" t="s">
        <v>147</v>
      </c>
      <c r="V33" s="11"/>
      <c r="W33">
        <v>1</v>
      </c>
      <c r="X33" s="25" t="s">
        <v>63</v>
      </c>
      <c r="AJ33">
        <v>2</v>
      </c>
      <c r="AK33" s="41">
        <f/>
        <v>0.16312854751110206</v>
      </c>
      <c r="AL33" s="33"/>
      <c r="AM33">
        <f/>
        <v>0.14273730861128564</v>
      </c>
      <c r="AN33" s="34">
        <f/>
        <v>0.00073927736335579238</v>
      </c>
      <c r="AO33" s="34">
        <f/>
        <v>-0.063430431301684825</v>
      </c>
      <c r="AP33" s="34">
        <f/>
        <v>-0.0069377531347023574</v>
      </c>
      <c r="AQ33" s="34">
        <f/>
        <v>-0.029866180819244095</v>
      </c>
      <c r="AR33" s="34">
        <f/>
        <v>-0.0058139468228375285</v>
      </c>
      <c r="AS33" s="34">
        <f/>
        <v>-0.033806468014977886</v>
      </c>
      <c r="AT33" s="33"/>
      <c r="AU33">
        <f/>
        <v>0.0023477787510109483</v>
      </c>
      <c r="AV33">
        <f/>
        <v>0.00061689861000397697</v>
      </c>
      <c r="AW33" s="35">
        <f/>
        <v>-0.00025119168206151361</v>
      </c>
      <c r="AX33" s="36">
        <f/>
        <v>0.00033078167896024251</v>
      </c>
      <c r="AY33">
        <f/>
        <v>0.00073927736335579238</v>
      </c>
      <c r="AZ33" s="37">
        <f/>
        <v>-0.02203274467309059</v>
      </c>
      <c r="BA33">
        <f/>
        <v>-0.0057892889428143267</v>
      </c>
      <c r="BB33" s="35">
        <f/>
        <v>0.002609066770033711</v>
      </c>
      <c r="BC33" s="36">
        <f/>
        <v>-0.0042221076990750731</v>
      </c>
      <c r="BD33">
        <f/>
        <v>-0.0069377531347023574</v>
      </c>
      <c r="BE33" s="37">
        <f/>
        <v>-0.018463788405754671</v>
      </c>
      <c r="BF33">
        <f/>
        <v>-0.0048515156711478758</v>
      </c>
      <c r="BG33" s="35">
        <f/>
        <v>0.0021864392064246093</v>
      </c>
      <c r="BH33" s="36">
        <f/>
        <v>-0.0035381930094819532</v>
      </c>
      <c r="BI33">
        <f/>
        <v>-0.0058139468228375285</v>
      </c>
      <c r="BL33" t="s">
        <v>43</v>
      </c>
      <c r="BM33" t="s">
        <v>83</v>
      </c>
      <c r="BT33">
        <v>0</v>
      </c>
      <c r="BU33" s="29" cm="1">
        <f t="array" ref="BU33:BU38">FRONTEND!$B$26:$B$31</f>
        <v>0.36548104119790437</v>
      </c>
      <c r="BV33">
        <v>0</v>
      </c>
    </row>
    <row r="34">
      <c r="C34">
        <v>1</v>
      </c>
      <c r="D34" s="30">
        <v>1</v>
      </c>
      <c r="E34" s="30">
        <v>1</v>
      </c>
      <c r="K34">
        <v>1</v>
      </c>
      <c r="L34" s="30">
        <v>1</v>
      </c>
      <c r="N34">
        <v>1</v>
      </c>
      <c r="O34" s="30">
        <v>1</v>
      </c>
      <c r="Q34">
        <v>1</v>
      </c>
      <c r="R34" s="30">
        <v>1</v>
      </c>
      <c r="T34" s="30">
        <v>1</v>
      </c>
      <c r="V34" s="26" t="s">
        <v>65</v>
      </c>
      <c r="W34" s="1">
        <f>((2/(1+DATA!$I$16))*X34*LN(W28)+((2*DATA!$I$16)/(1+DATA!$I$16))*(1-X34)*LN(1-W28))</f>
        <v>-1.4510754106503125</v>
      </c>
      <c r="X34" s="12">
        <v>1</v>
      </c>
      <c r="AD34" s="7"/>
      <c r="AE34" s="10" t="s">
        <v>23</v>
      </c>
      <c r="AF34" t="s">
        <v>64</v>
      </c>
      <c r="AK34" s="33"/>
      <c r="AL34" s="33"/>
      <c r="AN34" s="34"/>
      <c r="AO34" s="34"/>
      <c r="AP34" s="34"/>
      <c r="AQ34" s="34"/>
      <c r="AR34" s="34"/>
      <c r="AS34" s="34"/>
      <c r="AT34" s="33"/>
      <c r="AW34" s="35"/>
      <c r="AX34" s="36"/>
      <c r="AZ34" s="37"/>
      <c r="BB34" s="35"/>
      <c r="BC34" s="36"/>
      <c r="BE34" s="37"/>
      <c r="BG34" s="35"/>
      <c r="BH34" s="36"/>
      <c r="BL34">
        <v>1</v>
      </c>
      <c r="BT34">
        <v>0</v>
      </c>
      <c r="BU34" s="30">
        <f/>
        <v>-0.24318936518565337</v>
      </c>
      <c r="BV34">
        <v>0</v>
      </c>
    </row>
    <row r="35" ht="21">
      <c r="C35" cm="1">
        <f t="array" ref="C35:C36">MMULT($L$23:$M$24,$D$14:$D$15)+$L$35:$L$36*MMULT($P$23:$Q$24,_xlfn.ANCHORARRAY(T29))+$T$23:$T$24</f>
        <v>-0.68750817528933572</v>
      </c>
      <c r="D35" s="30">
        <f t="shared" si="164"/>
        <v>-0.59637882310790036</v>
      </c>
      <c r="E35" s="30" cm="1">
        <f t="array" ref="E35:E36">O35:O36*_xlfn.ANCHORARRAY(T29)+(1-O35:O36)*D35:D36</f>
        <v>-0.47823382414133786</v>
      </c>
      <c r="J35">
        <v>1</v>
      </c>
      <c r="K35" cm="1">
        <f t="array" ref="K35:K36">MMULT($L$13:$M$14,$D$14:$D$15)+MMULT($P$13:$Q$14,_xlfn.ANCHORARRAY(T29))+$T$13:$T$14</f>
        <v>2.2368127458333356</v>
      </c>
      <c r="L35" s="30">
        <f t="shared" si="165"/>
        <v>0.90350694377073815</v>
      </c>
      <c r="N35" cm="1">
        <f t="array" ref="N35:N36">MMULT($L$18:$M$19,$D$14:$D$15)+MMULT($P$18:$Q$19,_xlfn.ANCHORARRAY(T29))+$T$18:$T$19</f>
        <v>0.14531520674442189</v>
      </c>
      <c r="O35" s="30">
        <f t="shared" si="166"/>
        <v>0.53626500826889301</v>
      </c>
      <c r="Q35" cm="1">
        <f t="array" ref="Q35:Q36">MMULT($L$23:$M$24,$D$14:$D$15)+MMULT($P$23:$Q$24,$L$35:$L$36*_xlfn.ANCHORARRAY(T29))+$T$23:$T$24</f>
        <v>-0.76339244167171327</v>
      </c>
      <c r="R35" s="30">
        <f t="shared" si="167"/>
        <v>-0.64307083434120649</v>
      </c>
      <c r="T35" s="46" cm="1">
        <f t="array" ref="T35:T36">O35:O36*_xlfn.ANCHORARRAY(T29)+(1-O35:O36)*R35:R36</f>
        <v>-0.49988654358452378</v>
      </c>
      <c r="V35" s="11">
        <v>2</v>
      </c>
      <c r="W35" s="1">
        <f>((2/(1+DATA!$I$17))*X35*LN(W29)+((2*DATA!$I$17)/(1+DATA!$I$17))*(1-X35)*LN(1-W29))</f>
        <v>-1.0498773550890645</v>
      </c>
      <c r="X35" s="12">
        <v>0</v>
      </c>
      <c r="AD35" s="11"/>
      <c r="AE35" s="12">
        <v>1</v>
      </c>
      <c r="AK35" s="44" t="s">
        <v>135</v>
      </c>
      <c r="AL35" s="33"/>
      <c r="AN35" s="34"/>
      <c r="AO35" s="34"/>
      <c r="AP35" s="34"/>
      <c r="AQ35" s="34"/>
      <c r="AR35" s="34"/>
      <c r="AS35" s="34"/>
      <c r="AT35" s="33"/>
      <c r="AU35" s="32" t="s">
        <v>135</v>
      </c>
      <c r="AW35" s="35"/>
      <c r="AX35" s="36"/>
      <c r="AZ35" s="37"/>
      <c r="BB35" s="35"/>
      <c r="BC35" s="36"/>
      <c r="BE35" s="37"/>
      <c r="BG35" s="35"/>
      <c r="BH35" s="36"/>
      <c r="BK35">
        <v>1</v>
      </c>
      <c r="BL35" s="23">
        <f t="shared" ref="BL35:BL40" si="168">AV56*IF(AV56&gt;0,1,0)</f>
        <v>0</v>
      </c>
      <c r="BT35">
        <v>0</v>
      </c>
      <c r="BU35" s="30">
        <f/>
        <v>0.086633902217030781</v>
      </c>
      <c r="BV35">
        <v>0</v>
      </c>
    </row>
    <row r="36">
      <c r="C36">
        <f/>
        <v>3.2913092036921299</v>
      </c>
      <c r="D36" s="31">
        <f t="shared" si="164"/>
        <v>0.99723538664649158</v>
      </c>
      <c r="E36" s="31">
        <f/>
        <v>0.94865179409766454</v>
      </c>
      <c r="J36">
        <v>2</v>
      </c>
      <c r="K36">
        <f/>
        <v>1.0213249336317674</v>
      </c>
      <c r="L36" s="31">
        <f t="shared" si="165"/>
        <v>0.73523060011717456</v>
      </c>
      <c r="N36">
        <f/>
        <v>-1.9459005952748172</v>
      </c>
      <c r="O36" s="31">
        <f t="shared" si="166"/>
        <v>0.12500104494848546</v>
      </c>
      <c r="Q36">
        <f/>
        <v>3.3233938589685037</v>
      </c>
      <c r="R36" s="31">
        <f t="shared" si="167"/>
        <v>0.99740699509556952</v>
      </c>
      <c r="T36" s="47">
        <f/>
        <v>0.94880195131128564</v>
      </c>
      <c r="V36" s="11">
        <v>3</v>
      </c>
      <c r="W36" s="1">
        <f>((2/(1+DATA!$I$18))*X36*LN(W30)+((2*DATA!$I$18)/(1+DATA!$I$18))*(1-X36)*LN(1-W30))</f>
        <v>-0.20937569738836534</v>
      </c>
      <c r="X36" s="12">
        <v>1</v>
      </c>
      <c r="AD36" s="11">
        <v>1</v>
      </c>
      <c r="AE36" s="12">
        <f t="shared" ref="AE36:AE38" si="169">Z22-$W$39*$AE14</f>
        <v>1.0331610434417204</v>
      </c>
      <c r="AJ36" t="s">
        <v>104</v>
      </c>
      <c r="AK36" s="33" t="s">
        <v>105</v>
      </c>
      <c r="AL36" s="33"/>
      <c r="AM36" t="s">
        <v>106</v>
      </c>
      <c r="AN36" s="34" t="s">
        <v>107</v>
      </c>
      <c r="AO36" s="34" t="s">
        <v>108</v>
      </c>
      <c r="AP36" s="34" t="s">
        <v>109</v>
      </c>
      <c r="AQ36" s="34" t="s">
        <v>110</v>
      </c>
      <c r="AR36" s="34" t="s">
        <v>111</v>
      </c>
      <c r="AS36" s="49" t="s">
        <v>112</v>
      </c>
      <c r="AT36" s="33"/>
      <c r="AU36" t="s">
        <v>113</v>
      </c>
      <c r="AW36" s="35" t="s">
        <v>115</v>
      </c>
      <c r="AX36" s="36"/>
      <c r="AY36" t="s">
        <v>117</v>
      </c>
      <c r="AZ36" s="37" t="s">
        <v>118</v>
      </c>
      <c r="BB36" s="35" t="s">
        <v>120</v>
      </c>
      <c r="BC36" s="36"/>
      <c r="BD36" t="s">
        <v>122</v>
      </c>
      <c r="BE36" s="37" t="s">
        <v>123</v>
      </c>
      <c r="BG36" s="35" t="s">
        <v>125</v>
      </c>
      <c r="BH36" s="36"/>
      <c r="BI36" t="s">
        <v>127</v>
      </c>
      <c r="BK36">
        <v>2</v>
      </c>
      <c r="BL36" s="23">
        <f t="shared" si="168"/>
        <v>0</v>
      </c>
      <c r="BT36">
        <v>0</v>
      </c>
      <c r="BU36" s="30">
        <f/>
        <v>-0.84368679885201792</v>
      </c>
      <c r="BV36">
        <v>0</v>
      </c>
    </row>
    <row r="37">
      <c r="V37" s="27" t="s">
        <v>6</v>
      </c>
      <c r="W37" s="15">
        <f>-1*SUM(W34:W36)/3</f>
        <v>0.90344282104258078</v>
      </c>
      <c r="X37" s="14"/>
      <c r="AD37" s="11">
        <v>2</v>
      </c>
      <c r="AE37" s="12">
        <f t="shared" si="169"/>
        <v>0.9948420088385056</v>
      </c>
      <c r="AK37" s="33">
        <v>1</v>
      </c>
      <c r="AL37" s="33"/>
      <c r="AM37">
        <v>1</v>
      </c>
      <c r="AN37" s="34">
        <v>1</v>
      </c>
      <c r="AO37" s="34">
        <v>1</v>
      </c>
      <c r="AP37" s="34">
        <v>1</v>
      </c>
      <c r="AQ37" s="34">
        <v>1</v>
      </c>
      <c r="AR37" s="34">
        <v>1</v>
      </c>
      <c r="AS37" s="49">
        <v>1</v>
      </c>
      <c r="AT37" s="33"/>
      <c r="AU37">
        <v>1</v>
      </c>
      <c r="AV37">
        <v>2</v>
      </c>
      <c r="AW37" s="35">
        <v>1</v>
      </c>
      <c r="AX37" s="36">
        <v>2</v>
      </c>
      <c r="AY37">
        <v>1</v>
      </c>
      <c r="AZ37" s="37">
        <v>1</v>
      </c>
      <c r="BA37">
        <v>2</v>
      </c>
      <c r="BB37" s="35">
        <v>1</v>
      </c>
      <c r="BC37" s="36">
        <v>2</v>
      </c>
      <c r="BD37">
        <v>1</v>
      </c>
      <c r="BE37" s="37">
        <v>1</v>
      </c>
      <c r="BF37">
        <v>2</v>
      </c>
      <c r="BG37" s="35">
        <v>1</v>
      </c>
      <c r="BH37" s="36">
        <v>2</v>
      </c>
      <c r="BI37">
        <v>1</v>
      </c>
      <c r="BK37">
        <v>3</v>
      </c>
      <c r="BL37" s="23">
        <f t="shared" si="168"/>
        <v>0</v>
      </c>
      <c r="BT37">
        <v>0</v>
      </c>
      <c r="BU37" s="30">
        <f/>
        <v>0.17422066566536737</v>
      </c>
      <c r="BV37">
        <v>0</v>
      </c>
    </row>
    <row r="38" ht="21">
      <c r="K38" s="32" t="s">
        <v>143</v>
      </c>
      <c r="AD38" s="13">
        <v>3</v>
      </c>
      <c r="AE38" s="14">
        <f t="shared" si="169"/>
        <v>1.0074368218792871</v>
      </c>
      <c r="AJ38">
        <v>1</v>
      </c>
      <c r="AK38" s="40" cm="1">
        <f t="array" ref="AK38:AK39">AJ94:AJ95+_xlfn.ANCHORARRAY(AS32)</f>
        <v>-0.17526758003673731</v>
      </c>
      <c r="AL38" s="33"/>
      <c r="AM38" cm="1">
        <f t="array" ref="AM38:AM39">_xlfn.ANCHORARRAY(AK38)*(1-$O$29:$O$30)</f>
        <v>-0.14290374934416375</v>
      </c>
      <c r="AN38" s="34" cm="1">
        <f t="array" ref="AN38:AN39">_xlfn.ANCHORARRAY(AM38)*(1-$R$29:$R$30*$R$29:$R$30)</f>
        <v>-0.083719604592551539</v>
      </c>
      <c r="AO38" s="34" cm="1">
        <f t="array" ref="AO38:AO39">_xlfn.ANCHORARRAY(AK38)*(L7:L8-$R$29:$R$30)</f>
        <v>-0.2538834847087722</v>
      </c>
      <c r="AP38" s="34" cm="1">
        <f t="array" ref="AP38:AP39">_xlfn.ANCHORARRAY(AO38)*($O$29:$O$30*(1-$O$29:$O$30))</f>
        <v>-0.038223883968201013</v>
      </c>
      <c r="AQ38" s="34" cm="1">
        <f t="array" ref="AQ38:AQ39">MMULT(TRANSPOSE($P$23:$Q$24),_xlfn.ANCHORARRAY(AN38))*$L$7:$L$8</f>
        <v>-0.045492445088987338</v>
      </c>
      <c r="AR38" s="34" cm="1">
        <f t="array" ref="AR38:AR39">_xlfn.ANCHORARRAY(AQ38)*($L$29:$L$30*(1-$L$29:$L$30))</f>
        <v>-0.00081279834911099824</v>
      </c>
      <c r="AS38" s="49" cm="1">
        <f t="array" ref="AS38:AS39">_xlfn.ANCHORARRAY(AK38)*$O$29:$O$30+MMULT(TRANSPOSE($P$23:$Q$24),_xlfn.ANCHORARRAY(AN38))*$L$29:$L$30+MMULT(TRANSPOSE($P$18:$Q$19),_xlfn.ANCHORARRAY(AP38))+MMULT(TRANSPOSE($P$13:$Q$14),_xlfn.ANCHORARRAY(AR38))</f>
        <v>-0.099744598978308022</v>
      </c>
      <c r="AT38" s="33"/>
      <c r="AU38" cm="1">
        <f t="array" ref="AU38:AV39">MMULT(_xlfn.ANCHORARRAY(AN38),TRANSPOSE($C$14:$C$15))</f>
        <v>-0.33736218468857804</v>
      </c>
      <c r="AV38">
        <f/>
        <v>-0.11939957956429946</v>
      </c>
      <c r="AW38" s="35" cm="1">
        <f t="array" ref="AW38:AX39">MMULT(_xlfn.ANCHORARRAY(AN38),TRANSPOSE($L$29:$L$30*L7:L8))</f>
        <v>-0.066167852182570014</v>
      </c>
      <c r="AX38" s="36">
        <f/>
        <v>0.059090750779549658</v>
      </c>
      <c r="AY38" cm="1">
        <f t="array" ref="AY38:AY39">_xlfn.ANCHORARRAY(AN38)</f>
        <v>-0.083719604592551539</v>
      </c>
      <c r="AZ38" s="37" cm="1">
        <f t="array" ref="AZ38:BA39">MMULT(_xlfn.ANCHORARRAY(AP38),TRANSPOSE($C$14:$C$15))</f>
        <v>-0.15402954977575575</v>
      </c>
      <c r="BA38">
        <f/>
        <v>-0.05451430041182749</v>
      </c>
      <c r="BB38" s="35" cm="1">
        <f t="array" ref="BB38:BC39">MMULT(_xlfn.ANCHORARRAY(AP38),TRANSPOSE(L7:L8))</f>
        <v>-0.030770226594401817</v>
      </c>
      <c r="BC38" s="36">
        <f/>
        <v>0.037344734636932386</v>
      </c>
      <c r="BD38" cm="1">
        <f t="array" ref="BD38:BD39">_xlfn.ANCHORARRAY(AP38)</f>
        <v>-0.038223883968201013</v>
      </c>
      <c r="BE38" s="37" cm="1">
        <f t="array" ref="BE38:BF39">MMULT(_xlfn.ANCHORARRAY(AR38),TRANSPOSE($C$14:$C$15))</f>
        <v>-0.0032753072366009709</v>
      </c>
      <c r="BF38">
        <f/>
        <v>-0.0011592001852699164</v>
      </c>
      <c r="BG38" s="35" cm="1">
        <f t="array" ref="BG38:BH39">MMULT(_xlfn.ANCHORARRAY(AR38),TRANSPOSE(L7:L8))</f>
        <v>-0.00065430267103435368</v>
      </c>
      <c r="BH38" s="36">
        <f/>
        <v>0.00079410398708144522</v>
      </c>
      <c r="BI38" cm="1">
        <f t="array" ref="BI38:BI39">_xlfn.ANCHORARRAY(AR38)</f>
        <v>-0.00081279834911099824</v>
      </c>
      <c r="BK38">
        <v>4</v>
      </c>
      <c r="BL38" s="23">
        <f t="shared" si="168"/>
        <v>0</v>
      </c>
      <c r="BT38">
        <v>0</v>
      </c>
      <c r="BU38" s="31">
        <f/>
        <v>0.46054055495736873</v>
      </c>
      <c r="BV38">
        <v>0</v>
      </c>
    </row>
    <row r="39">
      <c r="C39" t="s">
        <v>145</v>
      </c>
      <c r="D39" s="29" t="s">
        <v>146</v>
      </c>
      <c r="E39" s="29" t="s">
        <v>147</v>
      </c>
      <c r="K39" t="s">
        <v>148</v>
      </c>
      <c r="L39" s="29" t="s">
        <v>150</v>
      </c>
      <c r="N39" t="s">
        <v>151</v>
      </c>
      <c r="O39" s="29" t="s">
        <v>150</v>
      </c>
      <c r="Q39" t="s">
        <v>145</v>
      </c>
      <c r="R39" s="29" t="s">
        <v>146</v>
      </c>
      <c r="T39" s="29" t="s">
        <v>147</v>
      </c>
      <c r="V39" s="2" t="s">
        <v>67</v>
      </c>
      <c r="W39">
        <v>0.10000000000000001</v>
      </c>
      <c r="AJ39">
        <v>2</v>
      </c>
      <c r="AK39" s="41">
        <f/>
        <v>0.037069651908210613</v>
      </c>
      <c r="AL39" s="33"/>
      <c r="AM39">
        <f/>
        <v>0.029856784727905813</v>
      </c>
      <c r="AN39" s="34">
        <f/>
        <v>0.00049857960870949749</v>
      </c>
      <c r="AO39" s="34">
        <f/>
        <v>-0.072975884995086379</v>
      </c>
      <c r="AP39" s="34">
        <f/>
        <v>-0.011436505060171487</v>
      </c>
      <c r="AQ39" s="34">
        <f/>
        <v>0.060175376742570952</v>
      </c>
      <c r="AR39" s="34">
        <f/>
        <v>0.012066571899853804</v>
      </c>
      <c r="AS39" s="49">
        <f/>
        <v>-0.070101509386796518</v>
      </c>
      <c r="AT39" s="33"/>
      <c r="AU39">
        <f/>
        <v>0.0020091101344066457</v>
      </c>
      <c r="AV39">
        <f/>
        <v>0.00071106637386750488</v>
      </c>
      <c r="AW39" s="35">
        <f/>
        <v>0.00039405276710144317</v>
      </c>
      <c r="AX39" s="36">
        <f/>
        <v>-0.00035190614606222663</v>
      </c>
      <c r="AY39">
        <f/>
        <v>0.00049857960870949749</v>
      </c>
      <c r="AZ39" s="37">
        <f/>
        <v>-0.04608531479668139</v>
      </c>
      <c r="BA39">
        <f/>
        <v>-0.016310563129331209</v>
      </c>
      <c r="BB39" s="35">
        <f/>
        <v>-0.0092063865734380475</v>
      </c>
      <c r="BC39" s="36">
        <f/>
        <v>0.011173465443787542</v>
      </c>
      <c r="BD39">
        <f/>
        <v>-0.011436505060171487</v>
      </c>
      <c r="BE39" s="37">
        <f/>
        <v>0.048624274775882791</v>
      </c>
      <c r="BF39">
        <f/>
        <v>0.017209154518069907</v>
      </c>
      <c r="BG39" s="35">
        <f/>
        <v>0.0097135903793823131</v>
      </c>
      <c r="BH39" s="36">
        <f/>
        <v>-0.011789040746157166</v>
      </c>
      <c r="BI39">
        <f/>
        <v>0.012066571899853804</v>
      </c>
      <c r="BK39">
        <v>5</v>
      </c>
      <c r="BL39" s="23">
        <f t="shared" si="168"/>
        <v>0</v>
      </c>
      <c r="BT39">
        <v>0</v>
      </c>
      <c r="BU39">
        <v>0</v>
      </c>
      <c r="BV39">
        <v>0</v>
      </c>
    </row>
    <row r="40">
      <c r="C40">
        <v>1</v>
      </c>
      <c r="D40" s="30">
        <v>1</v>
      </c>
      <c r="E40" s="30">
        <v>1</v>
      </c>
      <c r="K40">
        <v>1</v>
      </c>
      <c r="L40" s="30">
        <v>1</v>
      </c>
      <c r="N40">
        <v>1</v>
      </c>
      <c r="O40" s="30">
        <v>1</v>
      </c>
      <c r="Q40">
        <v>1</v>
      </c>
      <c r="R40" s="30">
        <v>1</v>
      </c>
      <c r="T40" s="30">
        <v>1</v>
      </c>
      <c r="AE40" t="s">
        <v>69</v>
      </c>
      <c r="BK40">
        <v>6</v>
      </c>
      <c r="BL40" s="23">
        <f t="shared" si="168"/>
        <v>0.0036366550358036733</v>
      </c>
    </row>
    <row r="41">
      <c r="C41" cm="1">
        <f t="array" ref="C41:C42">MMULT($L$23:$M$24,$E$14:$E$15)+$L$41:$L$42*MMULT($P$23:$Q$24,_xlfn.ANCHORARRAY(T35))+$T$23:$T$24</f>
        <v>0.24947847555291641</v>
      </c>
      <c r="D41" s="30">
        <f t="shared" si="164"/>
        <v>0.24442835909692123</v>
      </c>
      <c r="E41" s="30" cm="1">
        <f t="array" ref="E41:E42">O41:O42*_xlfn.ANCHORARRAY(T35)+(1-O41:O42)*D41:D42</f>
        <v>-0.25163676061187967</v>
      </c>
      <c r="J41">
        <v>1</v>
      </c>
      <c r="K41" cm="1">
        <f t="array" ref="K41:K42">MMULT($L$13:$M$14,$E$14:$E$15)+MMULT($P$13:$Q$14,_xlfn.ANCHORARRAY(T35))+$T$13:$T$14</f>
        <v>2.0101495308497341</v>
      </c>
      <c r="L41" s="30">
        <f t="shared" si="165"/>
        <v>0.8818586018035709</v>
      </c>
      <c r="N41" cm="1">
        <f t="array" ref="N41:N42">MMULT($L$18:$M$19,$E$14:$E$15)+MMULT($P$18:$Q$19,_xlfn.ANCHORARRAY(T35))+$T$18:$T$19</f>
        <v>0.69227177914679672</v>
      </c>
      <c r="O41" s="30">
        <f t="shared" si="166"/>
        <v>0.66647210464508044</v>
      </c>
      <c r="Q41" cm="1">
        <f t="array" ref="Q41:Q42">MMULT($L$23:$M$24,$E$14:$E$15)+MMULT($P$23:$Q$24,$L$41:$L$42*_xlfn.ANCHORARRAY(T35))+$T$23:$T$24</f>
        <v>0.25794025714278734</v>
      </c>
      <c r="R41" s="30">
        <f t="shared" si="167"/>
        <v>0.2523679786547508</v>
      </c>
      <c r="T41" s="46" cm="1">
        <f t="array" ref="T41:T42">O41:O42*_xlfn.ANCHORARRAY(T35)+(1-O41:O42)*R41:R42</f>
        <v>-0.24898867601083799</v>
      </c>
      <c r="AE41">
        <v>1</v>
      </c>
      <c r="AF41" t="s">
        <v>72</v>
      </c>
      <c r="AU41" t="s">
        <v>158</v>
      </c>
      <c r="AY41" t="s">
        <v>99</v>
      </c>
      <c r="BD41" t="s">
        <v>100</v>
      </c>
      <c r="BI41" t="s">
        <v>101</v>
      </c>
    </row>
    <row r="42">
      <c r="C42">
        <f/>
        <v>4.6158058387275904</v>
      </c>
      <c r="D42" s="31">
        <f t="shared" si="164"/>
        <v>0.99980422849848938</v>
      </c>
      <c r="E42" s="31">
        <f/>
        <v>0.997452552931271</v>
      </c>
      <c r="J42">
        <v>2</v>
      </c>
      <c r="K42">
        <f/>
        <v>2.1311508174523484</v>
      </c>
      <c r="L42" s="31">
        <f t="shared" si="165"/>
        <v>0.8938942098012358</v>
      </c>
      <c r="N42">
        <f/>
        <v>-3.0295360934309912</v>
      </c>
      <c r="O42" s="31">
        <f t="shared" si="166"/>
        <v>0.046109226821119835</v>
      </c>
      <c r="Q42">
        <f/>
        <v>4.6127555044172714</v>
      </c>
      <c r="R42" s="31">
        <f t="shared" si="167"/>
        <v>0.99980303062886977</v>
      </c>
      <c r="T42" s="47">
        <f/>
        <v>0.99745141029449336</v>
      </c>
      <c r="AD42">
        <v>1</v>
      </c>
      <c r="AE42" s="19" cm="1">
        <f t="array" ref="AE42">SUM(MMULT(TRANSPOSE($AE$14:$AE$16),TRANSPOSE(Z7:AB7)))</f>
        <v>0.067684151739132142</v>
      </c>
      <c r="AT42" s="7"/>
      <c r="AU42" s="8" t="s">
        <v>113</v>
      </c>
      <c r="AV42" s="9" t="s">
        <v>114</v>
      </c>
      <c r="AW42" s="7" t="s">
        <v>115</v>
      </c>
      <c r="AX42" s="9" t="s">
        <v>116</v>
      </c>
      <c r="AY42" s="29" t="s">
        <v>117</v>
      </c>
      <c r="AZ42" s="7" t="s">
        <v>118</v>
      </c>
      <c r="BA42" s="9" t="s">
        <v>119</v>
      </c>
      <c r="BB42" s="7" t="s">
        <v>120</v>
      </c>
      <c r="BC42" s="9" t="s">
        <v>121</v>
      </c>
      <c r="BD42" s="29" t="s">
        <v>122</v>
      </c>
      <c r="BE42" s="7" t="s">
        <v>123</v>
      </c>
      <c r="BF42" s="9" t="s">
        <v>124</v>
      </c>
      <c r="BG42" s="7" t="s">
        <v>125</v>
      </c>
      <c r="BH42" s="9" t="s">
        <v>126</v>
      </c>
      <c r="BI42" s="29" t="s">
        <v>127</v>
      </c>
      <c r="BK42" s="7"/>
      <c r="BL42" s="10" t="s">
        <v>22</v>
      </c>
      <c r="BM42" t="s">
        <v>84</v>
      </c>
      <c r="BN42" s="7"/>
      <c r="BO42" s="10" t="s">
        <v>23</v>
      </c>
      <c r="BP42" t="s">
        <v>85</v>
      </c>
    </row>
    <row r="43">
      <c r="AD43">
        <v>2</v>
      </c>
      <c r="AE43" s="19" cm="1">
        <f t="array" ref="AE43">SUM(MMULT(TRANSPOSE($AE$14:$AE$16),TRANSPOSE(Z8:AB8)))</f>
        <v>0.23760975923592398</v>
      </c>
      <c r="AT43" s="11"/>
      <c r="AU43">
        <v>1</v>
      </c>
      <c r="AV43" s="12">
        <v>2</v>
      </c>
      <c r="AW43" s="11">
        <v>1</v>
      </c>
      <c r="AX43" s="12">
        <v>2</v>
      </c>
      <c r="AY43" s="30">
        <v>1</v>
      </c>
      <c r="AZ43" s="11">
        <v>1</v>
      </c>
      <c r="BA43" s="12">
        <v>2</v>
      </c>
      <c r="BB43" s="11">
        <v>1</v>
      </c>
      <c r="BC43" s="12">
        <v>2</v>
      </c>
      <c r="BD43" s="30">
        <v>1</v>
      </c>
      <c r="BE43" s="11">
        <v>1</v>
      </c>
      <c r="BF43" s="12">
        <v>2</v>
      </c>
      <c r="BG43" s="11">
        <v>1</v>
      </c>
      <c r="BH43" s="12">
        <v>2</v>
      </c>
      <c r="BI43" s="30">
        <v>1</v>
      </c>
      <c r="BK43" s="11"/>
      <c r="BL43" s="12">
        <v>1</v>
      </c>
      <c r="BN43" s="11"/>
      <c r="BO43" s="12">
        <v>1</v>
      </c>
    </row>
    <row r="44" ht="21">
      <c r="K44" s="32" t="s">
        <v>139</v>
      </c>
      <c r="AD44">
        <v>3</v>
      </c>
      <c r="AE44" s="19" cm="1">
        <f t="array" ref="AE44">SUM(MMULT(TRANSPOSE($AE$14:$AE$16),TRANSPOSE(Z9:AB9)))</f>
        <v>0.23068995623646613</v>
      </c>
      <c r="AT44" s="11">
        <v>1</v>
      </c>
      <c r="AU44">
        <f t="shared" ref="AU44:AU45" si="170">L23-$W$39*SUM(AU8,AU14,AU20,AU26,AU32,AU38)</f>
        <v>-0.42749961362274946</v>
      </c>
      <c r="AV44" s="12">
        <f t="shared" ref="AV44:AV45" si="171">M23-$W$39*SUM(AV8,AV14,AV20,AV26,AV32,AV38)</f>
        <v>0.92091973492418233</v>
      </c>
      <c r="AW44" s="11">
        <f t="shared" ref="AW44:AW45" si="172">P23-$W$39*SUM(AW8,AW14,AW20,AW26,AW32,AW38)</f>
        <v>0.67331460452793312</v>
      </c>
      <c r="AX44" s="12">
        <f t="shared" ref="AX44:AX45" si="173">Q23-$W$39*SUM(AX8,AX14,AX20,AX26,AX32,AX38)</f>
        <v>0.74475465416810116</v>
      </c>
      <c r="AY44" s="30">
        <f t="shared" ref="AY44:AY45" si="174">T23-$W$39*SUM(AY8,AY14,AY20,AY26,AY32,AY38)</f>
        <v>0.023422357845946901</v>
      </c>
      <c r="AZ44" s="11">
        <f t="shared" ref="AZ44:AZ45" si="175">L18-$W$39*SUM(AZ8,AZ14,AZ20,AZ26,AZ32,AZ38)</f>
        <v>-0.20280343167832765</v>
      </c>
      <c r="BA44" s="12">
        <f t="shared" ref="BA44:BA45" si="176">M18-$W$39*SUM(BA8,BA14,BA20,BA26,BA32,BA38)</f>
        <v>0.24844528565376828</v>
      </c>
      <c r="BB44" s="11">
        <f t="shared" ref="BB44:BB45" si="177">P18-$W$39*SUM(BB8,BB14,BB20,BB26,BB32,BB38)</f>
        <v>-0.0088119841366364662</v>
      </c>
      <c r="BC44" s="12">
        <f t="shared" ref="BC44:BC45" si="178">Q18-$W$39*SUM(BC8,BC14,BC20,BC26,BC32,BC38)</f>
        <v>0.990850621118609</v>
      </c>
      <c r="BD44" s="30">
        <f t="shared" ref="BD44:BD45" si="179">T18-$W$39*SUM(BD8,BD14,BD20,BD26,BD32,BD38)</f>
        <v>0.0018628774426806779</v>
      </c>
      <c r="BE44" s="11">
        <f t="shared" ref="BE44:BE45" si="180">L13-W39*SUM(BE8,BE14,BE20,BE26,BE32,BE38)</f>
        <v>0.87743916105303343</v>
      </c>
      <c r="BF44" s="12">
        <f t="shared" ref="BF44:BF45" si="181">M13-X39*SUM(BF8,BF14,BF20,BF26,BF32,BF38)</f>
        <v>-0.13900000000000001</v>
      </c>
      <c r="BG44" s="11">
        <f t="shared" ref="BG44:BG45" si="182">P13-$W$39*SUM(BG8,BG14,BG20,BG26,BG32,BG38)</f>
        <v>-0.25281714756735807</v>
      </c>
      <c r="BH44" s="12">
        <f t="shared" ref="BH44:BH45" si="183">Q13-$W$39*SUM(BH8,BH14,BH20,BH26,BH32,BH38)</f>
        <v>-0.87231965828074509</v>
      </c>
      <c r="BI44" s="30">
        <f t="shared" ref="BI44:BI45" si="184">T13-$W$39*SUM(BI8,BI14,BI20,BI26,BI32,BI38)</f>
        <v>-0.00022329262403014379</v>
      </c>
      <c r="BK44" s="11">
        <v>1</v>
      </c>
      <c r="BL44" s="12" cm="1">
        <f t="array" ref="BL44">FRONTEND!T7-$W39*SUM($BL$35:$BL$40*BU32:BU37)</f>
        <v>0.12193664195388669</v>
      </c>
      <c r="BN44" s="13">
        <v>1</v>
      </c>
      <c r="BO44" s="14">
        <f>FRONTEND!$W$7-$W$39*SUM(AV56:AV61)</f>
        <v>1.0193575643566497</v>
      </c>
    </row>
    <row r="45">
      <c r="C45" t="s">
        <v>145</v>
      </c>
      <c r="D45" s="29" t="s">
        <v>146</v>
      </c>
      <c r="E45" s="29" t="s">
        <v>147</v>
      </c>
      <c r="K45" t="s">
        <v>148</v>
      </c>
      <c r="L45" s="29" t="s">
        <v>150</v>
      </c>
      <c r="N45" t="s">
        <v>151</v>
      </c>
      <c r="O45" s="29" t="s">
        <v>150</v>
      </c>
      <c r="Q45" t="s">
        <v>145</v>
      </c>
      <c r="R45" s="29" t="s">
        <v>146</v>
      </c>
      <c r="T45" s="29" t="s">
        <v>147</v>
      </c>
      <c r="AD45">
        <v>4</v>
      </c>
      <c r="AE45" s="19" cm="1">
        <f t="array" ref="AE45">SUM(MMULT(TRANSPOSE($AE$14:$AE$16),TRANSPOSE(Z10:AB10)))</f>
        <v>0.07224700557371351</v>
      </c>
      <c r="AT45" s="13">
        <v>2</v>
      </c>
      <c r="AU45" s="15">
        <f t="shared" si="170"/>
        <v>0.67135965286204402</v>
      </c>
      <c r="AV45" s="14">
        <f t="shared" si="171"/>
        <v>0.74082912301437021</v>
      </c>
      <c r="AW45" s="13">
        <f t="shared" si="172"/>
        <v>-0.50700000497531639</v>
      </c>
      <c r="AX45" s="14">
        <f t="shared" si="173"/>
        <v>0.89091678651556583</v>
      </c>
      <c r="AY45" s="31">
        <f t="shared" si="174"/>
        <v>-0.00025797553706285737</v>
      </c>
      <c r="AZ45" s="13">
        <f t="shared" si="175"/>
        <v>-0.24614762992328454</v>
      </c>
      <c r="BA45" s="14">
        <f t="shared" si="176"/>
        <v>-0.86976910415965913</v>
      </c>
      <c r="BB45" s="13">
        <f t="shared" si="177"/>
        <v>0.87865578393847121</v>
      </c>
      <c r="BC45" s="14">
        <f t="shared" si="178"/>
        <v>-0.13969542050456049</v>
      </c>
      <c r="BD45" s="31">
        <f t="shared" si="179"/>
        <v>0.0018376388447213822</v>
      </c>
      <c r="BE45" s="13">
        <f t="shared" si="180"/>
        <v>-0.012999999999999999</v>
      </c>
      <c r="BF45" s="14">
        <f t="shared" si="181"/>
        <v>0.997</v>
      </c>
      <c r="BG45" s="13">
        <f t="shared" si="182"/>
        <v>-0.21347619361910186</v>
      </c>
      <c r="BH45" s="14">
        <f t="shared" si="183"/>
        <v>0.25025301539953559</v>
      </c>
      <c r="BI45" s="31">
        <f t="shared" si="184"/>
        <v>0.00011973722772761053</v>
      </c>
      <c r="BK45" s="11">
        <v>2</v>
      </c>
      <c r="BL45" s="12" cm="1">
        <f t="array" ref="BL45">FRONTEND!T8-$W40*SUM($BL$35:$BL$40*BU33:BU38)</f>
        <v>0.51600000000000001</v>
      </c>
    </row>
    <row r="46">
      <c r="C46">
        <v>1</v>
      </c>
      <c r="D46" s="30">
        <v>1</v>
      </c>
      <c r="E46" s="30">
        <v>1</v>
      </c>
      <c r="K46">
        <v>1</v>
      </c>
      <c r="L46" s="30">
        <v>1</v>
      </c>
      <c r="N46">
        <v>1</v>
      </c>
      <c r="O46" s="30">
        <v>1</v>
      </c>
      <c r="Q46">
        <v>1</v>
      </c>
      <c r="R46" s="30">
        <v>1</v>
      </c>
      <c r="T46" s="30">
        <v>1</v>
      </c>
      <c r="AD46">
        <v>5</v>
      </c>
      <c r="AE46" s="19" cm="1">
        <f t="array" ref="AE46">SUM(MMULT(TRANSPOSE($AE$14:$AE$16),TRANSPOSE(Z11:AB11)))</f>
        <v>0.1689312351587951</v>
      </c>
      <c r="BK46" s="13">
        <v>3</v>
      </c>
      <c r="BL46" s="14" cm="1">
        <f t="array" ref="BL46">FRONTEND!T9-$W41*SUM($BL$35:$BL$40*BU34:BU39)</f>
        <v>-0.97699999999999998</v>
      </c>
    </row>
    <row r="47">
      <c r="C47" cm="1">
        <f t="array" ref="C47:C48">MMULT($L$23:$M$24,$F$14:$F$15)+$L$47:$L$48*MMULT($P$23:$Q$24,_xlfn.ANCHORARRAY(T41))+$T$23:$T$24</f>
        <v>-0.053593299161726782</v>
      </c>
      <c r="D47" s="30">
        <f t="shared" si="164"/>
        <v>-0.053542047074441775</v>
      </c>
      <c r="E47" s="30" cm="1">
        <f t="array" ref="E47:E48">O47:O48*_xlfn.ANCHORARRAY(T41)+(1-O47:O48)*D47:D48</f>
        <v>-0.18747769045482121</v>
      </c>
      <c r="J47">
        <v>1</v>
      </c>
      <c r="K47" cm="1">
        <f t="array" ref="K47:K48">MMULT($L$13:$M$14,$F$14:$F$15)+MMULT($P$13:$Q$14,_xlfn.ANCHORARRAY(T41))+$T$13:$T$14</f>
        <v>0.46218442821806427</v>
      </c>
      <c r="L47" s="30">
        <f t="shared" si="165"/>
        <v>0.61353225512613596</v>
      </c>
      <c r="N47" cm="1">
        <f t="array" ref="N47:N48">MMULT($L$18:$M$19,$F$14:$F$15)+MMULT($P$18:$Q$19,_xlfn.ANCHORARRAY(T41))+$T$18:$T$19</f>
        <v>0.77814362551432459</v>
      </c>
      <c r="O47" s="30">
        <f t="shared" si="166"/>
        <v>0.68527988489361891</v>
      </c>
      <c r="Q47" cm="1">
        <f t="array" ref="Q47:Q48">MMULT($L$23:$M$24,$F$14:$F$15)+MMULT($P$23:$Q$24,$L$47:$L$48*_xlfn.ANCHORARRAY(T41))+$T$23:$T$24</f>
        <v>-0.015771445324505473</v>
      </c>
      <c r="R47" s="30">
        <f t="shared" si="167"/>
        <v>-0.015770137799445524</v>
      </c>
      <c r="T47" s="46" cm="1">
        <f t="array" ref="T47:T48">O47:O48*_xlfn.ANCHORARRAY(T41)+(1-O47:O48)*R47:R48</f>
        <v>-0.17559011082000661</v>
      </c>
      <c r="AD47">
        <v>6</v>
      </c>
      <c r="AE47" s="19" cm="1">
        <f t="array" ref="AE47">SUM(MMULT(TRANSPOSE($AE$14:$AE$16),TRANSPOSE(Z12:AB12)))</f>
        <v>-0.19996862895231446</v>
      </c>
      <c r="AU47" t="s">
        <v>159</v>
      </c>
      <c r="AV47" t="s">
        <v>160</v>
      </c>
    </row>
    <row r="48">
      <c r="C48">
        <f/>
        <v>1.989093144502502</v>
      </c>
      <c r="D48" s="31">
        <f t="shared" si="164"/>
        <v>0.96324884459583526</v>
      </c>
      <c r="E48" s="31">
        <f/>
        <v>0.97183995976745829</v>
      </c>
      <c r="J48">
        <v>2</v>
      </c>
      <c r="K48">
        <f/>
        <v>0.68432949504979068</v>
      </c>
      <c r="L48" s="31">
        <f t="shared" si="165"/>
        <v>0.66470430980481099</v>
      </c>
      <c r="N48">
        <f/>
        <v>-1.0923109880503059</v>
      </c>
      <c r="O48" s="31">
        <f t="shared" si="166"/>
        <v>0.25118335411778925</v>
      </c>
      <c r="Q48">
        <f/>
        <v>1.9826333245959007</v>
      </c>
      <c r="R48" s="31">
        <f t="shared" si="167"/>
        <v>0.96277984606499256</v>
      </c>
      <c r="T48" s="47">
        <f/>
        <v>0.9714887658606689</v>
      </c>
      <c r="AD48">
        <v>7</v>
      </c>
      <c r="AE48" s="23" cm="1">
        <f t="array" ref="AE48">SUM(MMULT(TRANSPOSE($AE$14:$AE$16),TRANSPOSE(Z13:AB13)))</f>
        <v>0.0063839363681127068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>
      <c r="AD49">
        <v>8</v>
      </c>
      <c r="AE49" s="23" cm="1">
        <f t="array" ref="AE49">SUM(MMULT(TRANSPOSE($AE$14:$AE$16),TRANSPOSE(Z14:AB14)))</f>
        <v>-0.13473278969950145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ht="21">
      <c r="K50" s="32" t="s">
        <v>133</v>
      </c>
      <c r="AD50">
        <v>9</v>
      </c>
      <c r="AE50" s="23" cm="1">
        <f t="array" ref="AE50">SUM(MMULT(TRANSPOSE($AE$14:$AE$16),TRANSPOSE(Z15:AB15)))</f>
        <v>-0.30983726836483444</v>
      </c>
      <c r="AT50">
        <v>1</v>
      </c>
      <c r="AU50" s="19" cm="1">
        <f t="array" ref="AU50:AU51">MMULT(TRANSPOSE($L$23:$M$24),_xlfn.ANCHORARRAY($AN$38))+MMULT(TRANSPOSE($L$18:$M$19),_xlfn.ANCHORARRAY($AP$38)+MMULT(TRANSPOSE($L$13:$M$14),_xlfn.ANCHORARRAY($AR$38)))</f>
        <v>0.050890062870490319</v>
      </c>
      <c r="AV50" s="19" cm="1">
        <f t="array" ref="AV50:AV51">MMULT(TRANSPOSE($L$23:$M$24),_xlfn.ANCHORARRAY(AN32))+MMULT(TRANSPOSE($L$18:$M$19),_xlfn.ANCHORARRAY(AP32)+MMULT(TRANSPOSE($L$13:$M$14),_xlfn.ANCHORARRAY(AR32)))</f>
        <v>0.040980476017124352</v>
      </c>
      <c r="AW50" s="19" cm="1">
        <f t="array" ref="AW50:AW51">MMULT(TRANSPOSE($L$23:$M$24),_xlfn.ANCHORARRAY(AN26))+MMULT(TRANSPOSE($L$18:$M$19),_xlfn.ANCHORARRAY(AP26)+MMULT(TRANSPOSE($L$13:$M$14),_xlfn.ANCHORARRAY(AR26)))</f>
        <v>0.026940477659322011</v>
      </c>
      <c r="AX50" s="19" cm="1">
        <f t="array" ref="AX50:AX51">MMULT(TRANSPOSE($L$23:$M$24),_xlfn.ANCHORARRAY(AN20))+MMULT(TRANSPOSE($L$18:$M$19),_xlfn.ANCHORARRAY(AP20)+MMULT(TRANSPOSE($L$13:$M$14),_xlfn.ANCHORARRAY(AR20)))</f>
        <v>0.01186686443658775</v>
      </c>
      <c r="AY50" s="19" cm="1">
        <f t="array" ref="AY50:AY51">MMULT(TRANSPOSE($L$23:$M$24),_xlfn.ANCHORARRAY(AN14))+MMULT(TRANSPOSE($L$18:$M$19),_xlfn.ANCHORARRAY(AP14)+MMULT(TRANSPOSE($L$13:$M$14),_xlfn.ANCHORARRAY(AR14)))</f>
        <v>0.0010550624522317365</v>
      </c>
      <c r="AZ50" s="19" cm="1">
        <f t="array" ref="AZ50:AZ51">MMULT(TRANSPOSE($L$23:$M$24),_xlfn.ANCHORARRAY(AN8))+MMULT(TRANSPOSE($L$18:$M$19),_xlfn.ANCHORARRAY(AP8)+MMULT(TRANSPOSE($L$13:$M$14),_xlfn.ANCHORARRAY(AR8)))</f>
        <v>-0.002687843311090714</v>
      </c>
    </row>
    <row r="51">
      <c r="C51" t="s">
        <v>145</v>
      </c>
      <c r="D51" s="29" t="s">
        <v>146</v>
      </c>
      <c r="E51" s="29" t="s">
        <v>147</v>
      </c>
      <c r="K51" t="s">
        <v>148</v>
      </c>
      <c r="L51" s="29" t="s">
        <v>150</v>
      </c>
      <c r="N51" t="s">
        <v>151</v>
      </c>
      <c r="O51" s="29" t="s">
        <v>150</v>
      </c>
      <c r="Q51" t="s">
        <v>145</v>
      </c>
      <c r="R51" s="29" t="s">
        <v>146</v>
      </c>
      <c r="T51" s="29" t="s">
        <v>147</v>
      </c>
      <c r="AD51">
        <v>10</v>
      </c>
      <c r="AE51" s="23" cm="1">
        <f t="array" ref="AE51">SUM(MMULT(TRANSPOSE($AE$14:$AE$16),TRANSPOSE(Z16:AB16)))</f>
        <v>-0.12130440471208961</v>
      </c>
      <c r="AT51">
        <v>2</v>
      </c>
      <c r="AU51" s="23">
        <f/>
        <v>-0.084536497811969494</v>
      </c>
      <c r="AV51" s="23">
        <f/>
        <v>-0.051690199859334929</v>
      </c>
      <c r="AW51" s="23">
        <f/>
        <v>-0.045329773817864329</v>
      </c>
      <c r="AX51" s="23">
        <f/>
        <v>-0.014496508601949638</v>
      </c>
      <c r="AY51" s="23">
        <f/>
        <v>-0.0011593185111819944</v>
      </c>
      <c r="AZ51" s="23">
        <f/>
        <v>0.0036366550358036733</v>
      </c>
    </row>
    <row r="52">
      <c r="C52">
        <v>1</v>
      </c>
      <c r="D52" s="30">
        <v>1</v>
      </c>
      <c r="E52" s="30">
        <v>1</v>
      </c>
      <c r="K52">
        <v>1</v>
      </c>
      <c r="L52" s="30">
        <v>1</v>
      </c>
      <c r="N52">
        <v>1</v>
      </c>
      <c r="O52" s="30">
        <v>1</v>
      </c>
      <c r="Q52">
        <v>1</v>
      </c>
      <c r="R52" s="30">
        <v>1</v>
      </c>
      <c r="T52" s="30">
        <v>1</v>
      </c>
      <c r="AD52">
        <v>11</v>
      </c>
      <c r="AE52" s="23" cm="1">
        <f t="array" ref="AE52">SUM(MMULT(TRANSPOSE($AE$14:$AE$16),TRANSPOSE(Z17:AB17)))</f>
        <v>-0.054404068336926202</v>
      </c>
    </row>
    <row r="53">
      <c r="C53" cm="1">
        <f t="array" ref="C53:C54">MMULT($L$23:$M$24,$G$14:$G$15)+$L$53:$L$54*MMULT($P$23:$Q$24,_xlfn.ANCHORARRAY(T47))+$T$23:$T$24</f>
        <v>-1.237378050972058</v>
      </c>
      <c r="D53" s="30">
        <f t="shared" si="164"/>
        <v>-0.84470614356076834</v>
      </c>
      <c r="E53" s="30" cm="1">
        <f t="array" ref="E53:E54">O53:O54*_xlfn.ANCHORARRAY(T47)+(1-O53:O54)*D53:D54</f>
        <v>-0.48579756911295052</v>
      </c>
      <c r="J53">
        <v>1</v>
      </c>
      <c r="K53" cm="1">
        <f t="array" ref="K53:K54">MMULT($L$13:$M$14,$G$14:$G$15)+MMULT($P$13:$Q$14,_xlfn.ANCHORARRAY(T47))+$T$13:$T$14</f>
        <v>3.091082388231531</v>
      </c>
      <c r="L53" s="30">
        <f t="shared" si="165"/>
        <v>0.95652339990773849</v>
      </c>
      <c r="N53" cm="1">
        <f t="array" ref="N53:N54">MMULT($L$18:$M$19,$G$14:$G$15)+MMULT($P$18:$Q$19,_xlfn.ANCHORARRAY(T47))+$T$18:$T$19</f>
        <v>0.14582639482782689</v>
      </c>
      <c r="O53" s="30">
        <f t="shared" si="166"/>
        <v>0.53639213064092151</v>
      </c>
      <c r="Q53" cm="1">
        <f t="array" ref="Q53:Q54">MMULT($L$23:$M$24,$G$14:$G$15)+MMULT($P$23:$Q$24,$L$53:$L$54*_xlfn.ANCHORARRAY(T47))+$T$23:$T$24</f>
        <v>-1.4362780214065505</v>
      </c>
      <c r="R53" s="30">
        <f t="shared" si="167"/>
        <v>-0.89294597955430932</v>
      </c>
      <c r="T53" s="46" cm="1">
        <f t="array" ref="T53:T54">O53:O54*_xlfn.ANCHORARRAY(T47)+(1-O53:O54)*R53:R54</f>
        <v>-0.50816193669614751</v>
      </c>
      <c r="AD53">
        <v>12</v>
      </c>
      <c r="AE53" s="23" cm="1">
        <f t="array" ref="AE53">SUM(MMULT(TRANSPOSE($AE$14:$AE$16),TRANSPOSE(Z18:AB18)))</f>
        <v>0.031836939425939174</v>
      </c>
      <c r="AT53" s="7"/>
      <c r="AU53" s="18" t="s">
        <v>58</v>
      </c>
      <c r="AV53" s="9"/>
    </row>
    <row r="54">
      <c r="C54">
        <f/>
        <v>4.0846381538496059</v>
      </c>
      <c r="D54" s="31">
        <f t="shared" si="164"/>
        <v>0.99943371456793861</v>
      </c>
      <c r="E54" s="31">
        <f/>
        <v>0.99580104098602407</v>
      </c>
      <c r="J54">
        <v>2</v>
      </c>
      <c r="K54">
        <f/>
        <v>0.75480495555755311</v>
      </c>
      <c r="L54" s="31">
        <f t="shared" si="165"/>
        <v>0.6802247723118684</v>
      </c>
      <c r="N54">
        <f/>
        <v>-1.9010124708736504</v>
      </c>
      <c r="O54" s="31">
        <f t="shared" si="166"/>
        <v>0.12999392555584011</v>
      </c>
      <c r="Q54">
        <f/>
        <v>4.1092354143155667</v>
      </c>
      <c r="R54" s="31">
        <f t="shared" si="167"/>
        <v>0.99946089124671178</v>
      </c>
      <c r="T54" s="47">
        <f/>
        <v>0.99582468486163989</v>
      </c>
      <c r="AT54" s="11"/>
      <c r="AU54" t="s">
        <v>134</v>
      </c>
      <c r="AV54" s="12"/>
      <c r="AW54" t="s">
        <v>160</v>
      </c>
    </row>
    <row r="55">
      <c r="AD55" t="s">
        <v>77</v>
      </c>
      <c r="AE55" s="19" t="s">
        <v>33</v>
      </c>
      <c r="AG55" s="2" t="s">
        <v>25</v>
      </c>
      <c r="AT55" s="11"/>
      <c r="AU55">
        <v>1</v>
      </c>
      <c r="AV55" s="12">
        <v>2</v>
      </c>
    </row>
    <row r="56" ht="21">
      <c r="K56" s="32" t="s">
        <v>91</v>
      </c>
      <c r="AE56">
        <v>1</v>
      </c>
      <c r="AF56" s="2" t="s">
        <v>75</v>
      </c>
      <c r="AG56">
        <v>1</v>
      </c>
      <c r="AH56">
        <v>2</v>
      </c>
      <c r="AT56" s="11">
        <v>1</v>
      </c>
      <c r="AU56" s="19">
        <f>AU50</f>
        <v>0.050890062870490319</v>
      </c>
      <c r="AV56" s="16">
        <f>AU51</f>
        <v>-0.084536497811969494</v>
      </c>
    </row>
    <row r="57">
      <c r="C57" t="s">
        <v>145</v>
      </c>
      <c r="D57" s="29" t="s">
        <v>146</v>
      </c>
      <c r="E57" s="29" t="s">
        <v>147</v>
      </c>
      <c r="K57" t="s">
        <v>148</v>
      </c>
      <c r="L57" s="29" t="s">
        <v>150</v>
      </c>
      <c r="N57" t="s">
        <v>151</v>
      </c>
      <c r="O57" s="29" t="s">
        <v>150</v>
      </c>
      <c r="Q57" t="s">
        <v>145</v>
      </c>
      <c r="R57" s="29" t="s">
        <v>146</v>
      </c>
      <c r="T57" s="29" t="s">
        <v>147</v>
      </c>
      <c r="AD57">
        <v>1</v>
      </c>
      <c r="AE57" s="1">
        <f t="shared" ref="AE57:AE62" si="185">AE42</f>
        <v>0.067684151739132142</v>
      </c>
      <c r="AF57">
        <f t="shared" ref="AF57:AF62" si="186">MATCH(MAX(_xlfn.ANCHORARRAY(K65)),_xlfn.ANCHORARRAY(K65),0)</f>
        <v>2</v>
      </c>
      <c r="AG57">
        <f t="shared" ref="AG57:AH62" si="187">IF($AF57=AG$56,$AE57,0)</f>
        <v>0</v>
      </c>
      <c r="AH57">
        <f>IF($AF57=AH$56,$AE57,0)</f>
        <v>0.067684151739132142</v>
      </c>
      <c r="AT57" s="11">
        <v>2</v>
      </c>
      <c r="AU57" s="19">
        <f>AV50</f>
        <v>0.040980476017124352</v>
      </c>
      <c r="AV57" s="16">
        <f>AV51</f>
        <v>-0.051690199859334929</v>
      </c>
    </row>
    <row r="58">
      <c r="C58">
        <v>1</v>
      </c>
      <c r="D58" s="30">
        <v>1</v>
      </c>
      <c r="E58" s="30">
        <v>1</v>
      </c>
      <c r="K58">
        <v>1</v>
      </c>
      <c r="L58" s="30">
        <v>1</v>
      </c>
      <c r="N58">
        <v>1</v>
      </c>
      <c r="O58" s="30">
        <v>1</v>
      </c>
      <c r="Q58">
        <v>1</v>
      </c>
      <c r="R58" s="30">
        <v>1</v>
      </c>
      <c r="T58" s="30">
        <v>1</v>
      </c>
      <c r="AD58">
        <v>2</v>
      </c>
      <c r="AE58" s="1">
        <f t="shared" si="185"/>
        <v>0.23760975923592398</v>
      </c>
      <c r="AF58">
        <f t="shared" si="186"/>
        <v>2</v>
      </c>
      <c r="AG58">
        <f t="shared" si="187"/>
        <v>0</v>
      </c>
      <c r="AH58">
        <f t="shared" si="187"/>
        <v>0.23760975923592398</v>
      </c>
      <c r="AT58" s="11">
        <v>3</v>
      </c>
      <c r="AU58" s="19">
        <f>AW50</f>
        <v>0.026940477659322011</v>
      </c>
      <c r="AV58" s="16">
        <f>AW51</f>
        <v>-0.045329773817864329</v>
      </c>
    </row>
    <row r="59">
      <c r="C59" cm="1">
        <f t="array" ref="C59:C60">MMULT($L$23:$M$24,$H$14:$H$15)+$L$59:$L$60*MMULT($P$23:$Q$24,_xlfn.ANCHORARRAY(T53))+$T$23:$T$24</f>
        <v>-0.088177431763004244</v>
      </c>
      <c r="D59" s="30">
        <f t="shared" si="164"/>
        <v>-0.087949606160860588</v>
      </c>
      <c r="E59" s="30" cm="1">
        <f t="array" ref="E59:E60">O59:O60*_xlfn.ANCHORARRAY(T53)+(1-O59:O60)*D59:D60</f>
        <v>-0.36537382322018419</v>
      </c>
      <c r="J59">
        <v>1</v>
      </c>
      <c r="K59" cm="1">
        <f t="array" ref="K59:K60">MMULT($L$13:$M$14,$H$14:$H$15)+MMULT($P$13:$Q$14,_xlfn.ANCHORARRAY(T53))+$T$13:$T$14</f>
        <v>1.7666936954719368</v>
      </c>
      <c r="L59" s="30">
        <f t="shared" si="165"/>
        <v>0.8540460177673217</v>
      </c>
      <c r="N59" cm="1">
        <f t="array" ref="N59:N60">MMULT($L$18:$M$19,$H$14:$H$15)+MMULT($P$18:$Q$19,_xlfn.ANCHORARRAY(T53))+$T$18:$T$19</f>
        <v>0.66418599673496626</v>
      </c>
      <c r="O59" s="30">
        <f t="shared" si="166"/>
        <v>0.66020008671789121</v>
      </c>
      <c r="Q59" cm="1">
        <f t="array" ref="Q59:Q60">MMULT($L$23:$M$24,$H$14:$H$15)+MMULT($P$23:$Q$24,$L$59:$L$60*_xlfn.ANCHORARRAY(T53))+$T$23:$T$24</f>
        <v>-0.10754514751880706</v>
      </c>
      <c r="R59" s="30">
        <f t="shared" si="167"/>
        <v>-0.10713243586260304</v>
      </c>
      <c r="T59" s="46" cm="1">
        <f t="array" ref="T59:T60">O59:O60*_xlfn.ANCHORARRAY(T53)+(1-O59:O60)*R59:R60</f>
        <v>-0.37189214708934171</v>
      </c>
      <c r="AD59">
        <v>3</v>
      </c>
      <c r="AE59" s="1">
        <f t="shared" si="185"/>
        <v>0.23068995623646613</v>
      </c>
      <c r="AF59">
        <f t="shared" si="186"/>
        <v>2</v>
      </c>
      <c r="AG59">
        <f t="shared" si="187"/>
        <v>0</v>
      </c>
      <c r="AH59">
        <f t="shared" si="187"/>
        <v>0.23068995623646613</v>
      </c>
      <c r="AT59" s="11">
        <v>4</v>
      </c>
      <c r="AU59" s="19">
        <f>AX50</f>
        <v>0.01186686443658775</v>
      </c>
      <c r="AV59" s="16">
        <f>AX51</f>
        <v>-0.014496508601949638</v>
      </c>
    </row>
    <row r="60">
      <c r="C60">
        <f/>
        <v>3.9329379408527689</v>
      </c>
      <c r="D60" s="31">
        <f t="shared" si="164"/>
        <v>0.99923306786434685</v>
      </c>
      <c r="E60" s="31">
        <f/>
        <v>0.99896355973503959</v>
      </c>
      <c r="J60">
        <v>2</v>
      </c>
      <c r="K60">
        <f/>
        <v>1.5701090990422968</v>
      </c>
      <c r="L60" s="31">
        <f t="shared" si="165"/>
        <v>0.82779916064097314</v>
      </c>
      <c r="N60">
        <f/>
        <v>-2.455021139817537</v>
      </c>
      <c r="O60" s="31">
        <f t="shared" si="166"/>
        <v>0.079072137460240721</v>
      </c>
      <c r="Q60">
        <f/>
        <v>3.9397001313037716</v>
      </c>
      <c r="R60" s="31">
        <f t="shared" si="167"/>
        <v>0.99924336642486489</v>
      </c>
      <c r="T60" s="47">
        <f/>
        <v>0.99897304396636466</v>
      </c>
      <c r="AD60">
        <v>4</v>
      </c>
      <c r="AE60" s="1">
        <f t="shared" si="185"/>
        <v>0.07224700557371351</v>
      </c>
      <c r="AF60">
        <f t="shared" si="186"/>
        <v>2</v>
      </c>
      <c r="AG60">
        <f t="shared" si="187"/>
        <v>0</v>
      </c>
      <c r="AH60">
        <f t="shared" si="187"/>
        <v>0.07224700557371351</v>
      </c>
      <c r="AT60" s="11">
        <v>5</v>
      </c>
      <c r="AU60" s="19">
        <f>AY50</f>
        <v>0.0010550624522317365</v>
      </c>
      <c r="AV60" s="16">
        <f>AY51</f>
        <v>-0.0011593185111819944</v>
      </c>
    </row>
    <row r="61">
      <c r="AD61">
        <v>5</v>
      </c>
      <c r="AE61" s="1">
        <f t="shared" si="185"/>
        <v>0.1689312351587951</v>
      </c>
      <c r="AF61">
        <f t="shared" si="186"/>
        <v>2</v>
      </c>
      <c r="AG61">
        <f t="shared" si="187"/>
        <v>0</v>
      </c>
      <c r="AH61">
        <f t="shared" si="187"/>
        <v>0.1689312351587951</v>
      </c>
      <c r="AT61" s="13">
        <v>6</v>
      </c>
      <c r="AU61" s="20">
        <f>AZ50</f>
        <v>-0.002687843311090714</v>
      </c>
      <c r="AV61" s="17">
        <f>AZ51</f>
        <v>0.0036366550358036733</v>
      </c>
    </row>
    <row r="62">
      <c r="J62" t="s">
        <v>161</v>
      </c>
      <c r="N62" t="s">
        <v>162</v>
      </c>
      <c r="P62" t="s">
        <v>162</v>
      </c>
      <c r="AD62">
        <v>6</v>
      </c>
      <c r="AE62" s="1">
        <f t="shared" si="185"/>
        <v>-0.19996862895231446</v>
      </c>
      <c r="AF62">
        <f t="shared" si="186"/>
        <v>2</v>
      </c>
      <c r="AG62">
        <f t="shared" si="187"/>
        <v>0</v>
      </c>
      <c r="AH62">
        <f t="shared" si="187"/>
        <v>-0.19996862895231446</v>
      </c>
    </row>
    <row r="63">
      <c r="J63" t="s">
        <v>163</v>
      </c>
      <c r="N63" t="s">
        <v>33</v>
      </c>
      <c r="P63" t="s">
        <v>76</v>
      </c>
    </row>
    <row r="64">
      <c r="K64">
        <v>1</v>
      </c>
      <c r="L64">
        <v>2</v>
      </c>
      <c r="N64">
        <v>1</v>
      </c>
      <c r="P64">
        <v>1</v>
      </c>
      <c r="AD64" t="s">
        <v>77</v>
      </c>
      <c r="AE64" s="23" t="s">
        <v>76</v>
      </c>
      <c r="AG64" s="2" t="s">
        <v>335</v>
      </c>
    </row>
    <row r="65">
      <c r="J65" s="2" t="s">
        <v>135</v>
      </c>
      <c r="K65" s="19" cm="1">
        <f t="array" ref="K65:L65">TRANSPOSE(_xlfn.ANCHORARRAY(T29))</f>
        <v>-0.37606797465641517</v>
      </c>
      <c r="L65" s="23">
        <f/>
        <v>0.60856989533920758</v>
      </c>
      <c r="N65" s="19">
        <f t="shared" ref="N65:N70" si="188">MAX(_xlfn.ANCHORARRAY(K65))</f>
        <v>0.60856989533920758</v>
      </c>
      <c r="P65" s="23">
        <f t="shared" ref="P65:P70" si="189">AVERAGE(_xlfn.ANCHORARRAY(K65))</f>
        <v>0.1162509603413962</v>
      </c>
      <c r="AE65">
        <v>1</v>
      </c>
      <c r="AF65">
        <v>2</v>
      </c>
      <c r="AG65" s="2">
        <v>2</v>
      </c>
    </row>
    <row r="66">
      <c r="J66">
        <v>2</v>
      </c>
      <c r="K66" s="19" cm="1">
        <f t="array" ref="K66:L66">TRANSPOSE(_xlfn.ANCHORARRAY(T35))</f>
        <v>-0.49988654358452378</v>
      </c>
      <c r="L66" s="23">
        <f/>
        <v>0.94880195131128564</v>
      </c>
      <c r="N66" s="19">
        <f t="shared" si="188"/>
        <v>0.94880195131128564</v>
      </c>
      <c r="P66" s="23">
        <f t="shared" si="189"/>
        <v>0.22445770386338093</v>
      </c>
      <c r="AD66">
        <v>1</v>
      </c>
      <c r="AE66">
        <f t="shared" ref="AE66:AF71" si="190">$AE48*1/$AG$65</f>
        <v>0.0031919681840563534</v>
      </c>
      <c r="AF66">
        <f>$AE48*1/$AG$65</f>
        <v>0.0031919681840563534</v>
      </c>
    </row>
    <row r="67">
      <c r="J67">
        <v>3</v>
      </c>
      <c r="K67" s="19" cm="1">
        <f t="array" ref="K67:L67">TRANSPOSE(_xlfn.ANCHORARRAY(T41))</f>
        <v>-0.24898867601083799</v>
      </c>
      <c r="L67" s="23">
        <f/>
        <v>0.99745141029449336</v>
      </c>
      <c r="N67" s="19">
        <f t="shared" si="188"/>
        <v>0.99745141029449336</v>
      </c>
      <c r="P67" s="23">
        <f t="shared" si="189"/>
        <v>0.3742313671418277</v>
      </c>
      <c r="AD67">
        <v>2</v>
      </c>
      <c r="AE67">
        <f t="shared" si="190"/>
        <v>-0.067366394849750724</v>
      </c>
      <c r="AF67">
        <f t="shared" si="190"/>
        <v>-0.067366394849750724</v>
      </c>
    </row>
    <row r="68">
      <c r="J68">
        <v>4</v>
      </c>
      <c r="K68" s="19" cm="1">
        <f t="array" ref="K68:L68">TRANSPOSE(_xlfn.ANCHORARRAY(T47))</f>
        <v>-0.17559011082000661</v>
      </c>
      <c r="L68" s="23">
        <f/>
        <v>0.9714887658606689</v>
      </c>
      <c r="N68" s="19">
        <f t="shared" si="188"/>
        <v>0.9714887658606689</v>
      </c>
      <c r="P68" s="23">
        <f t="shared" si="189"/>
        <v>0.39794932752033113</v>
      </c>
      <c r="AD68">
        <v>3</v>
      </c>
      <c r="AE68">
        <f t="shared" si="190"/>
        <v>-0.15491863418241722</v>
      </c>
      <c r="AF68">
        <f t="shared" si="190"/>
        <v>-0.15491863418241722</v>
      </c>
    </row>
    <row r="69">
      <c r="J69">
        <v>5</v>
      </c>
      <c r="K69" s="19" cm="1">
        <f t="array" ref="K69:L69">TRANSPOSE(_xlfn.ANCHORARRAY(T53))</f>
        <v>-0.50816193669614751</v>
      </c>
      <c r="L69" s="23">
        <f/>
        <v>0.99582468486163989</v>
      </c>
      <c r="N69" s="19">
        <f t="shared" si="188"/>
        <v>0.99582468486163989</v>
      </c>
      <c r="P69" s="23">
        <f t="shared" si="189"/>
        <v>0.24383137408274619</v>
      </c>
      <c r="AD69">
        <v>4</v>
      </c>
      <c r="AE69">
        <f t="shared" si="190"/>
        <v>-0.060652202356044807</v>
      </c>
      <c r="AF69">
        <f t="shared" si="190"/>
        <v>-0.060652202356044807</v>
      </c>
    </row>
    <row r="70">
      <c r="J70">
        <v>6</v>
      </c>
      <c r="K70" s="19" cm="1">
        <f t="array" ref="K70:L70">TRANSPOSE(_xlfn.ANCHORARRAY(T59))</f>
        <v>-0.37189214708934171</v>
      </c>
      <c r="L70" s="23">
        <f/>
        <v>0.99897304396636466</v>
      </c>
      <c r="N70" s="19">
        <f t="shared" si="188"/>
        <v>0.99897304396636466</v>
      </c>
      <c r="P70" s="23">
        <f t="shared" si="189"/>
        <v>0.31354044843851148</v>
      </c>
      <c r="AD70">
        <v>5</v>
      </c>
      <c r="AE70">
        <f t="shared" si="190"/>
        <v>-0.027202034168463101</v>
      </c>
      <c r="AF70">
        <f t="shared" si="190"/>
        <v>-0.027202034168463101</v>
      </c>
    </row>
    <row r="71">
      <c r="AD71">
        <v>6</v>
      </c>
      <c r="AE71">
        <f t="shared" si="190"/>
        <v>0.015918469712969587</v>
      </c>
      <c r="AF71">
        <f t="shared" si="190"/>
        <v>0.015918469712969587</v>
      </c>
    </row>
    <row r="72">
      <c r="J72" s="7"/>
      <c r="K72" s="10" t="s">
        <v>165</v>
      </c>
      <c r="L72" t="s">
        <v>162</v>
      </c>
    </row>
    <row r="73">
      <c r="J73" s="11"/>
      <c r="K73" s="12">
        <v>1</v>
      </c>
      <c r="AD73" s="7"/>
      <c r="AE73" s="18" t="s">
        <v>82</v>
      </c>
      <c r="AF73" s="9"/>
      <c r="AG73" t="s">
        <v>77</v>
      </c>
    </row>
    <row r="74">
      <c r="J74" s="11">
        <v>1</v>
      </c>
      <c r="K74" s="57" cm="1">
        <f t="array" ref="K74:K79">N65:N70</f>
        <v>0.60856989533920758</v>
      </c>
      <c r="AD74" s="11"/>
      <c r="AE74">
        <v>1</v>
      </c>
      <c r="AF74" s="12">
        <v>2</v>
      </c>
    </row>
    <row r="75">
      <c r="J75" s="11">
        <v>2</v>
      </c>
      <c r="K75" s="57">
        <f/>
        <v>0.94880195131128564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11">
        <v>1</v>
      </c>
      <c r="AE75" s="19">
        <f t="shared" ref="AE75:AF80" si="191">AG57+AE66</f>
        <v>0.0031919681840563534</v>
      </c>
      <c r="AF75" s="16">
        <f>AH57+AF66</f>
        <v>0.070876119923188499</v>
      </c>
    </row>
    <row r="76">
      <c r="J76" s="11">
        <v>3</v>
      </c>
      <c r="K76" s="57">
        <f/>
        <v>0.99745141029449336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11">
        <v>2</v>
      </c>
      <c r="AE76" s="19">
        <f t="shared" si="191"/>
        <v>-0.067366394849750724</v>
      </c>
      <c r="AF76" s="16">
        <f t="shared" si="191"/>
        <v>0.17024336438617327</v>
      </c>
    </row>
    <row r="77">
      <c r="J77" s="11">
        <v>4</v>
      </c>
      <c r="K77" s="57">
        <f/>
        <v>0.9714887658606689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11">
        <v>3</v>
      </c>
      <c r="AE77" s="19">
        <f t="shared" si="191"/>
        <v>-0.15491863418241722</v>
      </c>
      <c r="AF77" s="16">
        <f t="shared" si="191"/>
        <v>0.075771322054048906</v>
      </c>
    </row>
    <row r="78">
      <c r="J78" s="11">
        <v>5</v>
      </c>
      <c r="K78" s="57">
        <f/>
        <v>0.99582468486163989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11">
        <v>4</v>
      </c>
      <c r="AE78" s="19">
        <f t="shared" si="191"/>
        <v>-0.060652202356044807</v>
      </c>
      <c r="AF78" s="16">
        <f t="shared" si="191"/>
        <v>0.011594803217668703</v>
      </c>
    </row>
    <row r="79">
      <c r="J79" s="11">
        <v>6</v>
      </c>
      <c r="K79" s="57">
        <f/>
        <v>0.99897304396636466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11">
        <v>5</v>
      </c>
      <c r="AE79" s="19">
        <f t="shared" si="191"/>
        <v>-0.027202034168463101</v>
      </c>
      <c r="AF79" s="16">
        <f t="shared" si="191"/>
        <v>0.14172920099033201</v>
      </c>
    </row>
    <row r="80">
      <c r="J80" s="11">
        <v>7</v>
      </c>
      <c r="K80" s="16" cm="1">
        <f t="array" ref="K80:K85">P65:P70</f>
        <v>0.1162509603413962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13">
        <v>6</v>
      </c>
      <c r="AE80" s="20">
        <f t="shared" si="191"/>
        <v>0.015918469712969587</v>
      </c>
      <c r="AF80" s="17">
        <f t="shared" si="191"/>
        <v>-0.18405015923934487</v>
      </c>
    </row>
    <row r="81">
      <c r="J81" s="11">
        <v>8</v>
      </c>
      <c r="K81" s="16">
        <f/>
        <v>0.22445770386338093</v>
      </c>
    </row>
    <row r="82">
      <c r="J82" s="11">
        <v>9</v>
      </c>
      <c r="K82" s="16">
        <f/>
        <v>0.3742313671418277</v>
      </c>
    </row>
    <row r="83">
      <c r="J83" s="11">
        <v>10</v>
      </c>
      <c r="K83" s="16">
        <f/>
        <v>0.39794932752033113</v>
      </c>
      <c r="AD83" s="50"/>
      <c r="AE83" s="51" t="s">
        <v>164</v>
      </c>
      <c r="AF83" s="52"/>
    </row>
    <row r="84">
      <c r="J84" s="11">
        <v>11</v>
      </c>
      <c r="K84" s="16">
        <f/>
        <v>0.24383137408274619</v>
      </c>
      <c r="AD84" s="53"/>
      <c r="AE84">
        <v>1</v>
      </c>
      <c r="AF84" s="54">
        <v>2</v>
      </c>
    </row>
    <row r="85">
      <c r="J85" s="13">
        <v>12</v>
      </c>
      <c r="K85" s="17">
        <f/>
        <v>0.31354044843851148</v>
      </c>
      <c r="AD85" s="55" t="s">
        <v>91</v>
      </c>
      <c r="AE85" s="19" cm="1">
        <f t="array" ref="AE85:AF90">MMULT(W75:AB80,AE75:AF80)</f>
        <v>0.015918469712969587</v>
      </c>
      <c r="AF85" s="56">
        <f/>
        <v>-0.18405015923934487</v>
      </c>
    </row>
    <row r="86">
      <c r="AD86" s="53">
        <v>5</v>
      </c>
      <c r="AE86" s="19">
        <f/>
        <v>-0.027202034168463101</v>
      </c>
      <c r="AF86" s="56">
        <f/>
        <v>0.14172920099033201</v>
      </c>
    </row>
    <row r="87">
      <c r="AD87" s="53">
        <v>4</v>
      </c>
      <c r="AE87" s="19">
        <f/>
        <v>-0.060652202356044807</v>
      </c>
      <c r="AF87" s="56">
        <f/>
        <v>0.011594803217668703</v>
      </c>
    </row>
    <row r="88">
      <c r="AD88" s="53">
        <v>3</v>
      </c>
      <c r="AE88" s="19">
        <f/>
        <v>-0.15491863418241722</v>
      </c>
      <c r="AF88" s="56">
        <f/>
        <v>0.075771322054048906</v>
      </c>
    </row>
    <row r="89">
      <c r="AD89" s="53">
        <v>2</v>
      </c>
      <c r="AE89" s="19">
        <f/>
        <v>-0.067366394849750724</v>
      </c>
      <c r="AF89" s="56">
        <f/>
        <v>0.17024336438617327</v>
      </c>
    </row>
    <row r="90">
      <c r="AD90" s="58">
        <v>1</v>
      </c>
      <c r="AE90" s="59">
        <f/>
        <v>0.0031919681840563534</v>
      </c>
      <c r="AF90" s="60">
        <f/>
        <v>0.070876119923188499</v>
      </c>
    </row>
    <row r="92">
      <c r="AD92" s="50"/>
      <c r="AE92" s="61" t="s">
        <v>166</v>
      </c>
      <c r="AF92" s="61"/>
      <c r="AG92" s="61"/>
      <c r="AH92" s="61"/>
      <c r="AI92" s="61"/>
      <c r="AJ92" s="52"/>
    </row>
    <row r="93">
      <c r="AD93" s="53"/>
      <c r="AE93" s="2" t="s">
        <v>91</v>
      </c>
      <c r="AF93">
        <v>5</v>
      </c>
      <c r="AG93">
        <v>4</v>
      </c>
      <c r="AH93">
        <v>3</v>
      </c>
      <c r="AI93">
        <v>2</v>
      </c>
      <c r="AJ93" s="54">
        <v>1</v>
      </c>
    </row>
    <row r="94">
      <c r="AD94" s="53">
        <v>1</v>
      </c>
      <c r="AE94" s="19" cm="1">
        <f t="array" ref="AE94:AJ95">TRANSPOSE(AE85:AF90)</f>
        <v>0.015918469712969587</v>
      </c>
      <c r="AF94" s="19">
        <f/>
        <v>-0.027202034168463101</v>
      </c>
      <c r="AG94" s="19">
        <f/>
        <v>-0.060652202356044807</v>
      </c>
      <c r="AH94" s="19">
        <f/>
        <v>-0.15491863418241722</v>
      </c>
      <c r="AI94" s="19">
        <f/>
        <v>-0.067366394849750724</v>
      </c>
      <c r="AJ94" s="62">
        <f/>
        <v>0.0031919681840563534</v>
      </c>
    </row>
    <row r="95">
      <c r="AD95" s="58">
        <v>2</v>
      </c>
      <c r="AE95" s="63">
        <f/>
        <v>-0.18405015923934487</v>
      </c>
      <c r="AF95" s="63">
        <f/>
        <v>0.14172920099033201</v>
      </c>
      <c r="AG95" s="63">
        <f/>
        <v>0.011594803217668703</v>
      </c>
      <c r="AH95" s="63">
        <f/>
        <v>0.075771322054048906</v>
      </c>
      <c r="AI95" s="63">
        <f/>
        <v>0.17024336438617327</v>
      </c>
      <c r="AJ95" s="60">
        <f/>
        <v>0.070876119923188499</v>
      </c>
    </row>
  </sheetData>
  <mergeCells count="2">
    <mergeCell ref="C31:F31"/>
    <mergeCell ref="C26:F2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U22" zoomScale="100" workbookViewId="0">
      <selection activeCell="CE43" activeCellId="0" sqref="1:1048576"/>
    </sheetView>
  </sheetViews>
  <sheetFormatPr defaultRowHeight="15"/>
  <cols>
    <col customWidth="1" min="7" max="7" width="9.140625"/>
    <col customWidth="1" min="15" max="15" width="3.42578125"/>
    <col customWidth="1" min="22" max="22" width="1.7109375"/>
    <col customWidth="1" min="29" max="29" width="1.7109375"/>
    <col customWidth="1" min="30" max="30" width="12.140625"/>
    <col customWidth="1" min="55" max="55" width="2"/>
    <col customWidth="1" min="56" max="56" width="9.140625"/>
    <col customWidth="1" min="62" max="62" width="2"/>
    <col customWidth="1" min="68" max="68" width="2"/>
    <col customWidth="1" min="75" max="75" width="2"/>
    <col customWidth="1" min="78" max="78" width="2"/>
  </cols>
  <sheetData>
    <row r="2" ht="26.25">
      <c r="B2" s="7"/>
      <c r="C2" s="18" t="s">
        <v>35</v>
      </c>
      <c r="D2" s="9"/>
      <c r="F2" s="64" t="s">
        <v>167</v>
      </c>
      <c r="G2" s="9">
        <f t="shared" ref="G2:G3" si="192">$G$4/$G$5</f>
        <v>1</v>
      </c>
      <c r="J2" s="6" t="s">
        <v>19</v>
      </c>
      <c r="AG2" s="6" t="s">
        <v>19</v>
      </c>
      <c r="AO2" s="6" t="s">
        <v>37</v>
      </c>
      <c r="AU2" s="6" t="s">
        <v>37</v>
      </c>
      <c r="CC2" s="6" t="s">
        <v>68</v>
      </c>
    </row>
    <row r="3" ht="26.25">
      <c r="B3" s="11"/>
      <c r="C3">
        <v>1</v>
      </c>
      <c r="D3" s="12">
        <v>2</v>
      </c>
      <c r="F3" s="26" t="s">
        <v>168</v>
      </c>
      <c r="G3" s="12">
        <f t="shared" si="192"/>
        <v>1</v>
      </c>
      <c r="J3" s="6" t="s">
        <v>169</v>
      </c>
      <c r="AG3" s="6" t="s">
        <v>38</v>
      </c>
      <c r="AO3" s="6" t="s">
        <v>38</v>
      </c>
      <c r="AU3" s="6" t="s">
        <v>170</v>
      </c>
      <c r="CC3" s="6" t="s">
        <v>20</v>
      </c>
    </row>
    <row r="4">
      <c r="B4" s="11">
        <v>1</v>
      </c>
      <c r="C4" s="19" cm="1">
        <f t="array" ref="C4:D9">FRONTEND!M49:N54</f>
        <v>4.0296676785617889</v>
      </c>
      <c r="D4" s="16">
        <f/>
        <v>1.426184227044502</v>
      </c>
      <c r="F4" s="26" t="s">
        <v>171</v>
      </c>
      <c r="G4" s="12">
        <v>2</v>
      </c>
      <c r="H4" t="s">
        <v>172</v>
      </c>
      <c r="J4" s="19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73</v>
      </c>
      <c r="CE4" t="s">
        <v>25</v>
      </c>
      <c r="CF4" t="s">
        <v>74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>
      <c r="B5" s="11">
        <v>2</v>
      </c>
      <c r="C5" s="19">
        <f/>
        <v>3.1757752467270279</v>
      </c>
      <c r="D5" s="16">
        <f/>
        <v>0.83446165212430812</v>
      </c>
      <c r="F5" s="26" t="s">
        <v>175</v>
      </c>
      <c r="G5" s="12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7"/>
      <c r="AJ5" s="18" t="s">
        <v>40</v>
      </c>
      <c r="AK5" s="8"/>
      <c r="AL5" s="9"/>
      <c r="AN5" s="7"/>
      <c r="AO5" s="8" t="s">
        <v>41</v>
      </c>
      <c r="AP5" s="9" t="s">
        <v>42</v>
      </c>
      <c r="AT5" s="7"/>
      <c r="AU5" s="18" t="s">
        <v>183</v>
      </c>
      <c r="AV5" s="9" t="s">
        <v>184</v>
      </c>
      <c r="AX5" s="7" t="s">
        <v>185</v>
      </c>
      <c r="AY5" s="9" t="s">
        <v>186</v>
      </c>
      <c r="CC5">
        <v>1</v>
      </c>
      <c r="CD5" s="2" t="s">
        <v>75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>
      <c r="B6" s="11">
        <v>3</v>
      </c>
      <c r="C6" s="19">
        <f/>
        <v>3.3789276309323317</v>
      </c>
      <c r="D6" s="16">
        <f/>
        <v>1.8393159934697598</v>
      </c>
      <c r="F6" s="27" t="s">
        <v>187</v>
      </c>
      <c r="G6" s="14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11"/>
      <c r="AJ6">
        <v>1</v>
      </c>
      <c r="AK6">
        <v>2</v>
      </c>
      <c r="AL6" s="12">
        <v>3</v>
      </c>
      <c r="AN6" s="11"/>
      <c r="AO6">
        <v>1</v>
      </c>
      <c r="AP6" s="12"/>
      <c r="AT6" s="11"/>
      <c r="AU6">
        <v>1</v>
      </c>
      <c r="AV6" s="12">
        <v>2</v>
      </c>
      <c r="AX6" s="11">
        <v>1</v>
      </c>
      <c r="AY6" s="12">
        <v>2</v>
      </c>
      <c r="CB6">
        <v>1</v>
      </c>
      <c r="CC6" s="19" cm="1">
        <f t="array" ref="CC6:CC11">CA85:CA90</f>
        <v>-0.19032161206009576</v>
      </c>
      <c r="CD6">
        <f>MATCH(MAX(FRONTEND!$M28:$Q28),FRONTEND!$M28:$Q28,0)</f>
        <v>4</v>
      </c>
      <c r="CE6">
        <f t="shared" ref="CE6:CE11" si="193">IF($CD6=CE$5,$CC6,0)</f>
        <v>0</v>
      </c>
      <c r="CF6">
        <f t="shared" ref="CF6:CI11" si="194">IF($CD6=CF$5,$CC6,0)</f>
        <v>0</v>
      </c>
      <c r="CG6">
        <f t="shared" si="194"/>
        <v>0</v>
      </c>
      <c r="CH6">
        <f t="shared" si="194"/>
        <v>-0.19032161206009576</v>
      </c>
      <c r="CI6">
        <f t="shared" si="194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>
      <c r="B7" s="11">
        <v>4</v>
      </c>
      <c r="C7" s="19">
        <f/>
        <v>1.5094131886761968</v>
      </c>
      <c r="D7" s="16">
        <f/>
        <v>0.40501335750777256</v>
      </c>
      <c r="I7">
        <v>1</v>
      </c>
      <c r="J7" cm="1">
        <f t="array" ref="J7:J12">MMULT($C$14:$D$19,C25:C26)</f>
        <v>-1.3385314191211002</v>
      </c>
      <c r="L7" cm="1">
        <f t="array" ref="L7:L12">MMULT($C$14:$D$19,E25:E26)</f>
        <v>-0.11812803675662598</v>
      </c>
      <c r="N7" cm="1">
        <f t="array" ref="N7:N12">MMULT($C$14:$D$19,G25:G26)</f>
        <v>-1.7817100984100505</v>
      </c>
      <c r="P7" cm="1">
        <f t="array" ref="P7:U12">MMULT(_xlfn.ANCHORARRAY(J7),TRANSPOSE(_xlfn.ANCHORARRAY(L7)))/SQRT($G$2)</f>
        <v>0.15811808867783606</v>
      </c>
      <c r="Q7">
        <f/>
        <v>-0.85963907319556276</v>
      </c>
      <c r="R7">
        <f/>
        <v>-0.96082047701631357</v>
      </c>
      <c r="S7">
        <f/>
        <v>-1.4736332645785815</v>
      </c>
      <c r="T7">
        <f/>
        <v>-2.1737681629793459</v>
      </c>
      <c r="U7">
        <f/>
        <v>0.35613755914305734</v>
      </c>
      <c r="W7" cm="1">
        <f t="array" ref="W7">EXP(P7)/SUM(EXP($P7:$U7))</f>
        <v>0.31252772090630376</v>
      </c>
      <c r="X7" cm="1">
        <f t="array" ref="X7">EXP(Q7)/SUM(EXP($P7:$U7))</f>
        <v>0.11294895717756043</v>
      </c>
      <c r="Y7" cm="1">
        <f t="array" ref="Y7">EXP(R7)/SUM(EXP($P7:$U7))</f>
        <v>0.10207977408207912</v>
      </c>
      <c r="Z7" cm="1">
        <f t="array" ref="Z7">EXP(S7)/SUM(EXP($P7:$U7))</f>
        <v>0.061126275758747517</v>
      </c>
      <c r="AA7" cm="1">
        <f t="array" ref="AA7">EXP(T7)/SUM(EXP($P7:$U7))</f>
        <v>0.030350315732076607</v>
      </c>
      <c r="AB7" cm="1">
        <f t="array" ref="AB7">EXP(U7)/SUM(EXP($P7:$U7))</f>
        <v>0.38096695634323258</v>
      </c>
      <c r="AD7" s="19" cm="1">
        <f t="array" ref="AD7:AD12">MMULT(W7:AB12,_xlfn.ANCHORARRAY(N7))</f>
        <v>-1.2059822914038199</v>
      </c>
      <c r="AF7">
        <v>1</v>
      </c>
      <c r="AG7" s="19">
        <f t="shared" ref="AG7:AG18" si="195">U47</f>
        <v>3.8524777316336736</v>
      </c>
      <c r="AI7" s="11">
        <v>1</v>
      </c>
      <c r="AJ7" s="38">
        <v>-0.13400000000000001</v>
      </c>
      <c r="AK7" s="38">
        <v>-0.67100000000000004</v>
      </c>
      <c r="AL7" s="39">
        <v>-0.77800000000000002</v>
      </c>
      <c r="AN7" s="11">
        <v>1</v>
      </c>
      <c r="AO7" s="1">
        <f>-1/3*((2/(1+DATA!$I$16))*AH34/AG28-((2*DATA!$I$16)/(1+DATA!$I$16))*(1-AH34)*(1-AG28))</f>
        <v>-1.5588610272417691</v>
      </c>
      <c r="AP7" s="12"/>
      <c r="AT7" s="11">
        <v>1</v>
      </c>
      <c r="AU7" cm="1">
        <f t="array" ref="AU7:AV8">C47:D48-$AG$39*MMULT(TRANSPOSE($M$38:$N$43),$AO$75:$AP$80)</f>
        <v>-0.77676931698766816</v>
      </c>
      <c r="AV7" s="12">
        <f/>
        <v>-0.80272198753831014</v>
      </c>
      <c r="AX7" s="13">
        <f>F47-$AG$39*SUM(AO75:AO80)</f>
        <v>0.96414111230886979</v>
      </c>
      <c r="AY7" s="14">
        <f>G47-$AG$39*SUM(AP75:AP80)</f>
        <v>1.026151028968616</v>
      </c>
      <c r="CB7">
        <v>2</v>
      </c>
      <c r="CC7" s="19">
        <f/>
        <v>0.07633427249813525</v>
      </c>
      <c r="CD7">
        <f>MATCH(MAX(FRONTEND!$M29:$Q29),FRONTEND!$M29:$Q29,0)</f>
        <v>2</v>
      </c>
      <c r="CE7">
        <f t="shared" si="193"/>
        <v>0</v>
      </c>
      <c r="CF7">
        <f t="shared" si="194"/>
        <v>0.07633427249813525</v>
      </c>
      <c r="CG7">
        <f t="shared" si="194"/>
        <v>0</v>
      </c>
      <c r="CH7">
        <f t="shared" si="194"/>
        <v>0</v>
      </c>
      <c r="CI7">
        <f t="shared" si="194"/>
        <v>0</v>
      </c>
      <c r="CK7">
        <v>0</v>
      </c>
      <c r="CL7">
        <v>0</v>
      </c>
      <c r="CM7">
        <v>0</v>
      </c>
      <c r="CN7" s="7" cm="1">
        <f t="array" ref="CN7:CR12">FRONTEND!$B$4:$F$9</f>
        <v>0.098070127981472688</v>
      </c>
      <c r="CO7" s="8">
        <f/>
        <v>0.76989837351610546</v>
      </c>
      <c r="CP7" s="8">
        <f/>
        <v>1.0888675284528564</v>
      </c>
      <c r="CQ7" s="8">
        <f/>
        <v>0.41864132753818439</v>
      </c>
      <c r="CR7" s="9">
        <f/>
        <v>-0.54807215149909738</v>
      </c>
      <c r="CS7">
        <v>0</v>
      </c>
      <c r="CT7">
        <v>0</v>
      </c>
      <c r="CU7">
        <v>0</v>
      </c>
    </row>
    <row r="8">
      <c r="B8" s="11">
        <v>5</v>
      </c>
      <c r="C8" s="19">
        <f/>
        <v>4.5198656803290973</v>
      </c>
      <c r="D8" s="16">
        <f/>
        <v>0.53701995183003415</v>
      </c>
      <c r="I8">
        <v>2</v>
      </c>
      <c r="J8">
        <f/>
        <v>-2.2530739685497512</v>
      </c>
      <c r="L8">
        <f/>
        <v>0.64222554727928216</v>
      </c>
      <c r="N8">
        <f/>
        <v>-1.0997438488189222</v>
      </c>
      <c r="P8">
        <f/>
        <v>0.26615120457224217</v>
      </c>
      <c r="Q8">
        <f/>
        <v>-1.4469816625125682</v>
      </c>
      <c r="R8">
        <f/>
        <v>-1.6172945769449703</v>
      </c>
      <c r="S8">
        <f/>
        <v>-2.4804832372116348</v>
      </c>
      <c r="T8">
        <f/>
        <v>-3.6589805750595339</v>
      </c>
      <c r="U8">
        <f/>
        <v>0.59946614047725577</v>
      </c>
      <c r="W8" cm="1">
        <f t="array" ref="W8">EXP(P8)/SUM(EXP($P8:$U8))</f>
        <v>0.35563965331313518</v>
      </c>
      <c r="X8" cm="1">
        <f t="array" ref="X8">EXP(Q8)/SUM(EXP($P8:$U8))</f>
        <v>0.064121847554714256</v>
      </c>
      <c r="Y8" cm="1">
        <f t="array" ref="Y8">EXP(R8)/SUM(EXP($P8:$U8))</f>
        <v>0.054080421564720919</v>
      </c>
      <c r="Z8" cm="1">
        <f t="array" ref="Z8">EXP(S8)/SUM(EXP($P8:$U8))</f>
        <v>0.022811928218710496</v>
      </c>
      <c r="AA8" cm="1">
        <f t="array" ref="AA8">EXP(T8)/SUM(EXP($P8:$U8))</f>
        <v>0.0070201615373774633</v>
      </c>
      <c r="AB8" cm="1">
        <f t="array" ref="AB8">EXP(U8)/SUM(EXP($P8:$U8))</f>
        <v>0.49632598781134168</v>
      </c>
      <c r="AD8" s="19">
        <f/>
        <v>-1.3104404012092385</v>
      </c>
      <c r="AF8">
        <v>2</v>
      </c>
      <c r="AG8" s="19">
        <f t="shared" si="195"/>
        <v>3.7740176544159789</v>
      </c>
      <c r="AI8" s="11">
        <v>2</v>
      </c>
      <c r="AJ8" s="38">
        <v>-0.94499999999999995</v>
      </c>
      <c r="AK8" s="38">
        <v>-0.040000000000000001</v>
      </c>
      <c r="AL8" s="39">
        <v>0.99099999999999999</v>
      </c>
      <c r="AN8" s="11">
        <v>2</v>
      </c>
      <c r="AO8" s="1">
        <f>-1/3*((2/(1+DATA!$I$16))*AH35/AG29-((2*DATA!$I$16)/(1+DATA!$I$16))*(1-AH35)*(1-AG29))</f>
        <v>0.066442273369516774</v>
      </c>
      <c r="AP8" s="12"/>
      <c r="AT8" s="13">
        <v>2</v>
      </c>
      <c r="AU8" s="15">
        <f/>
        <v>-0.77099298153264306</v>
      </c>
      <c r="AV8" s="14">
        <f/>
        <v>0.11136103883261944</v>
      </c>
      <c r="CB8">
        <v>3</v>
      </c>
      <c r="CC8" s="19">
        <f/>
        <v>-0.15458802370245733</v>
      </c>
      <c r="CD8">
        <f>MATCH(MAX(FRONTEND!$M30:$Q30),FRONTEND!$M30:$Q30,0)</f>
        <v>3</v>
      </c>
      <c r="CE8">
        <f t="shared" si="193"/>
        <v>0</v>
      </c>
      <c r="CF8">
        <f t="shared" si="194"/>
        <v>0</v>
      </c>
      <c r="CG8">
        <f t="shared" si="194"/>
        <v>-0.15458802370245733</v>
      </c>
      <c r="CH8">
        <f t="shared" si="194"/>
        <v>0</v>
      </c>
      <c r="CI8">
        <f t="shared" si="194"/>
        <v>0</v>
      </c>
      <c r="CK8">
        <v>0</v>
      </c>
      <c r="CL8">
        <v>0</v>
      </c>
      <c r="CM8">
        <v>0</v>
      </c>
      <c r="CN8" s="11">
        <f/>
        <v>0.3947945813296071</v>
      </c>
      <c r="CO8">
        <f/>
        <v>0.76298402984034686</v>
      </c>
      <c r="CP8">
        <f/>
        <v>-1.5092547447204521</v>
      </c>
      <c r="CQ8">
        <f/>
        <v>0.78695236170270555</v>
      </c>
      <c r="CR8" s="12">
        <f/>
        <v>-1.6514230540804744</v>
      </c>
      <c r="CS8">
        <v>0</v>
      </c>
      <c r="CT8">
        <v>0</v>
      </c>
      <c r="CU8">
        <v>0</v>
      </c>
    </row>
    <row r="9">
      <c r="B9" s="13">
        <v>6</v>
      </c>
      <c r="C9" s="20">
        <f/>
        <v>3.0540707238032767</v>
      </c>
      <c r="D9" s="17">
        <f/>
        <v>1.2588938475691771</v>
      </c>
      <c r="I9">
        <v>3</v>
      </c>
      <c r="J9">
        <f/>
        <v>-2.4440611416955038</v>
      </c>
      <c r="L9">
        <f/>
        <v>0.71781690238336182</v>
      </c>
      <c r="N9">
        <f/>
        <v>-1.1452013166892729</v>
      </c>
      <c r="P9">
        <f/>
        <v>0.28871214438164772</v>
      </c>
      <c r="Q9">
        <f/>
        <v>-1.5696385043094221</v>
      </c>
      <c r="R9">
        <f/>
        <v>-1.7543883979674093</v>
      </c>
      <c r="S9">
        <f/>
        <v>-2.6907472978342919</v>
      </c>
      <c r="T9">
        <f/>
        <v>-3.9691427651964397</v>
      </c>
      <c r="U9">
        <f/>
        <v>0.6502813135095199</v>
      </c>
      <c r="W9" cm="1">
        <f t="array" ref="W9">EXP(P9)/SUM(EXP($P9:$U9))</f>
        <v>0.3589234997659338</v>
      </c>
      <c r="X9" cm="1">
        <f t="array" ref="X9">EXP(Q9)/SUM(EXP($P9:$U9))</f>
        <v>0.055966798138138721</v>
      </c>
      <c r="Y9" cm="1">
        <f t="array" ref="Y9">EXP(R9)/SUM(EXP($P9:$U9))</f>
        <v>0.046525880648862636</v>
      </c>
      <c r="Z9" cm="1">
        <f t="array" ref="Z9">EXP(S9)/SUM(EXP($P9:$U9))</f>
        <v>0.018240599127166933</v>
      </c>
      <c r="AA9" cm="1">
        <f t="array" ref="AA9">EXP(T9)/SUM(EXP($P9:$U9))</f>
        <v>0.0050797109665776125</v>
      </c>
      <c r="AB9" cm="1">
        <f t="array" ref="AB9">EXP(U9)/SUM(EXP($P9:$U9))</f>
        <v>0.51526351135332027</v>
      </c>
      <c r="AD9" s="19">
        <f/>
        <v>-1.3207714547528537</v>
      </c>
      <c r="AF9">
        <v>3</v>
      </c>
      <c r="AG9" s="19">
        <f t="shared" si="195"/>
        <v>4.0598648068221301</v>
      </c>
      <c r="AI9" s="11">
        <v>3</v>
      </c>
      <c r="AJ9" s="38">
        <v>-0.62</v>
      </c>
      <c r="AK9" s="38">
        <v>0.312</v>
      </c>
      <c r="AL9" s="39">
        <v>-0.121</v>
      </c>
      <c r="AN9" s="13">
        <v>3</v>
      </c>
      <c r="AO9" s="24">
        <f>-1/3*((2/(1+DATA!$I$16))*AH36/AG30-((2*DATA!$I$16)/(1+DATA!$I$16))*(1-AH36)*(1-AG30))</f>
        <v>-1.4403943244871986</v>
      </c>
      <c r="AP9" s="14"/>
      <c r="CB9">
        <v>4</v>
      </c>
      <c r="CC9" s="19">
        <f/>
        <v>0.15659341682569333</v>
      </c>
      <c r="CD9">
        <f>MATCH(MAX(FRONTEND!$M31:$Q31),FRONTEND!$M31:$Q31,0)</f>
        <v>4</v>
      </c>
      <c r="CE9">
        <f t="shared" si="193"/>
        <v>0</v>
      </c>
      <c r="CF9">
        <f t="shared" si="194"/>
        <v>0</v>
      </c>
      <c r="CG9">
        <f t="shared" si="194"/>
        <v>0</v>
      </c>
      <c r="CH9">
        <f t="shared" si="194"/>
        <v>0.15659341682569333</v>
      </c>
      <c r="CI9">
        <f t="shared" si="194"/>
        <v>0</v>
      </c>
      <c r="CK9">
        <v>0</v>
      </c>
      <c r="CL9">
        <v>0</v>
      </c>
      <c r="CM9">
        <v>0</v>
      </c>
      <c r="CN9" s="11">
        <f/>
        <v>1.2610501600821225</v>
      </c>
      <c r="CO9">
        <f/>
        <v>1.0201001967063095</v>
      </c>
      <c r="CP9">
        <f/>
        <v>0.20946802791688546</v>
      </c>
      <c r="CQ9">
        <f/>
        <v>-1.5474479187727208</v>
      </c>
      <c r="CR9" s="12">
        <f/>
        <v>-0.51000095484744268</v>
      </c>
      <c r="CS9">
        <v>0</v>
      </c>
      <c r="CT9">
        <v>0</v>
      </c>
      <c r="CU9">
        <v>0</v>
      </c>
    </row>
    <row r="10">
      <c r="B10" t="s">
        <v>45</v>
      </c>
      <c r="I10">
        <v>4</v>
      </c>
      <c r="J10">
        <f/>
        <v>-1.9375412579880391</v>
      </c>
      <c r="L10">
        <f/>
        <v>1.1009328907245159</v>
      </c>
      <c r="N10">
        <f/>
        <v>0.29323875590177673</v>
      </c>
      <c r="P10">
        <f/>
        <v>0.22887794494109043</v>
      </c>
      <c r="Q10">
        <f/>
        <v>-1.2443384947875573</v>
      </c>
      <c r="R10">
        <f/>
        <v>-1.3907998640489363</v>
      </c>
      <c r="S10">
        <f/>
        <v>-2.133102898054787</v>
      </c>
      <c r="T10">
        <f/>
        <v>-3.1465570706131496</v>
      </c>
      <c r="U10">
        <f/>
        <v>0.51551364764520347</v>
      </c>
      <c r="W10" cm="1">
        <f t="array" ref="W10">EXP(P10)/SUM(EXP($P10:$U10))</f>
        <v>0.3463173336912802</v>
      </c>
      <c r="X10" cm="1">
        <f t="array" ref="X10">EXP(Q10)/SUM(EXP($P10:$U10))</f>
        <v>0.079371476398795632</v>
      </c>
      <c r="Y10" cm="1">
        <f t="array" ref="Y10">EXP(R10)/SUM(EXP($P10:$U10))</f>
        <v>0.068557834967689191</v>
      </c>
      <c r="Z10" cm="1">
        <f t="array" ref="Z10">EXP(S10)/SUM(EXP($P10:$U10))</f>
        <v>0.032634651755303709</v>
      </c>
      <c r="AA10" cm="1">
        <f t="array" ref="AA10">EXP(T10)/SUM(EXP($P10:$U10))</f>
        <v>0.011845173541951365</v>
      </c>
      <c r="AB10" cm="1">
        <f t="array" ref="AB10">EXP(U10)/SUM(EXP($P10:$U10))</f>
        <v>0.46127352964497986</v>
      </c>
      <c r="AD10" s="19">
        <f/>
        <v>-1.2860235953106054</v>
      </c>
      <c r="AF10">
        <v>4</v>
      </c>
      <c r="AG10" s="19">
        <f t="shared" si="195"/>
        <v>2.6080100545201939</v>
      </c>
      <c r="AI10" s="11">
        <v>4</v>
      </c>
      <c r="AJ10" s="38">
        <v>-0.29099999999999998</v>
      </c>
      <c r="AK10" s="38">
        <v>-0.20200000000000001</v>
      </c>
      <c r="AL10" s="39">
        <v>0.186</v>
      </c>
      <c r="AU10" t="s">
        <v>188</v>
      </c>
      <c r="AW10" t="s">
        <v>189</v>
      </c>
      <c r="CB10">
        <v>5</v>
      </c>
      <c r="CC10" s="19">
        <f/>
        <v>-0.072791255504622177</v>
      </c>
      <c r="CD10">
        <f>MATCH(MAX(FRONTEND!$M32:$Q32),FRONTEND!$M32:$Q32,0)</f>
        <v>1</v>
      </c>
      <c r="CE10">
        <f t="shared" si="193"/>
        <v>-0.072791255504622177</v>
      </c>
      <c r="CF10">
        <f t="shared" si="194"/>
        <v>0</v>
      </c>
      <c r="CG10">
        <f t="shared" si="194"/>
        <v>0</v>
      </c>
      <c r="CH10">
        <f t="shared" si="194"/>
        <v>0</v>
      </c>
      <c r="CI10">
        <f t="shared" si="194"/>
        <v>0</v>
      </c>
      <c r="CK10">
        <v>0</v>
      </c>
      <c r="CL10">
        <v>0</v>
      </c>
      <c r="CM10">
        <v>0</v>
      </c>
      <c r="CN10" s="11">
        <f/>
        <v>-1.914822845899089</v>
      </c>
      <c r="CO10">
        <f/>
        <v>-0.96507706088431011</v>
      </c>
      <c r="CP10">
        <f/>
        <v>-0.73600695036684105</v>
      </c>
      <c r="CQ10">
        <f/>
        <v>-1.2146668976505628</v>
      </c>
      <c r="CR10" s="12">
        <f/>
        <v>0.61213976054071273</v>
      </c>
      <c r="CS10">
        <v>0</v>
      </c>
      <c r="CT10">
        <v>0</v>
      </c>
      <c r="CU10">
        <v>0</v>
      </c>
    </row>
    <row r="11">
      <c r="I11">
        <v>5</v>
      </c>
      <c r="J11">
        <f/>
        <v>-3.3463892942377957</v>
      </c>
      <c r="L11">
        <f/>
        <v>1.6239948737301024</v>
      </c>
      <c r="N11">
        <f/>
        <v>-0.12010714808734235</v>
      </c>
      <c r="P11">
        <f/>
        <v>0.39530239755170199</v>
      </c>
      <c r="Q11">
        <f/>
        <v>-2.1491366959013991</v>
      </c>
      <c r="R11">
        <f/>
        <v>-2.4020947973586191</v>
      </c>
      <c r="S11">
        <f/>
        <v>-3.684150039194789</v>
      </c>
      <c r="T11">
        <f/>
        <v>-5.4345190593474753</v>
      </c>
      <c r="U11">
        <f/>
        <v>0.89036006041221227</v>
      </c>
      <c r="W11" cm="1">
        <f t="array" ref="W11">EXP(P11)/SUM(EXP($P11:$U11))</f>
        <v>0.35715130234215853</v>
      </c>
      <c r="X11" cm="1">
        <f t="array" ref="X11">EXP(Q11)/SUM(EXP($P11:$U11))</f>
        <v>0.028042477512422736</v>
      </c>
      <c r="Y11" cm="1">
        <f t="array" ref="Y11">EXP(R11)/SUM(EXP($P11:$U11))</f>
        <v>0.021774995436625918</v>
      </c>
      <c r="Z11" cm="1">
        <f t="array" ref="Z11">EXP(S11)/SUM(EXP($P11:$U11))</f>
        <v>0.0060418307560927429</v>
      </c>
      <c r="AA11" cm="1">
        <f t="array" ref="AA11">EXP(T11)/SUM(EXP($P11:$U11))</f>
        <v>0.0010495253886584404</v>
      </c>
      <c r="AB11" cm="1">
        <f t="array" ref="AB11">EXP(U11)/SUM(EXP($P11:$U11))</f>
        <v>0.58593986856404157</v>
      </c>
      <c r="AD11" s="19">
        <f/>
        <v>-1.3399990969793096</v>
      </c>
      <c r="AF11">
        <v>5</v>
      </c>
      <c r="AG11" s="19">
        <f t="shared" si="195"/>
        <v>4.7462823220890584</v>
      </c>
      <c r="AI11" s="11">
        <v>5</v>
      </c>
      <c r="AJ11" s="38">
        <v>-0.57699999999999996</v>
      </c>
      <c r="AK11" s="38">
        <v>-0.185</v>
      </c>
      <c r="AL11" s="39">
        <v>0.17299999999999999</v>
      </c>
      <c r="AU11">
        <v>1</v>
      </c>
      <c r="AV11">
        <v>2</v>
      </c>
      <c r="CB11">
        <v>6</v>
      </c>
      <c r="CC11" s="19">
        <f/>
        <v>0.11984531242810692</v>
      </c>
      <c r="CD11">
        <f>MATCH(MAX(FRONTEND!$M33:$Q33),FRONTEND!$M33:$Q33,0)</f>
        <v>5</v>
      </c>
      <c r="CE11">
        <f t="shared" si="193"/>
        <v>0</v>
      </c>
      <c r="CF11">
        <f t="shared" si="194"/>
        <v>0</v>
      </c>
      <c r="CG11">
        <f t="shared" si="194"/>
        <v>0</v>
      </c>
      <c r="CH11">
        <f t="shared" si="194"/>
        <v>0</v>
      </c>
      <c r="CI11">
        <f t="shared" si="194"/>
        <v>0.11984531242810692</v>
      </c>
      <c r="CK11">
        <v>0</v>
      </c>
      <c r="CL11">
        <v>0</v>
      </c>
      <c r="CM11">
        <v>0</v>
      </c>
      <c r="CN11" s="11">
        <f/>
        <v>0.61185767787065537</v>
      </c>
      <c r="CO11">
        <f/>
        <v>-1.6862564508613829</v>
      </c>
      <c r="CP11">
        <f/>
        <v>-0.39331255882270999</v>
      </c>
      <c r="CQ11">
        <f/>
        <v>1.027314449369916</v>
      </c>
      <c r="CR11" s="12">
        <f/>
        <v>1.3115002107703582</v>
      </c>
      <c r="CS11">
        <v>0</v>
      </c>
      <c r="CT11">
        <v>0</v>
      </c>
      <c r="CU11">
        <v>0</v>
      </c>
    </row>
    <row r="12">
      <c r="B12" s="7" t="s">
        <v>190</v>
      </c>
      <c r="C12" s="8"/>
      <c r="D12" s="9"/>
      <c r="E12" t="s">
        <v>191</v>
      </c>
      <c r="G12" t="s">
        <v>192</v>
      </c>
      <c r="I12">
        <v>6</v>
      </c>
      <c r="J12">
        <f/>
        <v>-0.44856693009028414</v>
      </c>
      <c r="L12">
        <f/>
        <v>-0.26606589434927319</v>
      </c>
      <c r="N12">
        <f/>
        <v>-1.1085239247602845</v>
      </c>
      <c r="P12">
        <f/>
        <v>0.052988330805511963</v>
      </c>
      <c r="Q12">
        <f/>
        <v>-0.28808114216862024</v>
      </c>
      <c r="R12">
        <f/>
        <v>-0.32198892426902176</v>
      </c>
      <c r="S12">
        <f/>
        <v>-0.49384208702771837</v>
      </c>
      <c r="T12">
        <f/>
        <v>-0.7284703949914707</v>
      </c>
      <c r="U12">
        <f/>
        <v>0.11934836142997936</v>
      </c>
      <c r="W12" cm="1">
        <f t="array" ref="W12">EXP(P12)/SUM(EXP($P12:$U12))</f>
        <v>0.22205222821083356</v>
      </c>
      <c r="X12" cm="1">
        <f t="array" ref="X12">EXP(Q12)/SUM(EXP($P12:$U12))</f>
        <v>0.15788124609565463</v>
      </c>
      <c r="Y12" cm="1">
        <f t="array" ref="Y12">EXP(R12)/SUM(EXP($P12:$U12))</f>
        <v>0.15261758701711708</v>
      </c>
      <c r="Z12" cm="1">
        <f t="array" ref="Z12">EXP(S12)/SUM(EXP($P12:$U12))</f>
        <v>0.12851969982036851</v>
      </c>
      <c r="AA12" cm="1">
        <f t="array" ref="AA12">EXP(T12)/SUM(EXP($P12:$U12))</f>
        <v>0.10164170067142579</v>
      </c>
      <c r="AB12" cm="1">
        <f t="array" ref="AB12">EXP(U12)/SUM(EXP($P12:$U12))</f>
        <v>0.23728753818460049</v>
      </c>
      <c r="AD12" s="19">
        <f/>
        <v>-0.98159933925249687</v>
      </c>
      <c r="AF12">
        <v>6</v>
      </c>
      <c r="AG12" s="19">
        <f t="shared" si="195"/>
        <v>2.8858330291582019</v>
      </c>
      <c r="AI12" s="11">
        <v>6</v>
      </c>
      <c r="AJ12" s="38">
        <v>0.57199999999999995</v>
      </c>
      <c r="AK12" s="38">
        <v>0.89200000000000002</v>
      </c>
      <c r="AL12" s="39">
        <v>0.75700000000000001</v>
      </c>
      <c r="AN12" s="7" t="s">
        <v>47</v>
      </c>
      <c r="AO12" s="8" t="s">
        <v>48</v>
      </c>
      <c r="AP12" s="9"/>
      <c r="AT12">
        <v>1</v>
      </c>
      <c r="AU12" s="19" cm="1">
        <f t="array" ref="AU12:AV17">MMULT($AO$75:$AP$80,TRANSPOSE($C$47:$D$48))</f>
        <v>-0.2653571375929431</v>
      </c>
      <c r="AV12" s="23">
        <f/>
        <v>0.02047255704295247</v>
      </c>
      <c r="CK12">
        <v>0</v>
      </c>
      <c r="CL12">
        <v>0</v>
      </c>
      <c r="CM12">
        <v>0</v>
      </c>
      <c r="CN12" s="13">
        <f/>
        <v>-0.45094970136476858</v>
      </c>
      <c r="CO12" s="15">
        <f/>
        <v>0.098350911682930572</v>
      </c>
      <c r="CP12" s="15">
        <f/>
        <v>1.3402386975402607</v>
      </c>
      <c r="CQ12" s="15">
        <f/>
        <v>0.52920667781247754</v>
      </c>
      <c r="CR12" s="14">
        <f/>
        <v>0.78585618911594302</v>
      </c>
      <c r="CS12">
        <v>0</v>
      </c>
      <c r="CT12">
        <v>0</v>
      </c>
      <c r="CU12">
        <v>0</v>
      </c>
    </row>
    <row r="13">
      <c r="B13" s="26" t="s">
        <v>193</v>
      </c>
      <c r="C13">
        <f>COUNT($C$3:$D$3)/2-1</f>
        <v>0</v>
      </c>
      <c r="D13" s="12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F13">
        <v>7</v>
      </c>
      <c r="AG13" s="23">
        <f t="shared" si="195"/>
        <v>3.3505441645822254</v>
      </c>
      <c r="AI13" s="11">
        <v>7</v>
      </c>
      <c r="AJ13" s="38">
        <v>-0.20999999999999999</v>
      </c>
      <c r="AK13" s="38">
        <v>-0.86299999999999999</v>
      </c>
      <c r="AL13" s="39">
        <v>0.252</v>
      </c>
      <c r="AN13" s="11"/>
      <c r="AO13">
        <v>1</v>
      </c>
      <c r="AP13" s="12"/>
      <c r="AT13">
        <v>2</v>
      </c>
      <c r="AU13" s="19">
        <f/>
        <v>0.01806986738890461</v>
      </c>
      <c r="AV13" s="23">
        <f/>
        <v>0.006163600665306343</v>
      </c>
      <c r="CC13" t="s">
        <v>43</v>
      </c>
      <c r="CD13" t="s">
        <v>78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>
      <c r="B14" s="11">
        <v>1</v>
      </c>
      <c r="C14" s="19">
        <f t="shared" ref="C14:C19" si="196">C4+SIN(($B14-1)/POWER(10000,(2*$C$13/$G$4)))</f>
        <v>4.0296676785617889</v>
      </c>
      <c r="D14" s="16">
        <f t="shared" ref="D14:D19" si="197">D4+COS(($B14-1)/POWER(10000,(2*$D$13/$G$4)))</f>
        <v>2.426184227044502</v>
      </c>
      <c r="F14">
        <f t="shared" ref="F14:F19" si="198">SIN(($B14-1)/POWER(10000,(2*$C$13/$G$4)))</f>
        <v>0</v>
      </c>
      <c r="G14">
        <f t="shared" ref="G14:G19" si="199">COS(($B14-1)/POWER(10000,(2*$D$13/$G$4)))</f>
        <v>1</v>
      </c>
      <c r="J14" s="23" t="s">
        <v>194</v>
      </c>
      <c r="L14" t="s">
        <v>174</v>
      </c>
      <c r="N14" t="s">
        <v>174</v>
      </c>
      <c r="P14" t="s">
        <v>194</v>
      </c>
      <c r="AD14" t="s">
        <v>194</v>
      </c>
      <c r="AF14">
        <v>8</v>
      </c>
      <c r="AG14" s="23">
        <f t="shared" si="195"/>
        <v>3.7057218650808132</v>
      </c>
      <c r="AI14" s="11">
        <v>8</v>
      </c>
      <c r="AJ14" s="38">
        <v>0.54900000000000004</v>
      </c>
      <c r="AK14" s="38">
        <v>0.185</v>
      </c>
      <c r="AL14" s="39">
        <v>-0.50800000000000001</v>
      </c>
      <c r="AN14" s="11">
        <v>1</v>
      </c>
      <c r="AO14">
        <f>-1/3*((2/(1+DATA!$I$16))*AH34*(1-AG28)-((2*DATA!$I$16)/(1+DATA!$I$16))*(1-AH34)*AG28)</f>
        <v>-0.36852955697331763</v>
      </c>
      <c r="AP14" s="12"/>
      <c r="AT14">
        <v>3</v>
      </c>
      <c r="AU14" s="19">
        <f/>
        <v>-0.15735129292140893</v>
      </c>
      <c r="AV14" s="23">
        <f/>
        <v>-0.16085820307108384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>
      <c r="B15" s="11">
        <v>2</v>
      </c>
      <c r="C15" s="19">
        <f t="shared" si="196"/>
        <v>4.0172462315349247</v>
      </c>
      <c r="D15" s="16">
        <f t="shared" si="197"/>
        <v>1.3747639579924478</v>
      </c>
      <c r="F15">
        <f t="shared" si="198"/>
        <v>0.8414709848078965</v>
      </c>
      <c r="G15">
        <f t="shared" si="199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F15">
        <v>9</v>
      </c>
      <c r="AG15" s="23">
        <f t="shared" si="195"/>
        <v>3.9057341104500951</v>
      </c>
      <c r="AI15" s="11">
        <v>9</v>
      </c>
      <c r="AJ15" s="38">
        <v>0.98999999999999999</v>
      </c>
      <c r="AK15" s="38">
        <v>-0.94699999999999995</v>
      </c>
      <c r="AL15" s="39">
        <v>-0.90500000000000003</v>
      </c>
      <c r="AN15" s="11">
        <v>2</v>
      </c>
      <c r="AO15">
        <f>-1/3*((2/(1+DATA!$I$16))*AH35*(1-AG29)-((2*DATA!$I$16)/(1+DATA!$I$16))*(1-AH35)*AG29)</f>
        <v>0.0025232438718625376</v>
      </c>
      <c r="AP15" s="12"/>
      <c r="AT15">
        <v>4</v>
      </c>
      <c r="AU15" s="19">
        <f/>
        <v>0.048779062254843374</v>
      </c>
      <c r="AV15" s="23">
        <f/>
        <v>0.0026453113299532145</v>
      </c>
      <c r="CB15">
        <v>1</v>
      </c>
      <c r="CC15">
        <f t="shared" ref="CC15:CC20" si="200">CE6*IF(CE6&gt;0,1,0)</f>
        <v>0</v>
      </c>
      <c r="CD15">
        <f t="shared" ref="CD15:CG20" si="201">CF6*IF(CF6&gt;0,1,0)</f>
        <v>0</v>
      </c>
      <c r="CE15">
        <f t="shared" si="201"/>
        <v>0</v>
      </c>
      <c r="CF15">
        <f t="shared" si="201"/>
        <v>0</v>
      </c>
      <c r="CG15">
        <f t="shared" si="201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>
      <c r="B16" s="11">
        <v>3</v>
      </c>
      <c r="C16" s="19">
        <f t="shared" si="196"/>
        <v>4.2882250577580132</v>
      </c>
      <c r="D16" s="16">
        <f t="shared" si="197"/>
        <v>1.4231691569226175</v>
      </c>
      <c r="F16">
        <f t="shared" si="198"/>
        <v>0.90929742682568171</v>
      </c>
      <c r="G16">
        <f t="shared" si="199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23">
        <f t="shared" si="195"/>
        <v>2.4612136767686206</v>
      </c>
      <c r="AI16" s="11">
        <v>10</v>
      </c>
      <c r="AJ16" s="38">
        <v>0.46899999999999997</v>
      </c>
      <c r="AK16" s="38">
        <v>0.36499999999999999</v>
      </c>
      <c r="AL16" s="39">
        <v>-0.20699999999999999</v>
      </c>
      <c r="AN16" s="13">
        <v>3</v>
      </c>
      <c r="AO16" s="15">
        <f>-1/3*((2/(1+DATA!$I$16))*AH36*(1-AG30)-((2*DATA!$I$16)/(1+DATA!$I$16))*(1-AH36)*AG30)</f>
        <v>-0.34968110522558904</v>
      </c>
      <c r="AP16" s="14"/>
      <c r="AT16">
        <v>5</v>
      </c>
      <c r="AU16" s="19">
        <f/>
        <v>-0.042457448121184668</v>
      </c>
      <c r="AV16" s="23">
        <f/>
        <v>-0.072812200595434987</v>
      </c>
      <c r="CB16">
        <v>2</v>
      </c>
      <c r="CC16">
        <f t="shared" si="200"/>
        <v>0</v>
      </c>
      <c r="CD16">
        <f t="shared" si="201"/>
        <v>0.07633427249813525</v>
      </c>
      <c r="CE16">
        <f t="shared" si="201"/>
        <v>0</v>
      </c>
      <c r="CF16">
        <f t="shared" si="201"/>
        <v>0</v>
      </c>
      <c r="CG16">
        <f t="shared" si="201"/>
        <v>0</v>
      </c>
    </row>
    <row r="17">
      <c r="B17" s="11">
        <v>4</v>
      </c>
      <c r="C17" s="19">
        <f t="shared" si="196"/>
        <v>1.6505331967360639</v>
      </c>
      <c r="D17" s="16">
        <f t="shared" si="197"/>
        <v>-0.58497913909267285</v>
      </c>
      <c r="F17">
        <f t="shared" si="198"/>
        <v>0.14112000805986721</v>
      </c>
      <c r="G17">
        <f t="shared" si="199"/>
        <v>-0.98999249660044542</v>
      </c>
      <c r="I17">
        <v>1</v>
      </c>
      <c r="J17" cm="1">
        <f t="array" ref="J17:J22">MMULT($C$14:$D$19,C31:C32)</f>
        <v>-1.3850163134229996</v>
      </c>
      <c r="L17" cm="1">
        <f t="array" ref="L17:L22">MMULT($C$14:$D$19,E31:E32)</f>
        <v>0.81249948070135991</v>
      </c>
      <c r="N17" cm="1">
        <f t="array" ref="N17:N22">MMULT($C$14:$D$19,G31:G32)</f>
        <v>4.8634260950052486</v>
      </c>
      <c r="P17" cm="1">
        <f t="array" ref="P17:U22">MMULT(_xlfn.ANCHORARRAY(J17),TRANSPOSE(_xlfn.ANCHORARRAY(L17)))/SQRT($G$2)</f>
        <v>-1.1253250354190991</v>
      </c>
      <c r="Q17">
        <f/>
        <v>-1.2404180612620557</v>
      </c>
      <c r="R17">
        <f/>
        <v>-1.3291234518905983</v>
      </c>
      <c r="S17">
        <f/>
        <v>-0.64022672958849158</v>
      </c>
      <c r="T17">
        <f/>
        <v>-1.3214329849233588</v>
      </c>
      <c r="U17">
        <f/>
        <v>-0.55316466262865627</v>
      </c>
      <c r="W17" cm="1">
        <f t="array" ref="W17">EXP(P17)/SUM(EXP($P17:$U17))</f>
        <v>0.14439892144911678</v>
      </c>
      <c r="X17" cm="1">
        <f t="array" ref="X17">EXP(Q17)/SUM(EXP($P17:$U17))</f>
        <v>0.12870033678219547</v>
      </c>
      <c r="Y17" cm="1">
        <f t="array" ref="Y17">EXP(R17)/SUM(EXP($P17:$U17))</f>
        <v>0.11777562611526847</v>
      </c>
      <c r="Z17" cm="1">
        <f t="array" ref="Z17">EXP(S17)/SUM(EXP($P17:$U17))</f>
        <v>0.23455217623489877</v>
      </c>
      <c r="AA17" cm="1">
        <f t="array" ref="AA17">EXP(T17)/SUM(EXP($P17:$U17))</f>
        <v>0.11868486744135706</v>
      </c>
      <c r="AB17" cm="1">
        <f t="array" ref="AB17">EXP(U17)/SUM(EXP($P17:$U17))</f>
        <v>0.25588807197716357</v>
      </c>
      <c r="AD17" s="23" cm="1">
        <f t="array" ref="AD17:AD22">MMULT(W17:AB22,_xlfn.ANCHORARRAY(N17))</f>
        <v>3.2185389216001647</v>
      </c>
      <c r="AF17">
        <v>11</v>
      </c>
      <c r="AG17" s="23">
        <f t="shared" si="195"/>
        <v>3.9825817691705656</v>
      </c>
      <c r="AI17" s="11">
        <v>11</v>
      </c>
      <c r="AJ17" s="38">
        <v>0.24099999999999999</v>
      </c>
      <c r="AK17" s="38">
        <v>0.48599999999999999</v>
      </c>
      <c r="AL17" s="39">
        <v>-0.0060000000000000001</v>
      </c>
      <c r="AT17">
        <v>6</v>
      </c>
      <c r="AU17" s="19">
        <f/>
        <v>0.3626861163098305</v>
      </c>
      <c r="AV17" s="23">
        <f/>
        <v>-0.041575192673897601</v>
      </c>
      <c r="CB17">
        <v>3</v>
      </c>
      <c r="CC17">
        <f t="shared" si="200"/>
        <v>0</v>
      </c>
      <c r="CD17">
        <f t="shared" si="201"/>
        <v>0</v>
      </c>
      <c r="CE17">
        <f t="shared" si="201"/>
        <v>0</v>
      </c>
      <c r="CF17">
        <f t="shared" si="201"/>
        <v>0</v>
      </c>
      <c r="CG17">
        <f t="shared" si="201"/>
        <v>0</v>
      </c>
    </row>
    <row r="18">
      <c r="B18" s="11">
        <v>5</v>
      </c>
      <c r="C18" s="19">
        <f t="shared" si="196"/>
        <v>3.7630631850211689</v>
      </c>
      <c r="D18" s="16">
        <f t="shared" si="197"/>
        <v>-0.11662366903357779</v>
      </c>
      <c r="F18">
        <f t="shared" si="198"/>
        <v>-0.7568024953079282</v>
      </c>
      <c r="G18">
        <f t="shared" si="199"/>
        <v>-0.65364362086361194</v>
      </c>
      <c r="I18">
        <v>2</v>
      </c>
      <c r="J18">
        <f/>
        <v>-1.6292050927553057</v>
      </c>
      <c r="L18">
        <f/>
        <v>0.89559815955988531</v>
      </c>
      <c r="N18">
        <f/>
        <v>4.3943200105272187</v>
      </c>
      <c r="P18">
        <f/>
        <v>-1.3237282918196969</v>
      </c>
      <c r="Q18">
        <f/>
        <v>-1.459113082617244</v>
      </c>
      <c r="R18">
        <f/>
        <v>-1.5634578999065782</v>
      </c>
      <c r="S18">
        <f/>
        <v>-0.75310351095126915</v>
      </c>
      <c r="T18">
        <f/>
        <v>-1.5544115458475947</v>
      </c>
      <c r="U18">
        <f/>
        <v>-0.6506917476369356</v>
      </c>
      <c r="W18" cm="1">
        <f t="array" ref="W18">EXP(P18)/SUM(EXP($P18:$U18))</f>
        <v>0.13920279255500892</v>
      </c>
      <c r="X18" cm="1">
        <f t="array" ref="X18">EXP(Q18)/SUM(EXP($P18:$U18))</f>
        <v>0.12157690413108267</v>
      </c>
      <c r="Y18" cm="1">
        <f t="array" ref="Y18">EXP(R18)/SUM(EXP($P18:$U18))</f>
        <v>0.1095304070947358</v>
      </c>
      <c r="Z18" cm="1">
        <f t="array" ref="Z18">EXP(S18)/SUM(EXP($P18:$U18))</f>
        <v>0.24630154797559253</v>
      </c>
      <c r="AA18" cm="1">
        <f t="array" ref="AA18">EXP(T18)/SUM(EXP($P18:$U18))</f>
        <v>0.11052575327656221</v>
      </c>
      <c r="AB18" cm="1">
        <f t="array" ref="AB18">EXP(U18)/SUM(EXP($P18:$U18))</f>
        <v>0.27286259496701792</v>
      </c>
      <c r="AD18" s="23">
        <f/>
        <v>3.1551819962318395</v>
      </c>
      <c r="AF18">
        <v>12</v>
      </c>
      <c r="AG18" s="23">
        <f t="shared" si="195"/>
        <v>2.0361131082720889</v>
      </c>
      <c r="AI18" s="13">
        <v>12</v>
      </c>
      <c r="AJ18" s="42">
        <v>-0.16700000000000001</v>
      </c>
      <c r="AK18" s="42">
        <v>-0.442</v>
      </c>
      <c r="AL18" s="43">
        <v>0.01</v>
      </c>
      <c r="CB18">
        <v>4</v>
      </c>
      <c r="CC18">
        <f t="shared" si="200"/>
        <v>0</v>
      </c>
      <c r="CD18">
        <f t="shared" si="201"/>
        <v>0</v>
      </c>
      <c r="CE18">
        <f t="shared" si="201"/>
        <v>0</v>
      </c>
      <c r="CF18">
        <f t="shared" si="201"/>
        <v>0.15659341682569333</v>
      </c>
      <c r="CG18">
        <f t="shared" si="201"/>
        <v>0</v>
      </c>
    </row>
    <row r="19">
      <c r="B19" s="13">
        <v>6</v>
      </c>
      <c r="C19" s="20">
        <f t="shared" si="196"/>
        <v>2.0951464491401381</v>
      </c>
      <c r="D19" s="17">
        <f t="shared" si="197"/>
        <v>1.5425560330324033</v>
      </c>
      <c r="F19">
        <f t="shared" si="198"/>
        <v>-0.95892427466313845</v>
      </c>
      <c r="G19">
        <f t="shared" si="199"/>
        <v>0.28366218546322625</v>
      </c>
      <c r="I19">
        <v>3</v>
      </c>
      <c r="J19">
        <f/>
        <v>-1.7496513437805694</v>
      </c>
      <c r="L19">
        <f/>
        <v>0.9596446186296067</v>
      </c>
      <c r="N19">
        <f/>
        <v>4.6714512628426608</v>
      </c>
      <c r="P19">
        <f/>
        <v>-1.4215908082301492</v>
      </c>
      <c r="Q19">
        <f/>
        <v>-1.5669845233613582</v>
      </c>
      <c r="R19">
        <f/>
        <v>-1.6790434965370835</v>
      </c>
      <c r="S19">
        <f/>
        <v>-0.80878004604890885</v>
      </c>
      <c r="T19">
        <f/>
        <v>-1.6693283504170529</v>
      </c>
      <c r="U19">
        <f/>
        <v>-0.69879703648267644</v>
      </c>
      <c r="W19" cm="1">
        <f t="array" ref="W19">EXP(P19)/SUM(EXP($P19:$U19))</f>
        <v>0.13653634283057928</v>
      </c>
      <c r="X19" cm="1">
        <f t="array" ref="X19">EXP(Q19)/SUM(EXP($P19:$U19))</f>
        <v>0.11806048901576464</v>
      </c>
      <c r="Y19" cm="1">
        <f t="array" ref="Y19">EXP(R19)/SUM(EXP($P19:$U19))</f>
        <v>0.10554507773027463</v>
      </c>
      <c r="Z19" cm="1">
        <f t="array" ref="Z19">EXP(S19)/SUM(EXP($P19:$U19))</f>
        <v>0.25199307052373437</v>
      </c>
      <c r="AA19" cm="1">
        <f t="array" ref="AA19">EXP(T19)/SUM(EXP($P19:$U19))</f>
        <v>0.1065754606386336</v>
      </c>
      <c r="AB19" cm="1">
        <f t="array" ref="AB19">EXP(U19)/SUM(EXP($P19:$U19))</f>
        <v>0.28128955926101346</v>
      </c>
      <c r="AD19" s="23">
        <f/>
        <v>3.1240655069345546</v>
      </c>
      <c r="AN19" s="7"/>
      <c r="AO19" s="18" t="s">
        <v>40</v>
      </c>
      <c r="AP19" s="8" t="s">
        <v>57</v>
      </c>
      <c r="AQ19" s="9"/>
      <c r="AU19" t="s">
        <v>28</v>
      </c>
      <c r="AV19" t="s">
        <v>195</v>
      </c>
      <c r="CB19">
        <v>5</v>
      </c>
      <c r="CC19">
        <f t="shared" si="200"/>
        <v>0</v>
      </c>
      <c r="CD19">
        <f t="shared" si="201"/>
        <v>0</v>
      </c>
      <c r="CE19">
        <f t="shared" si="201"/>
        <v>0</v>
      </c>
      <c r="CF19">
        <f t="shared" si="201"/>
        <v>0</v>
      </c>
      <c r="CG19">
        <f t="shared" si="201"/>
        <v>0</v>
      </c>
    </row>
    <row r="20">
      <c r="I20">
        <v>4</v>
      </c>
      <c r="J20">
        <f/>
        <v>-0.94303470191451921</v>
      </c>
      <c r="L20">
        <f/>
        <v>0.46225212178635122</v>
      </c>
      <c r="N20">
        <f/>
        <v>1.3052879454102677</v>
      </c>
      <c r="P20">
        <f/>
        <v>-0.76621520558890865</v>
      </c>
      <c r="Q20">
        <f/>
        <v>-0.8445801434357485</v>
      </c>
      <c r="R20">
        <f/>
        <v>-0.90497817687324367</v>
      </c>
      <c r="S20">
        <f/>
        <v>-0.43591979187814578</v>
      </c>
      <c r="T20">
        <f/>
        <v>-0.89974186510294385</v>
      </c>
      <c r="U20">
        <f/>
        <v>-0.37664067034879872</v>
      </c>
      <c r="W20" cm="1">
        <f t="array" ref="W20">EXP(P20)/SUM(EXP($P20:$U20))</f>
        <v>0.15295672176881131</v>
      </c>
      <c r="X20" cm="1">
        <f t="array" ref="X20">EXP(Q20)/SUM(EXP($P20:$U20))</f>
        <v>0.14142790462306815</v>
      </c>
      <c r="Y20" cm="1">
        <f t="array" ref="Y20">EXP(R20)/SUM(EXP($P20:$U20))</f>
        <v>0.13313878039868635</v>
      </c>
      <c r="Z20" cm="1">
        <f t="array" ref="Z20">EXP(S20)/SUM(EXP($P20:$U20))</f>
        <v>0.21282078590736903</v>
      </c>
      <c r="AA20" cm="1">
        <f t="array" ref="AA20">EXP(T20)/SUM(EXP($P20:$U20))</f>
        <v>0.13383776501513994</v>
      </c>
      <c r="AB20" cm="1">
        <f t="array" ref="AB20">EXP(U20)/SUM(EXP($P20:$U20))</f>
        <v>0.22581804228692537</v>
      </c>
      <c r="AD20" s="23">
        <f/>
        <v>3.3328936729151057</v>
      </c>
      <c r="AG20" t="s">
        <v>49</v>
      </c>
      <c r="AH20" t="s">
        <v>50</v>
      </c>
      <c r="AI20" s="7"/>
      <c r="AJ20" s="10" t="s">
        <v>23</v>
      </c>
      <c r="AN20" s="11"/>
      <c r="AO20">
        <v>1</v>
      </c>
      <c r="AP20">
        <v>2</v>
      </c>
      <c r="AQ20" s="12">
        <v>3</v>
      </c>
      <c r="AU20">
        <v>1</v>
      </c>
      <c r="AV20">
        <v>2</v>
      </c>
      <c r="CB20">
        <v>6</v>
      </c>
      <c r="CC20">
        <f t="shared" si="200"/>
        <v>0</v>
      </c>
      <c r="CD20">
        <f t="shared" si="201"/>
        <v>0</v>
      </c>
      <c r="CE20">
        <f t="shared" si="201"/>
        <v>0</v>
      </c>
      <c r="CF20">
        <f t="shared" si="201"/>
        <v>0</v>
      </c>
      <c r="CG20">
        <f t="shared" si="201"/>
        <v>0.11984531242810692</v>
      </c>
    </row>
    <row r="21">
      <c r="I21">
        <v>5</v>
      </c>
      <c r="J21">
        <f/>
        <v>-1.8603682043353007</v>
      </c>
      <c r="L21">
        <f/>
        <v>0.95409200030106678</v>
      </c>
      <c r="N21">
        <f/>
        <v>3.505363413815398</v>
      </c>
      <c r="P21">
        <f/>
        <v>-1.5115481999357532</v>
      </c>
      <c r="Q21">
        <f/>
        <v>-1.6661423399064239</v>
      </c>
      <c r="R21">
        <f/>
        <v>-1.7852923359599959</v>
      </c>
      <c r="S21">
        <f/>
        <v>-0.85995914975785692</v>
      </c>
      <c r="T21">
        <f/>
        <v>-1.7749624213707709</v>
      </c>
      <c r="U21">
        <f/>
        <v>-0.74301648301374201</v>
      </c>
      <c r="W21" cm="1">
        <f t="array" ref="W21">EXP(P21)/SUM(EXP($P21:$U21))</f>
        <v>0.13403213075515699</v>
      </c>
      <c r="X21" cm="1">
        <f t="array" ref="X21">EXP(Q21)/SUM(EXP($P21:$U21))</f>
        <v>0.11483374802096064</v>
      </c>
      <c r="Y21" cm="1">
        <f t="array" ref="Y21">EXP(R21)/SUM(EXP($P21:$U21))</f>
        <v>0.10193500628831109</v>
      </c>
      <c r="Z21" cm="1">
        <f t="array" ref="Z21">EXP(S21)/SUM(EXP($P21:$U21))</f>
        <v>0.2571523223114961</v>
      </c>
      <c r="AA21" cm="1">
        <f t="array" ref="AA21">EXP(T21)/SUM(EXP($P21:$U21))</f>
        <v>0.10299344356838799</v>
      </c>
      <c r="AB21" cm="1">
        <f t="array" ref="AB21">EXP(U21)/SUM(EXP($P21:$U21))</f>
        <v>0.28905334905568719</v>
      </c>
      <c r="AD21" s="23">
        <f/>
        <v>3.0956021153893531</v>
      </c>
      <c r="AG21">
        <v>1</v>
      </c>
      <c r="AI21" s="11"/>
      <c r="AJ21" s="12">
        <v>1</v>
      </c>
      <c r="AN21" s="11">
        <v>1</v>
      </c>
      <c r="AO21" cm="1">
        <f t="array" ref="AO21:AO32">AJ7:AJ18-$AG$39*$AO14*$AG$7:$AG$18</f>
        <v>0.0079751911688529242</v>
      </c>
      <c r="AP21" cm="1">
        <f t="array" ref="AP21:AP32">AK7:AK18-$AG$39*$AO15*$AG$7:$AG$18</f>
        <v>-0.67197207408278314</v>
      </c>
      <c r="AQ21" s="12" cm="1">
        <f t="array" ref="AQ21:AQ32">AL7:AL18-$AG$39*$AO16*$AG$7:$AG$18</f>
        <v>-0.64328613289453673</v>
      </c>
      <c r="AT21">
        <v>1</v>
      </c>
      <c r="AU21">
        <f t="shared" ref="AU21:AV26" si="202">AU12*IF(AU12&gt;0,1,0)</f>
        <v>0</v>
      </c>
      <c r="AV21">
        <f>AV12*IF(AV12&gt;0,1,0)</f>
        <v>0.02047255704295247</v>
      </c>
    </row>
    <row r="22">
      <c r="I22">
        <v>6</v>
      </c>
      <c r="J22">
        <f/>
        <v>-0.65320798486953535</v>
      </c>
      <c r="L22">
        <f/>
        <v>0.39939216402551758</v>
      </c>
      <c r="N22">
        <f/>
        <v>2.6509252688065259</v>
      </c>
      <c r="P22">
        <f/>
        <v>-0.53073114849647929</v>
      </c>
      <c r="Q22">
        <f/>
        <v>-0.58501186905897729</v>
      </c>
      <c r="R22">
        <f/>
        <v>-0.6268475275259392</v>
      </c>
      <c r="S22">
        <f/>
        <v>-0.30194677697372951</v>
      </c>
      <c r="T22">
        <f/>
        <v>-0.62322051289680391</v>
      </c>
      <c r="U22">
        <f/>
        <v>-0.26088615063579129</v>
      </c>
      <c r="W22" cm="1">
        <f t="array" ref="W22">EXP(P22)/SUM(EXP($P22:$U22))</f>
        <v>0.15787772547149606</v>
      </c>
      <c r="X22" cm="1">
        <f t="array" ref="X22">EXP(Q22)/SUM(EXP($P22:$U22))</f>
        <v>0.14953644216642439</v>
      </c>
      <c r="Y22" cm="1">
        <f t="array" ref="Y22">EXP(R22)/SUM(EXP($P22:$U22))</f>
        <v>0.1434095416951375</v>
      </c>
      <c r="Z22" cm="1">
        <f t="array" ref="Z22">EXP(S22)/SUM(EXP($P22:$U22))</f>
        <v>0.19846350226160864</v>
      </c>
      <c r="AA22" cm="1">
        <f t="array" ref="AA22">EXP(T22)/SUM(EXP($P22:$U22))</f>
        <v>0.14393063463542391</v>
      </c>
      <c r="AB22" cm="1">
        <f t="array" ref="AB22">EXP(U22)/SUM(EXP($P22:$U22))</f>
        <v>0.20678215376990935</v>
      </c>
      <c r="AD22" s="23">
        <f/>
        <v>3.4066135490996676</v>
      </c>
      <c r="AF22">
        <v>1</v>
      </c>
      <c r="AG22" cm="1">
        <f t="array" ref="AG22:AG24">TRANSPOSE(MMULT(TRANSPOSE(AG7:AG18),AJ7:AL18)+TRANSPOSE(AJ22:AJ24))</f>
        <v>-0.47504988231816192</v>
      </c>
      <c r="AI22" s="11">
        <v>1</v>
      </c>
      <c r="AJ22" s="12">
        <v>1</v>
      </c>
      <c r="AN22" s="11">
        <v>2</v>
      </c>
      <c r="AO22">
        <f/>
        <v>-0.80591629458086</v>
      </c>
      <c r="AP22">
        <f/>
        <v>-0.040952276691880618</v>
      </c>
      <c r="AQ22" s="12">
        <f/>
        <v>1.1229702664537065</v>
      </c>
      <c r="AT22">
        <v>2</v>
      </c>
      <c r="AU22">
        <f t="shared" si="202"/>
        <v>0.01806986738890461</v>
      </c>
      <c r="AV22">
        <f t="shared" si="202"/>
        <v>0.006163600665306343</v>
      </c>
      <c r="CB22" s="7"/>
      <c r="CC22" s="18" t="s">
        <v>22</v>
      </c>
      <c r="CD22" s="8" t="s">
        <v>80</v>
      </c>
      <c r="CE22" s="9"/>
      <c r="CG22" s="7"/>
      <c r="CH22" s="10" t="s">
        <v>23</v>
      </c>
      <c r="CI22" t="s">
        <v>81</v>
      </c>
    </row>
    <row r="23">
      <c r="B23" s="7"/>
      <c r="C23" s="9" t="s">
        <v>196</v>
      </c>
      <c r="E23" s="29" t="s">
        <v>197</v>
      </c>
      <c r="G23" s="29" t="s">
        <v>198</v>
      </c>
      <c r="AF23">
        <v>2</v>
      </c>
      <c r="AG23">
        <f/>
        <v>-3.2707881765743405</v>
      </c>
      <c r="AI23" s="11">
        <v>2</v>
      </c>
      <c r="AJ23" s="12">
        <v>1</v>
      </c>
      <c r="AN23" s="11">
        <v>3</v>
      </c>
      <c r="AO23">
        <f/>
        <v>-0.47038198213702764</v>
      </c>
      <c r="AP23">
        <f/>
        <v>0.31097559710055955</v>
      </c>
      <c r="AQ23" s="12">
        <f/>
        <v>0.020965801271603496</v>
      </c>
      <c r="AT23">
        <v>3</v>
      </c>
      <c r="AU23">
        <f t="shared" si="202"/>
        <v>0</v>
      </c>
      <c r="AV23">
        <f t="shared" si="202"/>
        <v>0</v>
      </c>
      <c r="CB23" s="11"/>
      <c r="CC23">
        <v>1</v>
      </c>
      <c r="CD23">
        <v>2</v>
      </c>
      <c r="CE23" s="12">
        <v>3</v>
      </c>
      <c r="CG23" s="11"/>
      <c r="CH23" s="12">
        <v>1</v>
      </c>
    </row>
    <row r="24">
      <c r="B24" s="11"/>
      <c r="C24" s="12">
        <v>1</v>
      </c>
      <c r="E24" s="30">
        <v>1</v>
      </c>
      <c r="G24" s="30">
        <v>1</v>
      </c>
      <c r="J24" t="s">
        <v>174</v>
      </c>
      <c r="M24" t="s">
        <v>199</v>
      </c>
      <c r="AF24">
        <v>3</v>
      </c>
      <c r="AG24">
        <f/>
        <v>-0.34351204494239407</v>
      </c>
      <c r="AI24" s="13">
        <v>3</v>
      </c>
      <c r="AJ24" s="14">
        <v>1</v>
      </c>
      <c r="AN24" s="11">
        <v>4</v>
      </c>
      <c r="AO24">
        <f/>
        <v>-0.1948871210025715</v>
      </c>
      <c r="AP24">
        <f/>
        <v>-0.20265806453878241</v>
      </c>
      <c r="AQ24" s="12">
        <f/>
        <v>0.27719718383040703</v>
      </c>
      <c r="AT24">
        <v>4</v>
      </c>
      <c r="AU24">
        <f t="shared" si="202"/>
        <v>0.048779062254843374</v>
      </c>
      <c r="AV24">
        <f t="shared" si="202"/>
        <v>0.0026453113299532145</v>
      </c>
      <c r="CB24" s="11">
        <v>1</v>
      </c>
      <c r="CC24" cm="1">
        <f t="array" ref="CC24">FRONTEND!$M7-$AG$39*SUM($CC$15:$CG$20*CM5:CQ10)</f>
        <v>-0.4738088508818824</v>
      </c>
      <c r="CD24" cm="1">
        <f t="array" ref="CD24">FRONTEND!$N7-$AG$39*SUM($CC$15:$CG$20*CN5:CR10)</f>
        <v>0.87734063599502565</v>
      </c>
      <c r="CE24" s="12" cm="1">
        <f t="array" ref="CE24">FRONTEND!$O7-$AG$39*SUM($CC$15:$CG$20*CO5:CS10)</f>
        <v>-0.4971398021336817</v>
      </c>
      <c r="CG24" s="13">
        <v>1</v>
      </c>
      <c r="CH24" s="14">
        <f>FRONTEND!$W7-$AG$39*SUM(CA85:CA90)</f>
        <v>1.0064927889515241</v>
      </c>
    </row>
    <row r="25">
      <c r="B25" s="11">
        <v>1</v>
      </c>
      <c r="C25" s="39">
        <v>-0.86199999999999999</v>
      </c>
      <c r="E25" s="65">
        <v>0.40899999999999997</v>
      </c>
      <c r="G25" s="65">
        <v>-0.051999999999999998</v>
      </c>
      <c r="J25" t="s">
        <v>35</v>
      </c>
      <c r="M25" s="66" t="s">
        <v>200</v>
      </c>
      <c r="N25" s="9"/>
      <c r="AN25" s="11">
        <v>5</v>
      </c>
      <c r="AO25">
        <f/>
        <v>-0.40208546785702298</v>
      </c>
      <c r="AP25">
        <f/>
        <v>-0.18619760277833408</v>
      </c>
      <c r="AQ25" s="12">
        <f/>
        <v>0.33896852481007766</v>
      </c>
      <c r="AT25">
        <v>5</v>
      </c>
      <c r="AU25">
        <f t="shared" si="202"/>
        <v>0</v>
      </c>
      <c r="AV25">
        <f t="shared" si="202"/>
        <v>0</v>
      </c>
      <c r="CB25" s="11">
        <v>2</v>
      </c>
      <c r="CC25" cm="1">
        <f t="array" ref="CC25">FRONTEND!$M8-$AG$39*SUM($CC$15:$CG$20*CM6:CQ11)</f>
        <v>0.10565937527728442</v>
      </c>
      <c r="CD25" cm="1">
        <f t="array" ref="CD25">FRONTEND!$N8-$AG$39*SUM($CC$15:$CG$20*CN6:CR11)</f>
        <v>-0.20136266277887227</v>
      </c>
      <c r="CE25" s="12" cm="1">
        <f t="array" ref="CE25">FRONTEND!$O8-$AG$39*SUM($CC$15:$CG$20*CO6:CS11)</f>
        <v>-0.74032551185273643</v>
      </c>
    </row>
    <row r="26">
      <c r="B26" s="13">
        <v>2</v>
      </c>
      <c r="C26" s="43">
        <v>0.88</v>
      </c>
      <c r="E26" s="67">
        <v>-0.72799999999999998</v>
      </c>
      <c r="G26" s="67">
        <v>-0.64800000000000002</v>
      </c>
      <c r="J26">
        <v>1</v>
      </c>
      <c r="K26">
        <v>2</v>
      </c>
      <c r="M26" s="11">
        <v>1</v>
      </c>
      <c r="N26" s="12">
        <v>2</v>
      </c>
      <c r="AF26" s="7"/>
      <c r="AG26" s="18" t="s">
        <v>55</v>
      </c>
      <c r="AH26" s="9"/>
      <c r="AI26" t="s">
        <v>56</v>
      </c>
      <c r="AN26" s="11">
        <v>6</v>
      </c>
      <c r="AO26">
        <f/>
        <v>0.67835147677346386</v>
      </c>
      <c r="AP26">
        <f/>
        <v>0.8912718339493958</v>
      </c>
      <c r="AQ26" s="12">
        <f/>
        <v>0.85791212831325492</v>
      </c>
      <c r="AT26">
        <v>6</v>
      </c>
      <c r="AU26">
        <f t="shared" si="202"/>
        <v>0.3626861163098305</v>
      </c>
      <c r="AV26">
        <f t="shared" si="202"/>
        <v>0</v>
      </c>
      <c r="CB26" s="11">
        <v>3</v>
      </c>
      <c r="CC26" cm="1">
        <f t="array" ref="CC26">FRONTEND!$M9-$AG$39*SUM($CC$15:$CG$20*CM7:CQ12)</f>
        <v>0.74416945463719242</v>
      </c>
      <c r="CD26" cm="1">
        <f t="array" ref="CD26">FRONTEND!$N9-$AG$39*SUM($CC$15:$CG$20*CN7:CR12)</f>
        <v>0.80877858284544468</v>
      </c>
      <c r="CE26" s="12" cm="1">
        <f t="array" ref="CE26">FRONTEND!$O9-$AG$39*SUM($CC$15:$CG$20*CO7:CS12)</f>
        <v>-0.9750649193725337</v>
      </c>
    </row>
    <row r="27">
      <c r="I27">
        <v>1</v>
      </c>
      <c r="J27" s="19" cm="1">
        <f t="array" ref="J27:J32">_xlfn.ANCHORARRAY(AD7)</f>
        <v>-1.2059822914038199</v>
      </c>
      <c r="K27" s="23" cm="1">
        <f t="array" ref="K27:K32">_xlfn.ANCHORARRAY(AD17)</f>
        <v>3.2185389216001647</v>
      </c>
      <c r="M27" s="68" cm="1">
        <f t="array" ref="M27:N32">C14:D19+MMULT(J27:K32,C36:D37)</f>
        <v>6.3200030688216877</v>
      </c>
      <c r="N27" s="16">
        <f/>
        <v>5.0443996930808916</v>
      </c>
      <c r="AF27" s="11"/>
      <c r="AG27">
        <v>1</v>
      </c>
      <c r="AH27" s="12"/>
      <c r="AN27" s="11">
        <v>7</v>
      </c>
      <c r="AO27">
        <f/>
        <v>-0.086522544340697782</v>
      </c>
      <c r="AP27">
        <f/>
        <v>-0.86384542400306863</v>
      </c>
      <c r="AQ27" s="12">
        <f/>
        <v>0.36916219865782607</v>
      </c>
      <c r="CB27" s="11">
        <v>4</v>
      </c>
      <c r="CC27" cm="1">
        <f t="array" ref="CC27">FRONTEND!$M10-$AG$39*SUM($CC$15:$CG$20*CM8:CQ13)</f>
        <v>0.77853288109129792</v>
      </c>
      <c r="CD27" cm="1">
        <f t="array" ref="CD27">FRONTEND!$N10-$AG$39*SUM($CC$15:$CG$20*CN8:CR13)</f>
        <v>0.49212607138279785</v>
      </c>
      <c r="CE27" s="12" cm="1">
        <f t="array" ref="CE27">FRONTEND!$O10-$AG$39*SUM($CC$15:$CG$20*CO8:CS13)</f>
        <v>-0.93613618886948025</v>
      </c>
    </row>
    <row r="28">
      <c r="I28">
        <v>2</v>
      </c>
      <c r="J28" s="19">
        <f/>
        <v>-1.3104404012092385</v>
      </c>
      <c r="K28" s="23">
        <f/>
        <v>3.1551819962318395</v>
      </c>
      <c r="M28" s="68">
        <f/>
        <v>6.3232621676959067</v>
      </c>
      <c r="N28" s="16">
        <f/>
        <v>3.9501573183053655</v>
      </c>
      <c r="AF28" s="11">
        <v>1</v>
      </c>
      <c r="AG28">
        <f t="shared" ref="AG28:AG30" si="203">1/(1+EXP(-AG22))</f>
        <v>0.3834217027561802</v>
      </c>
      <c r="AH28" s="12" t="s">
        <v>10</v>
      </c>
      <c r="AN28" s="11">
        <v>8</v>
      </c>
      <c r="AO28">
        <f/>
        <v>0.68556680372045686</v>
      </c>
      <c r="AP28">
        <f/>
        <v>0.18406495600131079</v>
      </c>
      <c r="AQ28" s="12">
        <f/>
        <v>-0.37841790825599103</v>
      </c>
      <c r="AT28" s="7"/>
      <c r="AU28" s="18" t="s">
        <v>201</v>
      </c>
      <c r="AV28" s="9" t="s">
        <v>202</v>
      </c>
      <c r="AX28" s="66" t="s">
        <v>203</v>
      </c>
      <c r="AY28" s="9" t="s">
        <v>204</v>
      </c>
      <c r="CB28" s="13">
        <v>5</v>
      </c>
      <c r="CC28" s="15" cm="1">
        <f t="array" ref="CC28">FRONTEND!$M11-$AG$39*SUM($CC$15:$CG$20*CM9:CQ14)</f>
        <v>0.40262940518946694</v>
      </c>
      <c r="CD28" s="15" cm="1">
        <f t="array" ref="CD28">FRONTEND!$N11-$AG$39*SUM($CC$15:$CG$20*CN9:CR14)</f>
        <v>-0.43892018265383875</v>
      </c>
      <c r="CE28" s="14" cm="1">
        <f t="array" ref="CE28">FRONTEND!$O11-$AG$39*SUM($CC$15:$CG$20*CO9:CS14)</f>
        <v>0.28631226493225398</v>
      </c>
    </row>
    <row r="29">
      <c r="B29" s="7"/>
      <c r="C29" s="9" t="s">
        <v>205</v>
      </c>
      <c r="E29" s="29" t="s">
        <v>206</v>
      </c>
      <c r="G29" s="29" t="s">
        <v>207</v>
      </c>
      <c r="I29">
        <v>3</v>
      </c>
      <c r="J29" s="19">
        <f/>
        <v>-1.3207714547528537</v>
      </c>
      <c r="K29" s="23">
        <f/>
        <v>3.1240655069345546</v>
      </c>
      <c r="M29" s="68">
        <f/>
        <v>6.5825217080139184</v>
      </c>
      <c r="N29" s="16">
        <f/>
        <v>3.9747452353102402</v>
      </c>
      <c r="AF29" s="11">
        <v>2</v>
      </c>
      <c r="AG29">
        <f t="shared" si="203"/>
        <v>0.036587036142006799</v>
      </c>
      <c r="AH29" s="12" t="s">
        <v>11</v>
      </c>
      <c r="AN29" s="11">
        <v>9</v>
      </c>
      <c r="AO29">
        <f/>
        <v>1.1339378461379748</v>
      </c>
      <c r="AP29">
        <f/>
        <v>-0.94798551196593173</v>
      </c>
      <c r="AQ29" s="12">
        <f/>
        <v>-0.76842385795405277</v>
      </c>
      <c r="AT29" s="11"/>
      <c r="AU29">
        <v>1</v>
      </c>
      <c r="AV29" s="12">
        <v>2</v>
      </c>
      <c r="AX29" s="11">
        <v>1</v>
      </c>
      <c r="AY29" s="12">
        <v>2</v>
      </c>
    </row>
    <row r="30">
      <c r="B30" s="11"/>
      <c r="C30" s="12">
        <v>1</v>
      </c>
      <c r="E30" s="30">
        <v>1</v>
      </c>
      <c r="G30" s="30">
        <v>1</v>
      </c>
      <c r="I30">
        <v>4</v>
      </c>
      <c r="J30" s="19">
        <f/>
        <v>-1.2860235953106054</v>
      </c>
      <c r="K30" s="23">
        <f/>
        <v>3.3328936729151057</v>
      </c>
      <c r="M30" s="68">
        <f/>
        <v>4.0398736022499575</v>
      </c>
      <c r="N30" s="16">
        <f/>
        <v>2.1287906796455518</v>
      </c>
      <c r="AF30" s="13">
        <v>3</v>
      </c>
      <c r="AG30" s="15">
        <f t="shared" si="203"/>
        <v>0.41495661241103382</v>
      </c>
      <c r="AH30" s="14" t="s">
        <v>12</v>
      </c>
      <c r="AN30" s="11">
        <v>10</v>
      </c>
      <c r="AO30">
        <f/>
        <v>0.55970299859162098</v>
      </c>
      <c r="AP30">
        <f/>
        <v>0.3643789757672749</v>
      </c>
      <c r="AQ30" s="12">
        <f/>
        <v>-0.12093600813112131</v>
      </c>
      <c r="AT30" s="11">
        <v>1</v>
      </c>
      <c r="AU30" cm="1">
        <f t="array" ref="AU30:AV31">C42:D43-$AG$39*MMULT(TRANSPOSE(_xlfn.ANCHORARRAY($M$27)),AU21:AV26)</f>
        <v>-0.66397259736619929</v>
      </c>
      <c r="AV30" s="12">
        <f/>
        <v>0.23309525903465858</v>
      </c>
      <c r="AX30" s="13">
        <f>F47-AG39*SUM(AU21:AU26)</f>
        <v>0.95704649540464215</v>
      </c>
      <c r="AY30" s="14">
        <f>G47-AG39*SUM(AV21:AV26)</f>
        <v>0.99707185309617885</v>
      </c>
    </row>
    <row r="31" ht="26.25">
      <c r="B31" s="11">
        <v>1</v>
      </c>
      <c r="C31" s="39">
        <v>-0.48699999999999999</v>
      </c>
      <c r="E31" s="65">
        <v>0.251</v>
      </c>
      <c r="G31" s="65">
        <v>0.94499999999999995</v>
      </c>
      <c r="I31">
        <v>5</v>
      </c>
      <c r="J31" s="19">
        <f/>
        <v>-1.3399990969793096</v>
      </c>
      <c r="K31" s="23">
        <f/>
        <v>3.0956021153893531</v>
      </c>
      <c r="M31" s="68">
        <f/>
        <v>6.051274286607276</v>
      </c>
      <c r="N31" s="16">
        <f/>
        <v>2.4138307364878253</v>
      </c>
      <c r="AN31" s="11">
        <v>11</v>
      </c>
      <c r="AO31">
        <f/>
        <v>0.38776990950024398</v>
      </c>
      <c r="AP31">
        <f/>
        <v>0.48499509749567488</v>
      </c>
      <c r="AQ31" s="12">
        <f/>
        <v>0.1332633594694845</v>
      </c>
      <c r="AT31" s="13">
        <v>2</v>
      </c>
      <c r="AU31" s="15">
        <f/>
        <v>0.77175094913891473</v>
      </c>
      <c r="AV31" s="14">
        <f/>
        <v>0.22467497331568126</v>
      </c>
      <c r="CC31" s="6" t="s">
        <v>68</v>
      </c>
    </row>
    <row r="32" ht="26.25">
      <c r="B32" s="13">
        <v>2</v>
      </c>
      <c r="C32" s="43">
        <v>0.23799999999999999</v>
      </c>
      <c r="E32" s="67">
        <v>-0.082000000000000003</v>
      </c>
      <c r="G32" s="67">
        <v>0.435</v>
      </c>
      <c r="I32">
        <v>6</v>
      </c>
      <c r="J32" s="19">
        <f/>
        <v>-0.98159933925249687</v>
      </c>
      <c r="K32" s="23">
        <f/>
        <v>3.4066135490996676</v>
      </c>
      <c r="M32" s="69">
        <f/>
        <v>4.3795561711650439</v>
      </c>
      <c r="N32" s="17">
        <f/>
        <v>4.2937162647921117</v>
      </c>
      <c r="AF32" s="7"/>
      <c r="AG32" s="18" t="s">
        <v>61</v>
      </c>
      <c r="AH32" s="9"/>
      <c r="AI32" t="s">
        <v>62</v>
      </c>
      <c r="AN32" s="13">
        <v>12</v>
      </c>
      <c r="AO32" s="15">
        <f/>
        <v>-0.091963213826092252</v>
      </c>
      <c r="AP32" s="15">
        <f/>
        <v>-0.44251376099228668</v>
      </c>
      <c r="AQ32" s="14">
        <f/>
        <v>0.081199028206489346</v>
      </c>
      <c r="CC32" s="6" t="s">
        <v>21</v>
      </c>
      <c r="CK32">
        <v>0</v>
      </c>
      <c r="CL32">
        <v>0</v>
      </c>
      <c r="CM32">
        <v>0</v>
      </c>
    </row>
    <row r="33">
      <c r="M33" t="s">
        <v>208</v>
      </c>
      <c r="AF33" s="11"/>
      <c r="AG33">
        <v>1</v>
      </c>
      <c r="AH33" s="25" t="s">
        <v>63</v>
      </c>
      <c r="AT33" s="7"/>
      <c r="AU33" s="18" t="s">
        <v>209</v>
      </c>
      <c r="AV33" s="9"/>
      <c r="AW33" t="s">
        <v>210</v>
      </c>
      <c r="CC33" t="s">
        <v>43</v>
      </c>
      <c r="CD33" t="s">
        <v>83</v>
      </c>
      <c r="CK33">
        <v>0</v>
      </c>
      <c r="CL33" s="29" cm="1">
        <f t="array" ref="CL33:CL38">FRONTEND!$B$26:$B$31</f>
        <v>0.36548104119790437</v>
      </c>
      <c r="CM33">
        <v>0</v>
      </c>
    </row>
    <row r="34">
      <c r="B34" s="7"/>
      <c r="C34" s="8" t="s">
        <v>211</v>
      </c>
      <c r="D34" s="9"/>
      <c r="AF34" s="26" t="s">
        <v>65</v>
      </c>
      <c r="AG34" s="1">
        <f>((2/(1+DATA!$I$16))*AH34*LN(AG28)+((2*DATA!$I$16)/(1+DATA!$I$16))*(1-AH34)*LN(1-AG28))</f>
        <v>-1.718904547739234</v>
      </c>
      <c r="AH34" s="12">
        <v>1</v>
      </c>
      <c r="AN34" s="7"/>
      <c r="AO34" s="10" t="s">
        <v>23</v>
      </c>
      <c r="AP34" t="s">
        <v>64</v>
      </c>
      <c r="AT34" s="11"/>
      <c r="AU34">
        <v>1</v>
      </c>
      <c r="AV34" s="12">
        <v>2</v>
      </c>
      <c r="CC34">
        <v>1</v>
      </c>
      <c r="CK34">
        <v>0</v>
      </c>
      <c r="CL34" s="30">
        <f/>
        <v>-0.24318936518565337</v>
      </c>
      <c r="CM34">
        <v>0</v>
      </c>
    </row>
    <row r="35" ht="26.25">
      <c r="B35" s="11"/>
      <c r="C35">
        <v>1</v>
      </c>
      <c r="D35" s="12">
        <v>2</v>
      </c>
      <c r="J35" s="6" t="s">
        <v>170</v>
      </c>
      <c r="AF35" s="11">
        <v>2</v>
      </c>
      <c r="AG35" s="1">
        <f>((2/(1+DATA!$I$17))*AH35*LN(AG29)+((2*DATA!$I$17)/(1+DATA!$I$17))*(1-AH35)*LN(1-AG29))</f>
        <v>-0.028398574107241281</v>
      </c>
      <c r="AH35" s="12">
        <v>0</v>
      </c>
      <c r="AN35" s="11"/>
      <c r="AO35" s="12">
        <v>1</v>
      </c>
      <c r="AT35" s="11">
        <v>1</v>
      </c>
      <c r="AU35" s="19" cm="1">
        <f t="array" ref="AU35:AV40">AO75:AP80+MMULT(AU21:AV26,TRANSPOSE(C42:D43))</f>
        <v>-0.0013143836891534831</v>
      </c>
      <c r="AV35" s="16">
        <f/>
        <v>0.31816123693120119</v>
      </c>
      <c r="CB35">
        <v>1</v>
      </c>
      <c r="CC35" s="23">
        <f t="shared" ref="CC35:CC40" si="204">CB85*IF(CB85&gt;0,1,0)</f>
        <v>0.33708155385758964</v>
      </c>
      <c r="CK35">
        <v>0</v>
      </c>
      <c r="CL35" s="30">
        <f/>
        <v>0.086633902217030781</v>
      </c>
      <c r="CM35">
        <v>0</v>
      </c>
    </row>
    <row r="36">
      <c r="B36" s="11">
        <v>1</v>
      </c>
      <c r="C36" s="38">
        <v>-0.47399999999999998</v>
      </c>
      <c r="D36" s="39">
        <v>-0.068000000000000005</v>
      </c>
      <c r="J36" t="s">
        <v>212</v>
      </c>
      <c r="K36" t="s">
        <v>213</v>
      </c>
      <c r="M36" t="s">
        <v>28</v>
      </c>
      <c r="N36" t="s">
        <v>213</v>
      </c>
      <c r="AF36" s="11">
        <v>3</v>
      </c>
      <c r="AG36" s="1">
        <f>((2/(1+DATA!$I$18))*AH36*LN(AG30)+((2*DATA!$I$18)/(1+DATA!$I$18))*(1-AH36)*LN(1-AG30))</f>
        <v>-1.3860069168622999</v>
      </c>
      <c r="AH36" s="12">
        <v>1</v>
      </c>
      <c r="AN36" s="11">
        <v>1</v>
      </c>
      <c r="AO36" s="12">
        <f t="shared" ref="AO36:AO38" si="205">AJ22-$AG$39*$AO14</f>
        <v>1.0368529556973318</v>
      </c>
      <c r="AT36" s="11">
        <v>2</v>
      </c>
      <c r="AU36" s="19">
        <f/>
        <v>-0.017501489672725804</v>
      </c>
      <c r="AV36" s="16">
        <f/>
        <v>0.0064339990371289763</v>
      </c>
      <c r="CB36">
        <v>2</v>
      </c>
      <c r="CC36" s="23">
        <f t="shared" si="204"/>
        <v>0</v>
      </c>
      <c r="CK36">
        <v>0</v>
      </c>
      <c r="CL36" s="30">
        <f/>
        <v>-0.84368679885201792</v>
      </c>
      <c r="CM36">
        <v>0</v>
      </c>
    </row>
    <row r="37">
      <c r="B37" s="13">
        <v>2</v>
      </c>
      <c r="C37" s="42">
        <v>0.53400000000000003</v>
      </c>
      <c r="D37" s="43">
        <v>0.78800000000000003</v>
      </c>
      <c r="J37">
        <v>1</v>
      </c>
      <c r="K37">
        <v>2</v>
      </c>
      <c r="M37">
        <v>1</v>
      </c>
      <c r="N37">
        <v>2</v>
      </c>
      <c r="AF37" s="27" t="s">
        <v>6</v>
      </c>
      <c r="AG37" s="15">
        <f>-1*SUM(AG34:AG36)/3</f>
        <v>1.0444366795695916</v>
      </c>
      <c r="AH37" s="14"/>
      <c r="AN37" s="11">
        <v>2</v>
      </c>
      <c r="AO37" s="12">
        <f t="shared" si="205"/>
        <v>0.99974767561281375</v>
      </c>
      <c r="AT37" s="11">
        <v>3</v>
      </c>
      <c r="AU37" s="19">
        <f/>
        <v>0.24620080458323418</v>
      </c>
      <c r="AV37" s="16">
        <f/>
        <v>-0.025386186560540092</v>
      </c>
      <c r="CB37">
        <v>3</v>
      </c>
      <c r="CC37" s="23">
        <f t="shared" si="204"/>
        <v>0.40812747578475489</v>
      </c>
      <c r="CK37">
        <v>0</v>
      </c>
      <c r="CL37" s="30">
        <f/>
        <v>0.17422066566536737</v>
      </c>
      <c r="CM37">
        <v>0</v>
      </c>
    </row>
    <row r="38">
      <c r="I38">
        <v>1</v>
      </c>
      <c r="J38" cm="1">
        <f t="array" ref="J38:K38">MMULT(M27:N27,$C$42:$D$43)+$F$42:$G$42</f>
        <v>2.7712762553399624</v>
      </c>
      <c r="K38">
        <f/>
        <v>3.786887897227496</v>
      </c>
      <c r="M38">
        <f t="shared" ref="M38:M43" si="206">MAX(0,J38)</f>
        <v>2.7712762553399624</v>
      </c>
      <c r="N38">
        <f t="shared" ref="N38:N43" si="207">MAX(0,K38)</f>
        <v>3.786887897227496</v>
      </c>
      <c r="AN38" s="13">
        <v>3</v>
      </c>
      <c r="AO38" s="14">
        <f t="shared" si="205"/>
        <v>1.034968110522559</v>
      </c>
      <c r="AT38" s="11">
        <v>4</v>
      </c>
      <c r="AU38" s="19">
        <f/>
        <v>-0.030533276832597493</v>
      </c>
      <c r="AV38" s="16">
        <f/>
        <v>-0.0030418967854237561</v>
      </c>
      <c r="CB38">
        <v>4</v>
      </c>
      <c r="CC38" s="23">
        <f t="shared" si="204"/>
        <v>0</v>
      </c>
      <c r="CK38">
        <v>0</v>
      </c>
      <c r="CL38" s="31">
        <f/>
        <v>0.46054055495736873</v>
      </c>
      <c r="CM38">
        <v>0</v>
      </c>
    </row>
    <row r="39">
      <c r="I39">
        <v>2</v>
      </c>
      <c r="J39" cm="1">
        <f t="array" ref="J39:K39">MMULT(M28:N28,$C$42:$D$43)+$F$42:$G$42</f>
        <v>1.7356723983107103</v>
      </c>
      <c r="K39">
        <f/>
        <v>3.5272762458483493</v>
      </c>
      <c r="M39">
        <f t="shared" si="206"/>
        <v>1.7356723983107103</v>
      </c>
      <c r="N39">
        <f t="shared" si="207"/>
        <v>3.5272762458483493</v>
      </c>
      <c r="AF39" s="2" t="s">
        <v>67</v>
      </c>
      <c r="AG39">
        <v>0.10000000000000001</v>
      </c>
      <c r="AT39" s="11">
        <v>5</v>
      </c>
      <c r="AU39" s="19">
        <f/>
        <v>0.10893430301453738</v>
      </c>
      <c r="AV39" s="16">
        <f/>
        <v>-0.042745620038745408</v>
      </c>
      <c r="CB39">
        <v>5</v>
      </c>
      <c r="CC39" s="23">
        <f t="shared" si="204"/>
        <v>0.22778232795619904</v>
      </c>
      <c r="CK39">
        <v>0</v>
      </c>
      <c r="CL39">
        <v>0</v>
      </c>
      <c r="CM39">
        <v>0</v>
      </c>
    </row>
    <row r="40">
      <c r="B40" s="7"/>
      <c r="C40" s="8" t="s">
        <v>201</v>
      </c>
      <c r="D40" s="9"/>
      <c r="F40" s="7" t="s">
        <v>203</v>
      </c>
      <c r="G40" s="9"/>
      <c r="I40">
        <v>3</v>
      </c>
      <c r="J40" cm="1">
        <f t="array" ref="J40:K40">MMULT(M29:N29,$C$42:$D$43)+$F$42:$G$42</f>
        <v>1.6360189577695796</v>
      </c>
      <c r="K40">
        <f/>
        <v>3.5982023147153308</v>
      </c>
      <c r="M40">
        <f t="shared" si="206"/>
        <v>1.6360189577695796</v>
      </c>
      <c r="N40">
        <f t="shared" si="207"/>
        <v>3.5982023147153308</v>
      </c>
      <c r="AO40" t="s">
        <v>69</v>
      </c>
      <c r="AT40" s="13">
        <v>6</v>
      </c>
      <c r="AU40" s="20">
        <f/>
        <v>-0.14344704354539717</v>
      </c>
      <c r="AV40" s="17">
        <f/>
        <v>-0.10205221421255495</v>
      </c>
      <c r="CB40">
        <v>6</v>
      </c>
      <c r="CC40" s="23">
        <f t="shared" si="204"/>
        <v>0</v>
      </c>
    </row>
    <row r="41">
      <c r="B41" s="11"/>
      <c r="C41">
        <v>1</v>
      </c>
      <c r="D41" s="12">
        <v>2</v>
      </c>
      <c r="F41" s="11">
        <v>1</v>
      </c>
      <c r="G41" s="12">
        <v>2</v>
      </c>
      <c r="I41">
        <v>4</v>
      </c>
      <c r="J41" cm="1">
        <f t="array" ref="J41:K41">MMULT(M30:N30,$C$42:$D$43)+$F$42:$G$42</f>
        <v>1.0968071047985668</v>
      </c>
      <c r="K41">
        <f/>
        <v>2.5206604559203809</v>
      </c>
      <c r="M41">
        <f t="shared" si="206"/>
        <v>1.0968071047985668</v>
      </c>
      <c r="N41">
        <f t="shared" si="207"/>
        <v>2.5206604559203809</v>
      </c>
      <c r="AO41">
        <v>1</v>
      </c>
      <c r="AP41" t="s">
        <v>72</v>
      </c>
    </row>
    <row r="42">
      <c r="B42" s="11">
        <v>1</v>
      </c>
      <c r="C42" s="38">
        <v>-0.47399999999999998</v>
      </c>
      <c r="D42" s="39">
        <v>0.251</v>
      </c>
      <c r="F42" s="13">
        <v>1</v>
      </c>
      <c r="G42" s="14">
        <v>1</v>
      </c>
      <c r="I42">
        <v>5</v>
      </c>
      <c r="J42" cm="1">
        <f t="array" ref="J42:K42">MMULT(M31:N31,$C$42:$D$43)+$F$42:$G$42</f>
        <v>0.41276603412914614</v>
      </c>
      <c r="K42">
        <f/>
        <v>3.0933615612225287</v>
      </c>
      <c r="M42">
        <f t="shared" si="206"/>
        <v>0.41276603412914614</v>
      </c>
      <c r="N42">
        <f t="shared" si="207"/>
        <v>3.0933615612225287</v>
      </c>
      <c r="AN42">
        <v>1</v>
      </c>
      <c r="AO42" s="19" cm="1">
        <f t="array" ref="AO42">SUM(MMULT(TRANSPOSE($AO$14:$AO$16),TRANSPOSE(AJ7:AL7)))</f>
        <v>0.31974176386191305</v>
      </c>
      <c r="CB42" s="7"/>
      <c r="CC42" s="10" t="s">
        <v>22</v>
      </c>
      <c r="CD42" t="s">
        <v>84</v>
      </c>
      <c r="CE42" s="7"/>
      <c r="CF42" s="10" t="s">
        <v>23</v>
      </c>
      <c r="CG42" t="s">
        <v>85</v>
      </c>
    </row>
    <row r="43" ht="26.25">
      <c r="B43" s="13">
        <v>2</v>
      </c>
      <c r="C43" s="42">
        <v>0.94499999999999995</v>
      </c>
      <c r="D43" s="43">
        <v>0.23799999999999999</v>
      </c>
      <c r="I43">
        <v>6</v>
      </c>
      <c r="J43" cm="1">
        <f t="array" ref="J43:K43">MMULT(M32:N32,$C$42:$D$43)+$F$42:$G$42</f>
        <v>2.9816522450963143</v>
      </c>
      <c r="K43">
        <f/>
        <v>3.1211730699829485</v>
      </c>
      <c r="M43">
        <f t="shared" si="206"/>
        <v>2.9816522450963143</v>
      </c>
      <c r="N43">
        <f t="shared" si="207"/>
        <v>3.1211730699829485</v>
      </c>
      <c r="AN43">
        <v>2</v>
      </c>
      <c r="AO43" s="19" cm="1">
        <f t="array" ref="AO43">SUM(MMULT(TRANSPOSE($AO$14:$AO$16),TRANSPOSE(AJ8:AL8)))</f>
        <v>0.0016255263063518766</v>
      </c>
      <c r="AU43" s="6" t="s">
        <v>37</v>
      </c>
      <c r="CB43" s="11"/>
      <c r="CC43" s="12">
        <v>1</v>
      </c>
      <c r="CE43" s="11"/>
      <c r="CF43" s="12">
        <v>1</v>
      </c>
    </row>
    <row r="44" ht="26.25">
      <c r="P44" t="s">
        <v>162</v>
      </c>
      <c r="R44" t="s">
        <v>162</v>
      </c>
      <c r="U44" t="s">
        <v>162</v>
      </c>
      <c r="AN44">
        <v>3</v>
      </c>
      <c r="AO44" s="19" cm="1">
        <f t="array" ref="AO44">SUM(MMULT(TRANSPOSE($AO$14:$AO$16),TRANSPOSE(AJ9:AL9)))</f>
        <v>0.27158699114377427</v>
      </c>
      <c r="AU44" s="6" t="s">
        <v>169</v>
      </c>
      <c r="CB44" s="11">
        <v>1</v>
      </c>
      <c r="CC44" s="12" cm="1">
        <f t="array" ref="CC44">FRONTEND!T7-$AG39*SUM($CC$35:$CC$40*CL32:CL37)</f>
        <v>0.15114292048593436</v>
      </c>
      <c r="CE44" s="13">
        <v>1</v>
      </c>
      <c r="CF44" s="14">
        <f>FRONTEND!$W7-$AG$39*SUM(CB85:CB90)</f>
        <v>0.9377377451666592</v>
      </c>
    </row>
    <row r="45">
      <c r="B45" s="7"/>
      <c r="C45" s="8" t="s">
        <v>183</v>
      </c>
      <c r="D45" s="9"/>
      <c r="F45" s="7" t="s">
        <v>185</v>
      </c>
      <c r="G45" s="9"/>
      <c r="J45" t="s">
        <v>214</v>
      </c>
      <c r="K45" t="s">
        <v>213</v>
      </c>
      <c r="M45" s="66" t="s">
        <v>215</v>
      </c>
      <c r="N45" s="9" t="s">
        <v>213</v>
      </c>
      <c r="P45" t="s">
        <v>33</v>
      </c>
      <c r="R45" t="s">
        <v>76</v>
      </c>
      <c r="T45" s="7"/>
      <c r="U45" s="10" t="s">
        <v>165</v>
      </c>
      <c r="AN45">
        <v>4</v>
      </c>
      <c r="AO45" s="19" cm="1">
        <f t="array" ref="AO45">SUM(MMULT(TRANSPOSE($AO$14:$AO$16),TRANSPOSE(AJ10:AL10)))</f>
        <v>0.041691720245159616</v>
      </c>
      <c r="CB45" s="11">
        <v>2</v>
      </c>
      <c r="CC45" s="12" cm="1">
        <f t="array" ref="CC45">FRONTEND!T8-$AG40*SUM($CC$35:$CC$40*CL33:CL38)</f>
        <v>0.51600000000000001</v>
      </c>
    </row>
    <row r="46">
      <c r="B46" s="11"/>
      <c r="C46">
        <v>1</v>
      </c>
      <c r="D46" s="12">
        <v>2</v>
      </c>
      <c r="F46" s="11">
        <v>1</v>
      </c>
      <c r="G46" s="12">
        <v>2</v>
      </c>
      <c r="J46">
        <v>1</v>
      </c>
      <c r="K46">
        <v>2</v>
      </c>
      <c r="M46" s="11">
        <v>1</v>
      </c>
      <c r="N46" s="12">
        <v>2</v>
      </c>
      <c r="P46">
        <v>1</v>
      </c>
      <c r="R46">
        <v>1</v>
      </c>
      <c r="T46" s="11"/>
      <c r="U46" s="12">
        <v>1</v>
      </c>
      <c r="AN46">
        <v>5</v>
      </c>
      <c r="AO46" s="19" cm="1">
        <f t="array" ref="AO46">SUM(MMULT(TRANSPOSE($AO$14:$AO$16),TRANSPOSE(AJ11:AL11)))</f>
        <v>0.15167992305328279</v>
      </c>
      <c r="AT46" s="7"/>
      <c r="AU46" s="18" t="s">
        <v>211</v>
      </c>
      <c r="AV46" s="9" t="s">
        <v>216</v>
      </c>
      <c r="CB46" s="13">
        <v>3</v>
      </c>
      <c r="CC46" s="14" cm="1">
        <f t="array" ref="CC46">FRONTEND!T9-$AG41*SUM($CC$35:$CC$40*CL34:CL39)</f>
        <v>-0.97699999999999998</v>
      </c>
    </row>
    <row r="47">
      <c r="B47" s="11">
        <v>1</v>
      </c>
      <c r="C47" s="38">
        <v>-0.72799999999999998</v>
      </c>
      <c r="D47" s="39">
        <v>-0.86199999999999999</v>
      </c>
      <c r="F47" s="13">
        <v>1</v>
      </c>
      <c r="G47" s="14">
        <v>1</v>
      </c>
      <c r="I47">
        <v>1</v>
      </c>
      <c r="J47" cm="1">
        <f t="array" ref="J47:K47">MMULT(M38:N38,$C$47:$D$48)+$F$47:$G$47</f>
        <v>-3.4713924712909101</v>
      </c>
      <c r="K47">
        <f/>
        <v>-1.1919219614472181</v>
      </c>
      <c r="M47" s="68">
        <f t="shared" ref="M47:N52" si="208">M27+J47</f>
        <v>2.8486105975307776</v>
      </c>
      <c r="N47" s="16">
        <f>N27+K47</f>
        <v>3.8524777316336736</v>
      </c>
      <c r="P47" s="19">
        <f t="shared" ref="P47:P52" si="209">MAX(M47:N47)</f>
        <v>3.8524777316336736</v>
      </c>
      <c r="R47" s="23">
        <f t="shared" ref="R47:R52" si="210">AVERAGE(M47:N47)</f>
        <v>3.3505441645822254</v>
      </c>
      <c r="T47" s="11">
        <v>1</v>
      </c>
      <c r="U47" s="57" cm="1">
        <f t="array" ref="U47:U52">P47:P52</f>
        <v>3.8524777316336736</v>
      </c>
      <c r="AN47">
        <v>6</v>
      </c>
      <c r="AO47" s="19" cm="1">
        <f t="array" ref="AO47">SUM(MMULT(TRANSPOSE($AO$14:$AO$16),TRANSPOSE(AJ12:AL12)))</f>
        <v>-0.47325676971080721</v>
      </c>
      <c r="AT47" s="11"/>
      <c r="AU47">
        <v>1</v>
      </c>
      <c r="AV47" s="12">
        <v>2</v>
      </c>
    </row>
    <row r="48">
      <c r="B48" s="13">
        <v>2</v>
      </c>
      <c r="C48" s="42">
        <v>-0.64800000000000002</v>
      </c>
      <c r="D48" s="43">
        <v>0.051999999999999998</v>
      </c>
      <c r="I48">
        <v>2</v>
      </c>
      <c r="J48" cm="1">
        <f t="array" ref="J48:K48">MMULT(M39:N39,$C$47:$D$48)+$F$47:$G$47</f>
        <v>-2.5492445132799277</v>
      </c>
      <c r="K48">
        <f/>
        <v>-0.31273124255971818</v>
      </c>
      <c r="M48" s="68">
        <f t="shared" si="208"/>
        <v>3.7740176544159789</v>
      </c>
      <c r="N48" s="16">
        <f t="shared" si="208"/>
        <v>3.6374260757456476</v>
      </c>
      <c r="P48" s="19">
        <f t="shared" si="209"/>
        <v>3.7740176544159789</v>
      </c>
      <c r="R48" s="23">
        <f t="shared" si="210"/>
        <v>3.7057218650808132</v>
      </c>
      <c r="T48" s="11">
        <v>2</v>
      </c>
      <c r="U48" s="57">
        <f/>
        <v>3.7740176544159789</v>
      </c>
      <c r="AN48">
        <v>7</v>
      </c>
      <c r="AO48" s="23" cm="1">
        <f t="array" ref="AO48">SUM(MMULT(TRANSPOSE($AO$14:$AO$16),TRANSPOSE(AJ13:AL13)))</f>
        <v>-0.012905991013869106</v>
      </c>
      <c r="AT48" s="11">
        <v>1</v>
      </c>
      <c r="AU48" cm="1">
        <f t="array" ref="AU48:AV49">C36:D37-$AG$39*MMULT(TRANSPOSE(J27:K32),_xlfn.ANCHORARRAY(AU35))</f>
        <v>-0.44734469577122005</v>
      </c>
      <c r="AV48" s="12">
        <f/>
        <v>-0.048276659005702521</v>
      </c>
    </row>
    <row r="49">
      <c r="I49">
        <v>3</v>
      </c>
      <c r="J49" cm="1">
        <f t="array" ref="J49:K49">MMULT(M40:N40,$C$47:$D$48)+$F$47:$G$47</f>
        <v>-2.5226569011917883</v>
      </c>
      <c r="K49">
        <f/>
        <v>-0.22314182123218052</v>
      </c>
      <c r="M49" s="68">
        <f t="shared" si="208"/>
        <v>4.0598648068221301</v>
      </c>
      <c r="N49" s="16">
        <f t="shared" si="208"/>
        <v>3.7516034140780596</v>
      </c>
      <c r="P49" s="19">
        <f t="shared" si="209"/>
        <v>4.0598648068221301</v>
      </c>
      <c r="R49" s="23">
        <f t="shared" si="210"/>
        <v>3.9057341104500951</v>
      </c>
      <c r="T49" s="11">
        <v>3</v>
      </c>
      <c r="U49" s="57">
        <f/>
        <v>4.0598648068221301</v>
      </c>
      <c r="AN49">
        <v>8</v>
      </c>
      <c r="AO49" s="23" cm="1">
        <f t="array" ref="AO49">SUM(MMULT(TRANSPOSE($AO$14:$AO$16),TRANSPOSE(AJ14:AL14)))</f>
        <v>-0.02421792520745758</v>
      </c>
      <c r="AT49" s="13">
        <v>2</v>
      </c>
      <c r="AU49" s="15">
        <f/>
        <v>0.48835188872445651</v>
      </c>
      <c r="AV49" s="14">
        <f/>
        <v>0.74051075534706245</v>
      </c>
    </row>
    <row r="50">
      <c r="I50">
        <v>4</v>
      </c>
      <c r="J50" cm="1">
        <f t="array" ref="J50:K50">MMULT(M41:N41,$C$47:$D$48)+$F$47:$G$47</f>
        <v>-1.4318635477297637</v>
      </c>
      <c r="K50">
        <f/>
        <v>0.18562661937149527</v>
      </c>
      <c r="M50" s="68">
        <f t="shared" si="208"/>
        <v>2.6080100545201939</v>
      </c>
      <c r="N50" s="16">
        <f t="shared" si="208"/>
        <v>2.3144172990170473</v>
      </c>
      <c r="P50" s="19">
        <f t="shared" si="209"/>
        <v>2.6080100545201939</v>
      </c>
      <c r="R50" s="23">
        <f t="shared" si="210"/>
        <v>2.4612136767686206</v>
      </c>
      <c r="T50" s="11">
        <v>4</v>
      </c>
      <c r="U50" s="57">
        <f/>
        <v>2.6080100545201939</v>
      </c>
      <c r="AN50">
        <v>9</v>
      </c>
      <c r="AO50" s="23" cm="1">
        <f t="array" ref="AO50">SUM(MMULT(TRANSPOSE($AO$14:$AO$16),TRANSPOSE(AJ15:AL15)))</f>
        <v>-0.050772373121080183</v>
      </c>
    </row>
    <row r="51">
      <c r="I51">
        <v>5</v>
      </c>
      <c r="J51" cm="1">
        <f t="array" ref="J51:K51">MMULT(M42:N42,$C$47:$D$48)+$F$47:$G$47</f>
        <v>-1.3049919645182171</v>
      </c>
      <c r="K51">
        <f/>
        <v>0.80505047976424748</v>
      </c>
      <c r="M51" s="68">
        <f t="shared" si="208"/>
        <v>4.7462823220890584</v>
      </c>
      <c r="N51" s="16">
        <f t="shared" si="208"/>
        <v>3.2188812162520728</v>
      </c>
      <c r="P51" s="19">
        <f t="shared" si="209"/>
        <v>4.7462823220890584</v>
      </c>
      <c r="R51" s="23">
        <f t="shared" si="210"/>
        <v>3.9825817691705656</v>
      </c>
      <c r="T51" s="11">
        <v>5</v>
      </c>
      <c r="U51" s="57">
        <f/>
        <v>4.7462823220890584</v>
      </c>
      <c r="AN51">
        <v>10</v>
      </c>
      <c r="AO51" s="23" cm="1">
        <f t="array" ref="AO51">SUM(MMULT(TRANSPOSE($AO$14:$AO$16),TRANSPOSE(AJ16:AL16)))</f>
        <v>-0.099535389425559215</v>
      </c>
      <c r="AU51" t="s">
        <v>217</v>
      </c>
      <c r="AV51" t="s">
        <v>218</v>
      </c>
    </row>
    <row r="52">
      <c r="I52">
        <v>6</v>
      </c>
      <c r="J52" cm="1">
        <f t="array" ref="J52:K52">MMULT(M43:N43,$C$47:$D$48)+$F$47:$G$47</f>
        <v>-3.193162983779068</v>
      </c>
      <c r="K52">
        <f/>
        <v>-1.4078832356339097</v>
      </c>
      <c r="M52" s="69">
        <f t="shared" si="208"/>
        <v>1.1863931873859759</v>
      </c>
      <c r="N52" s="17">
        <f t="shared" si="208"/>
        <v>2.8858330291582019</v>
      </c>
      <c r="P52" s="19">
        <f t="shared" si="209"/>
        <v>2.8858330291582019</v>
      </c>
      <c r="R52" s="23">
        <f t="shared" si="210"/>
        <v>2.0361131082720889</v>
      </c>
      <c r="T52" s="11">
        <v>6</v>
      </c>
      <c r="U52" s="57">
        <f/>
        <v>2.8858330291582019</v>
      </c>
      <c r="AN52">
        <v>11</v>
      </c>
      <c r="AO52" s="23" cm="1">
        <f t="array" ref="AO52">SUM(MMULT(TRANSPOSE($AO$14:$AO$16),TRANSPOSE(AJ17:AL17)))</f>
        <v>-0.085491240077490815</v>
      </c>
      <c r="AU52">
        <v>1</v>
      </c>
      <c r="AV52">
        <v>2</v>
      </c>
    </row>
    <row r="53">
      <c r="M53" t="s">
        <v>208</v>
      </c>
      <c r="T53" s="11">
        <v>7</v>
      </c>
      <c r="U53" s="16" cm="1">
        <f t="array" ref="U53:U58">R47:R52</f>
        <v>3.3505441645822254</v>
      </c>
      <c r="AN53">
        <v>12</v>
      </c>
      <c r="AO53" s="23" cm="1">
        <f t="array" ref="AO53">SUM(MMULT(TRANSPOSE($AO$14:$AO$16),TRANSPOSE(AJ18:AL18)))</f>
        <v>0.056932351170924919</v>
      </c>
      <c r="AT53">
        <v>1</v>
      </c>
      <c r="AU53" s="19" cm="1">
        <f t="array" ref="AU53:AV58">MMULT(_xlfn.ANCHORARRAY(AU35),TRANSPOSE(C36:D37))</f>
        <v>-0.021011946242662928</v>
      </c>
      <c r="AV53" s="23">
        <f/>
        <v>0.25000917381177862</v>
      </c>
    </row>
    <row r="54">
      <c r="T54" s="11">
        <v>8</v>
      </c>
      <c r="U54" s="16">
        <f/>
        <v>3.7057218650808132</v>
      </c>
      <c r="AT54">
        <v>2</v>
      </c>
      <c r="AU54" s="19">
        <f/>
        <v>0.0078581941703472612</v>
      </c>
      <c r="AV54" s="23">
        <f/>
        <v>-0.0042758042439779457</v>
      </c>
    </row>
    <row r="55">
      <c r="T55" s="11">
        <v>9</v>
      </c>
      <c r="U55" s="16">
        <f/>
        <v>3.9057341104500951</v>
      </c>
      <c r="AN55" t="s">
        <v>77</v>
      </c>
      <c r="AO55" s="19" t="s">
        <v>33</v>
      </c>
      <c r="AQ55" s="2" t="s">
        <v>25</v>
      </c>
      <c r="AT55">
        <v>3</v>
      </c>
      <c r="AU55" s="19">
        <f/>
        <v>-0.11497292068633627</v>
      </c>
      <c r="AV55" s="23">
        <f/>
        <v>0.11146691463774147</v>
      </c>
      <c r="BT55" t="s">
        <v>219</v>
      </c>
    </row>
    <row r="56">
      <c r="T56" s="11">
        <v>10</v>
      </c>
      <c r="U56" s="16">
        <f/>
        <v>2.4612136767686206</v>
      </c>
      <c r="AO56">
        <v>1</v>
      </c>
      <c r="AP56" s="2" t="s">
        <v>75</v>
      </c>
      <c r="AQ56">
        <v>1</v>
      </c>
      <c r="AR56">
        <v>2</v>
      </c>
      <c r="AT56">
        <v>4</v>
      </c>
      <c r="AU56" s="19">
        <f/>
        <v>0.014679622200060027</v>
      </c>
      <c r="AV56" s="23">
        <f/>
        <v>-0.018701784495520981</v>
      </c>
    </row>
    <row r="57">
      <c r="T57" s="11">
        <v>11</v>
      </c>
      <c r="U57" s="16">
        <f/>
        <v>3.9825817691705656</v>
      </c>
      <c r="AN57">
        <v>1</v>
      </c>
      <c r="AO57" s="1">
        <f t="shared" ref="AO57:AO62" si="211">AO42</f>
        <v>0.31974176386191305</v>
      </c>
      <c r="AP57">
        <f t="shared" ref="AP57:AP62" si="212">MATCH(MAX(M47:N47),M47:N47,0)</f>
        <v>2</v>
      </c>
      <c r="AQ57">
        <f t="shared" ref="AQ57:AR62" si="213">IF($AP57=AQ$56,$AO57,0)</f>
        <v>0</v>
      </c>
      <c r="AR57">
        <f>IF($AP57=AR$56,$AO57,0)</f>
        <v>0.31974176386191305</v>
      </c>
      <c r="AT57">
        <v>5</v>
      </c>
      <c r="AU57" s="19">
        <f/>
        <v>-0.048728157466256028</v>
      </c>
      <c r="AV57" s="23">
        <f/>
        <v>0.024487369219231586</v>
      </c>
    </row>
    <row r="58">
      <c r="T58" s="13">
        <v>12</v>
      </c>
      <c r="U58" s="17">
        <f/>
        <v>2.0361131082720889</v>
      </c>
      <c r="AN58">
        <v>2</v>
      </c>
      <c r="AO58" s="1">
        <f t="shared" si="211"/>
        <v>0.0016255263063518766</v>
      </c>
      <c r="AP58">
        <f t="shared" si="212"/>
        <v>1</v>
      </c>
      <c r="AQ58">
        <f t="shared" si="213"/>
        <v>0.0016255263063518766</v>
      </c>
      <c r="AR58">
        <f t="shared" si="213"/>
        <v>0</v>
      </c>
      <c r="AT58">
        <v>6</v>
      </c>
      <c r="AU58" s="19">
        <f/>
        <v>0.074933449206971994</v>
      </c>
      <c r="AV58" s="23">
        <f/>
        <v>-0.15701786605273538</v>
      </c>
    </row>
    <row r="59">
      <c r="AN59">
        <v>3</v>
      </c>
      <c r="AO59" s="1">
        <f t="shared" si="211"/>
        <v>0.27158699114377427</v>
      </c>
      <c r="AP59">
        <f t="shared" si="212"/>
        <v>1</v>
      </c>
      <c r="AQ59">
        <f t="shared" si="213"/>
        <v>0.27158699114377427</v>
      </c>
      <c r="AR59">
        <f t="shared" si="213"/>
        <v>0</v>
      </c>
      <c r="BK59" s="1"/>
    </row>
    <row r="60">
      <c r="AN60">
        <v>4</v>
      </c>
      <c r="AO60" s="1">
        <f t="shared" si="211"/>
        <v>0.041691720245159616</v>
      </c>
      <c r="AP60">
        <f t="shared" si="212"/>
        <v>1</v>
      </c>
      <c r="AQ60">
        <f t="shared" si="213"/>
        <v>0.041691720245159616</v>
      </c>
      <c r="AR60">
        <f t="shared" si="213"/>
        <v>0</v>
      </c>
      <c r="BK60" s="19" t="s">
        <v>173</v>
      </c>
      <c r="BX60" t="s">
        <v>219</v>
      </c>
    </row>
    <row r="61">
      <c r="AN61">
        <v>5</v>
      </c>
      <c r="AO61" s="1">
        <f t="shared" si="211"/>
        <v>0.15167992305328279</v>
      </c>
      <c r="AP61">
        <f t="shared" si="212"/>
        <v>1</v>
      </c>
      <c r="AQ61">
        <f t="shared" si="213"/>
        <v>0.15167992305328279</v>
      </c>
      <c r="AR61">
        <f t="shared" si="213"/>
        <v>0</v>
      </c>
      <c r="AU61" s="19" t="s">
        <v>173</v>
      </c>
      <c r="BD61" t="s">
        <v>220</v>
      </c>
      <c r="BK61" t="s">
        <v>221</v>
      </c>
      <c r="BL61" s="35" t="s">
        <v>222</v>
      </c>
      <c r="BM61" s="70" t="s">
        <v>223</v>
      </c>
      <c r="BN61" s="71" t="s">
        <v>224</v>
      </c>
      <c r="BO61" t="s">
        <v>225</v>
      </c>
      <c r="BS61" s="37"/>
      <c r="BU61" s="37"/>
      <c r="BX61" s="5" t="s">
        <v>173</v>
      </c>
    </row>
    <row r="62">
      <c r="AN62">
        <v>6</v>
      </c>
      <c r="AO62" s="1">
        <f t="shared" si="211"/>
        <v>-0.47325676971080721</v>
      </c>
      <c r="AP62">
        <f t="shared" si="212"/>
        <v>2</v>
      </c>
      <c r="AQ62">
        <f t="shared" si="213"/>
        <v>0</v>
      </c>
      <c r="AR62">
        <f t="shared" si="213"/>
        <v>-0.47325676971080721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5" t="s">
        <v>232</v>
      </c>
      <c r="BM62" s="70" t="s">
        <v>233</v>
      </c>
      <c r="BN62" s="71" t="s">
        <v>234</v>
      </c>
      <c r="BO62" t="s">
        <v>235</v>
      </c>
      <c r="BQ62" t="s">
        <v>236</v>
      </c>
      <c r="BS62" s="37" t="s">
        <v>237</v>
      </c>
      <c r="BU62" s="37" t="s">
        <v>238</v>
      </c>
      <c r="BX62" t="s">
        <v>239</v>
      </c>
    </row>
    <row r="63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5">
        <v>1</v>
      </c>
      <c r="BM63" s="70">
        <v>1</v>
      </c>
      <c r="BN63" s="71">
        <v>1</v>
      </c>
      <c r="BO63">
        <v>1</v>
      </c>
      <c r="BQ63">
        <v>1</v>
      </c>
      <c r="BR63">
        <v>2</v>
      </c>
      <c r="BS63" s="37">
        <v>1</v>
      </c>
      <c r="BT63">
        <v>2</v>
      </c>
      <c r="BU63" s="37">
        <v>1</v>
      </c>
      <c r="BV63">
        <v>2</v>
      </c>
      <c r="BX63">
        <v>1</v>
      </c>
      <c r="BY63">
        <v>2</v>
      </c>
    </row>
    <row r="64">
      <c r="AN64" t="s">
        <v>77</v>
      </c>
      <c r="AO64" s="23" t="s">
        <v>76</v>
      </c>
      <c r="AQ64" s="2" t="s">
        <v>335</v>
      </c>
      <c r="AT64">
        <v>1</v>
      </c>
      <c r="AU64" cm="1">
        <f t="array" ref="AU64:AU69">MMULT(TRANSPOSE(W7:AB12),AU53:AU58)</f>
        <v>-0.04071899120762211</v>
      </c>
      <c r="AW64" cm="1">
        <f t="array" ref="AW64:BB69">MMULT(AU53:AU58,TRANSPOSE(_xlfn.ANCHORARRAY(N7)))</f>
        <v>0.037437196807801658</v>
      </c>
      <c r="AX64">
        <f/>
        <v>0.02310775863208242</v>
      </c>
      <c r="AY64">
        <f/>
        <v>0.024062908503301807</v>
      </c>
      <c r="AZ64">
        <f/>
        <v>-0.0061615169752734893</v>
      </c>
      <c r="BA64">
        <f/>
        <v>0.002523684938970793</v>
      </c>
      <c r="BB64">
        <f/>
        <v>0.023292245115768821</v>
      </c>
      <c r="BD64" s="1" cm="1">
        <f t="array" ref="BD64">SUM($AW64:$BB64*$W7:$AB7*(IF((ROW(AW64)-$BH$62)=(COLUMN(AW64)-$BI$62),1,0)-W7))</f>
        <v>0.017420571666411016</v>
      </c>
      <c r="BE64" s="1" cm="1">
        <f t="array" ref="BE64">SUM($AW64:$BB64*$W7:$AB7*(IF((ROW(AX64)-$BH$62)=(COLUMN(AX64)-$BI$62),1,0)-X7))</f>
        <v>-0.0028621305367425723</v>
      </c>
      <c r="BF64" s="1" cm="1">
        <f t="array" ref="BF64">SUM($AW64:$BB64*$W7:$AB7*(IF((ROW(AY64)-$BH$62)=(COLUMN(AY64)-$BI$62),1,0)-Y7))</f>
        <v>-0.0025867050558493004</v>
      </c>
      <c r="BG64" s="1" cm="1">
        <f t="array" ref="BG64">SUM($AW64:$BB64*$W7:$AB7*(IF((ROW(AZ64)-$BH$62)=(COLUMN(AZ64)-$BI$62),1,0)-Z7))</f>
        <v>-0.0015489419718273958</v>
      </c>
      <c r="BH64" s="1" cm="1">
        <f t="array" ref="BH64">SUM($AW64:$BB64*$W7:$AB7*(IF((ROW(BA64)-$BH$62)=(COLUMN(BA64)-$BI$62),1,0)-AA7))</f>
        <v>-0.00076907806523611477</v>
      </c>
      <c r="BI64" s="1" cm="1">
        <f t="array" ref="BI64">SUM($AW64:$BB64*$W7:$AB7*(IF((ROW(BB64)-$BH$62)=(COLUMN(BB64)-$BI$62),1,0)-AB7))</f>
        <v>-0.0096537160367556329</v>
      </c>
      <c r="BK64" cm="1">
        <f t="array" ref="BK64:BK69">(1/SQRT($G$2))*MMULT(TRANSPOSE($BD$64:$BI$69),_xlfn.ANCHORARRAY($J$7))</f>
        <v>0.15968616445947498</v>
      </c>
      <c r="BL64" s="35" cm="1">
        <f t="array" ref="BL64:BL69">(1/SQRT($G$2))*MMULT($BD$64:$BI$69,_xlfn.ANCHORARRAY(L7))</f>
        <v>-0.0061385072979814811</v>
      </c>
      <c r="BM64" s="70" cm="1">
        <f t="array" ref="BM64:BM65">C25:C26-$AG$39*MMULT(TRANSPOSE(_xlfn.ANCHORARRAY($C$4)),_xlfn.ANCHORARRAY($BL$64))</f>
        <v>-0.96323660465148109</v>
      </c>
      <c r="BN64" s="71" cm="1">
        <f t="array" ref="BN64:BN65">E25:E26-$AG$39*MMULT(TRANSPOSE(_xlfn.ANCHORARRAY($C$4)),_xlfn.ANCHORARRAY($BK$64))</f>
        <v>0.44284116181636907</v>
      </c>
      <c r="BO64" cm="1">
        <f t="array" ref="BO64:BO65">G25:G26-$AG$39*MMULT(TRANSPOSE(_xlfn.ANCHORARRAY($C$4)),_xlfn.ANCHORARRAY($AU$64))</f>
        <v>-0.021505725304977113</v>
      </c>
      <c r="BQ64" cm="1">
        <f t="array" ref="BQ64:BR69">MMULT(_xlfn.ANCHORARRAY(BL64),TRANSPOSE(C25:C26))</f>
        <v>0.0052913932908600367</v>
      </c>
      <c r="BR64">
        <f/>
        <v>-0.0054018864222237038</v>
      </c>
      <c r="BS64" s="37" cm="1">
        <f t="array" ref="BS64:BT69">MMULT(_xlfn.ANCHORARRAY(BK64),TRANSPOSE(E25:E26))</f>
        <v>0.06531164126392526</v>
      </c>
      <c r="BT64">
        <f/>
        <v>-0.11625152772649779</v>
      </c>
      <c r="BU64" s="37" cm="1">
        <f t="array" ref="BU64:BV69">MMULT(_xlfn.ANCHORARRAY(AU64),TRANSPOSE(G25:G26))</f>
        <v>0.0021173875427963496</v>
      </c>
      <c r="BV64">
        <f/>
        <v>0.02638590630253913</v>
      </c>
      <c r="BX64" cm="1">
        <f t="array" ref="BX64:BY69">_xlfn.ANCHORARRAY(BQ64)+_xlfn.ANCHORARRAY(BS64)+_xlfn.ANCHORARRAY(BU64)</f>
        <v>0.072720422097581644</v>
      </c>
      <c r="BY64">
        <f/>
        <v>-0.095267507846182362</v>
      </c>
    </row>
    <row r="65">
      <c r="AO65">
        <v>1</v>
      </c>
      <c r="AP65">
        <v>2</v>
      </c>
      <c r="AQ65" s="2">
        <v>2</v>
      </c>
      <c r="AT65">
        <v>2</v>
      </c>
      <c r="AU65">
        <f/>
        <v>0.0033252096309304043</v>
      </c>
      <c r="AW65">
        <f/>
        <v>-0.014001023908574703</v>
      </c>
      <c r="AX65">
        <f/>
        <v>-0.0086420007016641143</v>
      </c>
      <c r="AY65">
        <f/>
        <v>-0.0089992143106816525</v>
      </c>
      <c r="AZ65">
        <f/>
        <v>0.0023043270821472253</v>
      </c>
      <c r="BA65">
        <f/>
        <v>-0.00094382529091698887</v>
      </c>
      <c r="BB65">
        <f/>
        <v>-0.0087109962432417344</v>
      </c>
      <c r="BD65" s="1" cm="1">
        <f t="array" ref="BD65">SUM($AW65:$BB65*$W8:$AB8*(IF((ROW(AW65)-$BH$62)=(COLUMN(AW65)-$BI$62),1,0)-W8))</f>
        <v>0.0036622687228883774</v>
      </c>
      <c r="BE65" s="1" cm="1">
        <f t="array" ref="BE65">SUM($AW65:$BB65*$W8:$AB8*(IF((ROW(AX65)-$BH$62)=(COLUMN(AX65)-$BI$62),1,0)-X8))</f>
        <v>-0.0096373878846325554</v>
      </c>
      <c r="BF65" s="1" cm="1">
        <f t="array" ref="BF65">SUM($AW65:$BB65*$W8:$AB8*(IF((ROW(AY65)-$BH$62)=(COLUMN(AY65)-$BI$62),1,0)-Y8))</f>
        <v>0.00055690369330865764</v>
      </c>
      <c r="BG65" s="1" cm="1">
        <f t="array" ref="BG65">SUM($AW65:$BB65*$W8:$AB8*(IF((ROW(AZ65)-$BH$62)=(COLUMN(AZ65)-$BI$62),1,0)-Z8))</f>
        <v>0.0002349102819268569</v>
      </c>
      <c r="BH65" s="1" cm="1">
        <f t="array" ref="BH65">SUM($AW65:$BB65*$W8:$AB8*(IF((ROW(BA65)-$BH$62)=(COLUMN(BA65)-$BI$62),1,0)-AA8))</f>
        <v>7.2291483214680972e-05</v>
      </c>
      <c r="BI65" s="1" cm="1">
        <f t="array" ref="BI65">SUM($AW65:$BB65*$W8:$AB8*(IF((ROW(BB65)-$BH$62)=(COLUMN(BB65)-$BI$62),1,0)-AB8))</f>
        <v>0.0051110137032939814</v>
      </c>
      <c r="BK65">
        <f/>
        <v>0.044331238651623646</v>
      </c>
      <c r="BL65" s="35">
        <f/>
        <v>-0.0072060834169048625</v>
      </c>
      <c r="BM65" s="70">
        <f/>
        <v>0.84732049208501592</v>
      </c>
      <c r="BN65" s="71">
        <f/>
        <v>-0.72056643465597803</v>
      </c>
      <c r="BO65">
        <f/>
        <v>-0.63540606019093027</v>
      </c>
      <c r="BQ65">
        <f/>
        <v>0.0062116439053719911</v>
      </c>
      <c r="BR65">
        <f/>
        <v>-0.0063413534068762793</v>
      </c>
      <c r="BS65" s="37">
        <f/>
        <v>0.01813147660851407</v>
      </c>
      <c r="BT65">
        <f/>
        <v>-0.032273141738382013</v>
      </c>
      <c r="BU65" s="37">
        <f/>
        <v>-0.00017291090080838101</v>
      </c>
      <c r="BV65">
        <f/>
        <v>-0.0021547358408429019</v>
      </c>
      <c r="BX65">
        <f/>
        <v>0.02417020961307768</v>
      </c>
      <c r="BY65">
        <f/>
        <v>-0.04076923098610119</v>
      </c>
    </row>
    <row r="66">
      <c r="AN66">
        <v>1</v>
      </c>
      <c r="AO66">
        <f t="shared" ref="AO66:AP71" si="214">$AO48*1/$AQ$65</f>
        <v>-0.0064529955069345529</v>
      </c>
      <c r="AP66">
        <f>$AO48*1/$AQ$65</f>
        <v>-0.0064529955069345529</v>
      </c>
      <c r="AT66">
        <v>3</v>
      </c>
      <c r="AU66">
        <f/>
        <v>0.004312373256844958</v>
      </c>
      <c r="AW66">
        <f/>
        <v>0.20484841383054311</v>
      </c>
      <c r="AX66">
        <f/>
        <v>0.12644076230554413</v>
      </c>
      <c r="AY66">
        <f/>
        <v>0.13166714015360365</v>
      </c>
      <c r="AZ66">
        <f/>
        <v>-0.033714516224454899</v>
      </c>
      <c r="BA66">
        <f/>
        <v>0.013809069610908057</v>
      </c>
      <c r="BB66">
        <f/>
        <v>0.12745023328037039</v>
      </c>
      <c r="BD66" s="1" cm="1">
        <f t="array" ref="BD66">SUM($AW66:$BB66*$W9:$AB9*(IF((ROW(AW66)-$BH$62)=(COLUMN(AW66)-$BI$62),1,0)-W9))</f>
        <v>-0.054503592878285961</v>
      </c>
      <c r="BE66" s="1" cm="1">
        <f t="array" ref="BE66">SUM($AW66:$BB66*$W9:$AB9*(IF((ROW(AX66)-$BH$62)=(COLUMN(AX66)-$BI$62),1,0)-X9))</f>
        <v>-0.0084987234951503302</v>
      </c>
      <c r="BF66" s="1" cm="1">
        <f t="array" ref="BF66">SUM($AW66:$BB66*$W9:$AB9*(IF((ROW(AY66)-$BH$62)=(COLUMN(AY66)-$BI$62),1,0)-Y9))</f>
        <v>0.14478785940454322</v>
      </c>
      <c r="BG66" s="1" cm="1">
        <f t="array" ref="BG66">SUM($AW66:$BB66*$W9:$AB9*(IF((ROW(AZ66)-$BH$62)=(COLUMN(AZ66)-$BI$62),1,0)-Z9))</f>
        <v>-0.0027698888184570303</v>
      </c>
      <c r="BH66" s="1" cm="1">
        <f t="array" ref="BH66">SUM($AW66:$BB66*$W9:$AB9*(IF((ROW(BA66)-$BH$62)=(COLUMN(BA66)-$BI$62),1,0)-AA9))</f>
        <v>-0.00077136910411901717</v>
      </c>
      <c r="BI66" s="1" cm="1">
        <f t="array" ref="BI66">SUM($AW66:$BB66*$W9:$AB9*(IF((ROW(BB66)-$BH$62)=(COLUMN(BB66)-$BI$62),1,0)-AB9))</f>
        <v>-0.078244285108530875</v>
      </c>
      <c r="BK66">
        <f/>
        <v>-0.35444796891006747</v>
      </c>
      <c r="BL66" s="35">
        <f/>
        <v>0.12142745233592135</v>
      </c>
      <c r="BM66" s="70"/>
      <c r="BN66" s="71"/>
      <c r="BQ66">
        <f/>
        <v>-0.1046704639135642</v>
      </c>
      <c r="BR66">
        <f/>
        <v>0.10685615805561079</v>
      </c>
      <c r="BS66" s="37">
        <f/>
        <v>-0.14496921928421758</v>
      </c>
      <c r="BT66">
        <f/>
        <v>0.25803812136652909</v>
      </c>
      <c r="BU66" s="37">
        <f/>
        <v>-0.00022424340935593782</v>
      </c>
      <c r="BV66">
        <f/>
        <v>-0.0027944178704355331</v>
      </c>
      <c r="BX66">
        <f/>
        <v>-0.24986392660713774</v>
      </c>
      <c r="BY66">
        <f/>
        <v>0.36209986155170432</v>
      </c>
    </row>
    <row r="67">
      <c r="AN67">
        <v>2</v>
      </c>
      <c r="AO67">
        <f t="shared" si="214"/>
        <v>-0.01210896260372879</v>
      </c>
      <c r="AP67">
        <f t="shared" si="214"/>
        <v>-0.01210896260372879</v>
      </c>
      <c r="AT67">
        <v>4</v>
      </c>
      <c r="AU67">
        <f/>
        <v>0.0066127850608825398</v>
      </c>
      <c r="AW67">
        <f/>
        <v>-0.026154831114691312</v>
      </c>
      <c r="AX67">
        <f/>
        <v>-0.016143824217501709</v>
      </c>
      <c r="AY67">
        <f/>
        <v>-0.016811122672009824</v>
      </c>
      <c r="AZ67">
        <f/>
        <v>0.004304634151053705</v>
      </c>
      <c r="BA67">
        <f/>
        <v>-0.0017631275574488481</v>
      </c>
      <c r="BB67">
        <f/>
        <v>-0.016272712415208744</v>
      </c>
      <c r="BD67" s="1" cm="1">
        <f t="array" ref="BD67">SUM($AW67:$BB67*$W10:$AB10*(IF((ROW(AW67)-$BH$62)=(COLUMN(AW67)-$BI$62),1,0)-W10))</f>
        <v>0.0065378965532371155</v>
      </c>
      <c r="BE67" s="1" cm="1">
        <f t="array" ref="BE67">SUM($AW67:$BB67*$W10:$AB10*(IF((ROW(AX67)-$BH$62)=(COLUMN(AX67)-$BI$62),1,0)-X10))</f>
        <v>0.0014984017589937133</v>
      </c>
      <c r="BF67" s="1" cm="1">
        <f t="array" ref="BF67">SUM($AW67:$BB67*$W10:$AB10*(IF((ROW(AY67)-$BH$62)=(COLUMN(AY67)-$BI$62),1,0)-Y10))</f>
        <v>0.0012942581538012685</v>
      </c>
      <c r="BG67" s="1" cm="1">
        <f t="array" ref="BG67">SUM($AW67:$BB67*$W10:$AB10*(IF((ROW(AZ67)-$BH$62)=(COLUMN(AZ67)-$BI$62),1,0)-Z10))</f>
        <v>-0.018262252450949919</v>
      </c>
      <c r="BH67" s="1" cm="1">
        <f t="array" ref="BH67">SUM($AW67:$BB67*$W10:$AB10*(IF((ROW(BA67)-$BH$62)=(COLUMN(BA67)-$BI$62),1,0)-AA10))</f>
        <v>0.00022361721963779716</v>
      </c>
      <c r="BI67" s="1" cm="1">
        <f t="array" ref="BI67">SUM($AW67:$BB67*$W10:$AB10*(IF((ROW(BB67)-$BH$62)=(COLUMN(BB67)-$BI$62),1,0)-AB10))</f>
        <v>0.0087080787652800209</v>
      </c>
      <c r="BK67">
        <f/>
        <v>0.040777450338926366</v>
      </c>
      <c r="BL67" s="35">
        <f/>
        <v>-0.020940240544135555</v>
      </c>
      <c r="BM67" s="70"/>
      <c r="BN67" s="71"/>
      <c r="BQ67">
        <f/>
        <v>0.018050487349044849</v>
      </c>
      <c r="BR67">
        <f/>
        <v>-0.018427411678839288</v>
      </c>
      <c r="BS67" s="37">
        <f/>
        <v>0.016677977188620883</v>
      </c>
      <c r="BT67">
        <f/>
        <v>-0.029685983846738394</v>
      </c>
      <c r="BU67" s="37">
        <f/>
        <v>-0.00034386482316589204</v>
      </c>
      <c r="BV67">
        <f/>
        <v>-0.0042850847194518859</v>
      </c>
      <c r="BX67">
        <f/>
        <v>0.034384599714499843</v>
      </c>
      <c r="BY67">
        <f/>
        <v>-0.05239848024502957</v>
      </c>
    </row>
    <row r="68">
      <c r="AN68">
        <v>3</v>
      </c>
      <c r="AO68">
        <f t="shared" si="214"/>
        <v>-0.025386186560540092</v>
      </c>
      <c r="AP68">
        <f t="shared" si="214"/>
        <v>-0.025386186560540092</v>
      </c>
      <c r="AT68">
        <v>5</v>
      </c>
      <c r="AU68">
        <f/>
        <v>0.0065725218324469816</v>
      </c>
      <c r="AW68">
        <f/>
        <v>0.08681945023454346</v>
      </c>
      <c r="AX68">
        <f/>
        <v>0.053588491437794906</v>
      </c>
      <c r="AY68">
        <f/>
        <v>0.055803550090198627</v>
      </c>
      <c r="AZ68">
        <f/>
        <v>-0.014288984272790791</v>
      </c>
      <c r="BA68">
        <f/>
        <v>0.0058526000248229496</v>
      </c>
      <c r="BB68">
        <f/>
        <v>0.054016328360831291</v>
      </c>
      <c r="BD68" s="1" cm="1">
        <f t="array" ref="BD68">SUM($AW68:$BB68*$W11:$AB11*(IF((ROW(AW68)-$BH$62)=(COLUMN(AW68)-$BI$62),1,0)-W11))</f>
        <v>-0.023320439650179069</v>
      </c>
      <c r="BE68" s="1" cm="1">
        <f t="array" ref="BE68">SUM($AW68:$BB68*$W11:$AB11*(IF((ROW(AX68)-$BH$62)=(COLUMN(AX68)-$BI$62),1,0)-X11))</f>
        <v>-0.0018310528344187521</v>
      </c>
      <c r="BF68" s="1" cm="1">
        <f t="array" ref="BF68">SUM($AW68:$BB68*$W11:$AB11*(IF((ROW(AY68)-$BH$62)=(COLUMN(AY68)-$BI$62),1,0)-Y11))</f>
        <v>-0.0014218132865053193</v>
      </c>
      <c r="BG68" s="1" cm="1">
        <f t="array" ref="BG68">SUM($AW68:$BB68*$W11:$AB11*(IF((ROW(AZ68)-$BH$62)=(COLUMN(AZ68)-$BI$62),1,0)-Z11))</f>
        <v>-0.00039450548997039126</v>
      </c>
      <c r="BH68" s="1" cm="1">
        <f t="array" ref="BH68">SUM($AW68:$BB68*$W11:$AB11*(IF((ROW(BA68)-$BH$62)=(COLUMN(BA68)-$BI$62),1,0)-AA11))</f>
        <v>0.065227157520969928</v>
      </c>
      <c r="BI68" s="1" cm="1">
        <f t="array" ref="BI68">SUM($AW68:$BB68*$W11:$AB11*(IF((ROW(BB68)-$BH$62)=(COLUMN(BB68)-$BI$62),1,0)-AB11))</f>
        <v>-0.038259346259896389</v>
      </c>
      <c r="BK68">
        <f/>
        <v>-0.21931048261515873</v>
      </c>
      <c r="BL68" s="35">
        <f/>
        <v>0.11623199978682752</v>
      </c>
      <c r="BM68" s="70"/>
      <c r="BN68" s="71"/>
      <c r="BQ68">
        <f/>
        <v>-0.10019198381624532</v>
      </c>
      <c r="BR68">
        <f/>
        <v>0.10228415981240822</v>
      </c>
      <c r="BS68" s="37">
        <f/>
        <v>-0.089697987389599915</v>
      </c>
      <c r="BT68">
        <f/>
        <v>0.15965803134383555</v>
      </c>
      <c r="BU68" s="37">
        <f/>
        <v>-0.00034177113528724304</v>
      </c>
      <c r="BV68">
        <f/>
        <v>-0.0042589941474256441</v>
      </c>
      <c r="BX68">
        <f/>
        <v>-0.19023174234113246</v>
      </c>
      <c r="BY68">
        <f/>
        <v>0.25768319700881814</v>
      </c>
    </row>
    <row r="69">
      <c r="AN69">
        <v>4</v>
      </c>
      <c r="AO69">
        <f t="shared" si="214"/>
        <v>-0.049767694712779607</v>
      </c>
      <c r="AP69">
        <f t="shared" si="214"/>
        <v>-0.049767694712779607</v>
      </c>
      <c r="AT69">
        <v>6</v>
      </c>
      <c r="AU69">
        <f/>
        <v>-0.067345657391358699</v>
      </c>
      <c r="AW69">
        <f/>
        <v>-0.13350968316075859</v>
      </c>
      <c r="AX69">
        <f/>
        <v>-0.08240759983615259</v>
      </c>
      <c r="AY69">
        <f/>
        <v>-0.085813884695893086</v>
      </c>
      <c r="AZ69">
        <f/>
        <v>0.021973391420881446</v>
      </c>
      <c r="BA69">
        <f/>
        <v>-0.0090000428805971314</v>
      </c>
      <c r="BB69">
        <f/>
        <v>-0.083065521210738028</v>
      </c>
      <c r="BD69" s="1" cm="1">
        <f t="array" ref="BD69">SUM($AW69:$BB69*$W12:$AB12*(IF((ROW(AW69)-$BH$62)=(COLUMN(AW69)-$BI$62),1,0)-W12))</f>
        <v>0.016332968205365322</v>
      </c>
      <c r="BE69" s="1" cm="1">
        <f t="array" ref="BE69">SUM($AW69:$BB69*$W12:$AB12*(IF((ROW(AX69)-$BH$62)=(COLUMN(AX69)-$BI$62),1,0)-X12))</f>
        <v>0.011612895729447025</v>
      </c>
      <c r="BF69" s="1" cm="1">
        <f t="array" ref="BF69">SUM($AW69:$BB69*$W12:$AB12*(IF((ROW(AY69)-$BH$62)=(COLUMN(AY69)-$BI$62),1,0)-Y12))</f>
        <v>0.011225729263853138</v>
      </c>
      <c r="BG69" s="1" cm="1">
        <f t="array" ref="BG69">SUM($AW69:$BB69*$W12:$AB12*(IF((ROW(AZ69)-$BH$62)=(COLUMN(AZ69)-$BI$62),1,0)-Z12))</f>
        <v>0.009453218226372035</v>
      </c>
      <c r="BH69" s="1" cm="1">
        <f t="array" ref="BH69">SUM($AW69:$BB69*$W12:$AB12*(IF((ROW(BA69)-$BH$62)=(COLUMN(BA69)-$BI$62),1,0)-AA12))</f>
        <v>0.0074762170989314241</v>
      </c>
      <c r="BI69" s="1" cm="1">
        <f t="array" ref="BI69">SUM($AW69:$BB69*$W12:$AB12*(IF((ROW(BB69)-$BH$62)=(COLUMN(BB69)-$BI$62),1,0)-AB12))</f>
        <v>-0.056101028523968935</v>
      </c>
      <c r="BK69">
        <f/>
        <v>0.32896359807520115</v>
      </c>
      <c r="BL69" s="35">
        <f/>
        <v>0.051062002494317769</v>
      </c>
      <c r="BM69" s="70"/>
      <c r="BN69" s="71"/>
      <c r="BQ69">
        <f/>
        <v>-0.044015446150101917</v>
      </c>
      <c r="BR69">
        <f/>
        <v>0.044934562194999639</v>
      </c>
      <c r="BS69" s="37">
        <f/>
        <v>0.13454611161275726</v>
      </c>
      <c r="BT69">
        <f/>
        <v>-0.23948549939874642</v>
      </c>
      <c r="BU69" s="37">
        <f/>
        <v>0.0035019741843506521</v>
      </c>
      <c r="BV69">
        <f/>
        <v>0.043639985989600436</v>
      </c>
      <c r="BX69">
        <f/>
        <v>0.094032639647005992</v>
      </c>
      <c r="BY69">
        <f/>
        <v>-0.15091095121414633</v>
      </c>
    </row>
    <row r="70">
      <c r="AN70">
        <v>5</v>
      </c>
      <c r="AO70">
        <f t="shared" si="214"/>
        <v>-0.042745620038745408</v>
      </c>
      <c r="AP70">
        <f t="shared" si="214"/>
        <v>-0.042745620038745408</v>
      </c>
      <c r="BL70" s="35"/>
      <c r="BM70" s="70"/>
      <c r="BN70" s="71"/>
      <c r="BS70" s="37"/>
      <c r="BU70" s="37"/>
    </row>
    <row r="71">
      <c r="AN71">
        <v>6</v>
      </c>
      <c r="AO71">
        <f t="shared" si="214"/>
        <v>0.02846617558546246</v>
      </c>
      <c r="AP71">
        <f t="shared" si="214"/>
        <v>0.02846617558546246</v>
      </c>
      <c r="BK71" s="23" t="s">
        <v>194</v>
      </c>
      <c r="BL71" s="35"/>
      <c r="BM71" s="70"/>
      <c r="BN71" s="71"/>
      <c r="BS71" s="37"/>
      <c r="BU71" s="37"/>
      <c r="BX71" t="s">
        <v>219</v>
      </c>
    </row>
    <row r="72">
      <c r="AU72" s="23" t="s">
        <v>194</v>
      </c>
      <c r="BD72" t="s">
        <v>220</v>
      </c>
      <c r="BK72" t="s">
        <v>221</v>
      </c>
      <c r="BL72" s="35" t="s">
        <v>222</v>
      </c>
      <c r="BM72" s="70" t="s">
        <v>223</v>
      </c>
      <c r="BN72" s="71" t="s">
        <v>224</v>
      </c>
      <c r="BO72" t="s">
        <v>225</v>
      </c>
      <c r="BS72" s="37"/>
      <c r="BU72" s="37"/>
      <c r="BX72" s="5" t="s">
        <v>194</v>
      </c>
    </row>
    <row r="73">
      <c r="AN73" s="7"/>
      <c r="AO73" s="18" t="s">
        <v>82</v>
      </c>
      <c r="AP73" s="9"/>
      <c r="AQ73" t="s">
        <v>77</v>
      </c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5" t="s">
        <v>232</v>
      </c>
      <c r="BM73" s="70" t="s">
        <v>233</v>
      </c>
      <c r="BN73" s="71" t="s">
        <v>234</v>
      </c>
      <c r="BO73" t="s">
        <v>235</v>
      </c>
      <c r="BQ73" t="s">
        <v>236</v>
      </c>
      <c r="BS73" s="37" t="s">
        <v>237</v>
      </c>
      <c r="BU73" s="37" t="s">
        <v>238</v>
      </c>
      <c r="BX73" t="s">
        <v>239</v>
      </c>
    </row>
    <row r="74">
      <c r="AN74" s="11"/>
      <c r="AO74">
        <v>1</v>
      </c>
      <c r="AP74" s="12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5">
        <v>1</v>
      </c>
      <c r="BM74" s="70">
        <v>1</v>
      </c>
      <c r="BN74" s="71">
        <v>1</v>
      </c>
      <c r="BO74">
        <v>1</v>
      </c>
      <c r="BQ74">
        <v>1</v>
      </c>
      <c r="BR74">
        <v>2</v>
      </c>
      <c r="BS74" s="37">
        <v>1</v>
      </c>
      <c r="BT74">
        <v>2</v>
      </c>
      <c r="BU74" s="37">
        <v>1</v>
      </c>
      <c r="BV74">
        <v>2</v>
      </c>
      <c r="BX74">
        <v>1</v>
      </c>
      <c r="BY74">
        <v>2</v>
      </c>
    </row>
    <row r="75">
      <c r="AN75" s="11">
        <v>1</v>
      </c>
      <c r="AO75" s="19">
        <f t="shared" ref="AO75:AP80" si="215">AQ57+AO66</f>
        <v>-0.0064529955069345529</v>
      </c>
      <c r="AP75" s="16">
        <f>AR57+AP66</f>
        <v>0.31328876835497849</v>
      </c>
      <c r="AT75">
        <v>1</v>
      </c>
      <c r="AU75" cm="1">
        <f t="array" ref="AU75:AU80">MMULT(TRANSPOSE(W17:AB22),AV53:AV58)</f>
        <v>0.026357043105457178</v>
      </c>
      <c r="AW75" cm="1">
        <f t="array" ref="AW75:BB80">MMULT(AV53:AV58,TRANSPOSE(_xlfn.ANCHORARRAY(N17)))</f>
        <v>1.2159011399069068</v>
      </c>
      <c r="AX75">
        <f/>
        <v>1.0986203152964762</v>
      </c>
      <c r="AY75">
        <f/>
        <v>1.1679056707252835</v>
      </c>
      <c r="AZ75">
        <f/>
        <v>0.32633396081849503</v>
      </c>
      <c r="BA75">
        <f/>
        <v>0.87637301099802345</v>
      </c>
      <c r="BB75">
        <f/>
        <v>0.66275563629108669</v>
      </c>
      <c r="BD75" s="1" cm="1">
        <f t="array" ref="BD75">SUM($AW75:$BB75*$W17:$AB17*(IF((ROW(AW75)-$BH$73)=(COLUMN(AW75)-$BI$73),1,0)-W17))</f>
        <v>0.68847160587846201</v>
      </c>
      <c r="BE75" s="1" cm="1">
        <f t="array" ref="BE75">SUM($AW75:$BB75*$W17:$AB17*(IF((ROW(AX75)-$BH$73)=(COLUMN(AX75)-$BI$73),1,0)-X17))</f>
        <v>-0.10356056083006387</v>
      </c>
      <c r="BF75" s="1" cm="1">
        <f t="array" ref="BF75">SUM($AW75:$BB75*$W17:$AB17*(IF((ROW(AY75)-$BH$73)=(COLUMN(AY75)-$BI$73),1,0)-Y17))</f>
        <v>-0.094769836641922858</v>
      </c>
      <c r="BG75" s="1" cm="1">
        <f t="array" ref="BG75">SUM($AW75:$BB75*$W17:$AB17*(IF((ROW(AZ75)-$BH$73)=(COLUMN(AZ75)-$BI$73),1,0)-Z17))</f>
        <v>-0.18873575254045838</v>
      </c>
      <c r="BH75" s="1" cm="1">
        <f t="array" ref="BH75">SUM($AW75:$BB75*$W17:$AB17*(IF((ROW(BA75)-$BH$73)=(COLUMN(BA75)-$BI$73),1,0)-AA17))</f>
        <v>-0.095501470637713873</v>
      </c>
      <c r="BI75" s="1" cm="1">
        <f t="array" ref="BI75">SUM($AW75:$BB75*$W17:$AB17*(IF((ROW(BB75)-$BH$73)=(COLUMN(BB75)-$BI$73),1,0)-AB17))</f>
        <v>-0.20590398522830311</v>
      </c>
      <c r="BK75" cm="1">
        <f t="array" ref="BK75:BK80">(1/SQRT($G$2))*MMULT(TRANSPOSE($BD$75:$BI$80),_xlfn.ANCHORARRAY(J17))</f>
        <v>-0.91866696166383832</v>
      </c>
      <c r="BL75" s="35" cm="1">
        <f t="array" ref="BL75:BL80">(1/SQRT($G$2))*MMULT($BD$75:$BI$80,_xlfn.ANCHORARRAY(L17))</f>
        <v>0.11509168136664792</v>
      </c>
      <c r="BM75" s="70" cm="1">
        <f t="array" ref="BM75:BM76">C31:C32-$AG$39*MMULT(TRANSPOSE(_xlfn.ANCHORARRAY($C$4)),_xlfn.ANCHORARRAY(BL75))</f>
        <v>-0.63282271546187896</v>
      </c>
      <c r="BN75" s="71" cm="1">
        <f t="array" ref="BN75:BN76">E31:E32-$AG$39*MMULT(TRANSPOSE(_xlfn.ANCHORARRAY($C$4)),_xlfn.ANCHORARRAY(BK75))</f>
        <v>0.41705307719399171</v>
      </c>
      <c r="BO75" cm="1">
        <f t="array" ref="BO75:BO76">G31:G32-$AG$39*MMULT(TRANSPOSE(_xlfn.ANCHORARRAY($C$4)),_xlfn.ANCHORARRAY(AU75))</f>
        <v>0.88473745026383188</v>
      </c>
      <c r="BQ75" cm="1">
        <f t="array" ref="BQ75:BR80">MMULT(_xlfn.ANCHORARRAY(BL75),TRANSPOSE(C31:C32))</f>
        <v>-0.05604964882555754</v>
      </c>
      <c r="BR75">
        <f/>
        <v>0.027391820165262204</v>
      </c>
      <c r="BS75" s="37" cm="1">
        <f t="array" ref="BS75:BT80">MMULT(_xlfn.ANCHORARRAY(BK75),TRANSPOSE(E31:E32))</f>
        <v>-0.23058540737762342</v>
      </c>
      <c r="BT75">
        <f/>
        <v>0.075330690856434748</v>
      </c>
      <c r="BU75" s="37" cm="1">
        <f t="array" ref="BU75:BV80">MMULT(_xlfn.ANCHORARRAY(AU75),TRANSPOSE(G31:G32))</f>
        <v>0.02490740573465703</v>
      </c>
      <c r="BV75">
        <f/>
        <v>0.011465313750873873</v>
      </c>
      <c r="BX75" cm="1">
        <f t="array" ref="BX75:BY80">_xlfn.ANCHORARRAY(BQ75)+_xlfn.ANCHORARRAY(BS75)+_xlfn.ANCHORARRAY(BU75)</f>
        <v>-0.26172765046852392</v>
      </c>
      <c r="BY75">
        <f/>
        <v>0.11418782477257082</v>
      </c>
    </row>
    <row r="76">
      <c r="AN76" s="11">
        <v>2</v>
      </c>
      <c r="AO76" s="19">
        <f t="shared" si="215"/>
        <v>-0.010483436297376914</v>
      </c>
      <c r="AP76" s="16">
        <f t="shared" si="215"/>
        <v>-0.01210896260372879</v>
      </c>
      <c r="AT76">
        <v>2</v>
      </c>
      <c r="AU76">
        <f/>
        <v>0.021503393423384733</v>
      </c>
      <c r="AW76">
        <f/>
        <v>-0.020795057937296531</v>
      </c>
      <c r="AX76">
        <f/>
        <v>-0.018789252150409493</v>
      </c>
      <c r="AY76">
        <f/>
        <v>-0.019974211135198781</v>
      </c>
      <c r="AZ76">
        <f/>
        <v>-0.0055811557365984758</v>
      </c>
      <c r="BA76">
        <f/>
        <v>-0.014988247761476899</v>
      </c>
      <c r="BB76">
        <f/>
        <v>-0.01133483751483132</v>
      </c>
      <c r="BD76" s="1" cm="1">
        <f t="array" ref="BD76">SUM($AW76:$BB76*$W18:$AB18*(IF((ROW(AW76)-$BH$73)=(COLUMN(AW76)-$BI$73),1,0)-W18))</f>
        <v>0.0018779766015391817</v>
      </c>
      <c r="BE76" s="1" cm="1">
        <f t="array" ref="BE76">SUM($AW76:$BB76*$W18:$AB18*(IF((ROW(AX76)-$BH$73)=(COLUMN(AX76)-$BI$73),1,0)-X18))</f>
        <v>-0.011850753781692556</v>
      </c>
      <c r="BF76" s="1" cm="1">
        <f t="array" ref="BF76">SUM($AW76:$BB76*$W18:$AB18*(IF((ROW(AY76)-$BH$73)=(COLUMN(AY76)-$BI$73),1,0)-Y18))</f>
        <v>0.0014776682127241817</v>
      </c>
      <c r="BG76" s="1" cm="1">
        <f t="array" ref="BG76">SUM($AW76:$BB76*$W18:$AB18*(IF((ROW(AZ76)-$BH$73)=(COLUMN(AZ76)-$BI$73),1,0)-Z18))</f>
        <v>0.0033228395460404084</v>
      </c>
      <c r="BH76" s="1" cm="1">
        <f t="array" ref="BH76">SUM($AW76:$BB76*$W18:$AB18*(IF((ROW(BA76)-$BH$73)=(COLUMN(BA76)-$BI$73),1,0)-AA18))</f>
        <v>0.0014910963689097887</v>
      </c>
      <c r="BI76" s="1" cm="1">
        <f t="array" ref="BI76">SUM($AW76:$BB76*$W18:$AB18*(IF((ROW(BB76)-$BH$73)=(COLUMN(BB76)-$BI$73),1,0)-AB18))</f>
        <v>0.0036811730524789958</v>
      </c>
      <c r="BK76">
        <f/>
        <v>0.19030516682328164</v>
      </c>
      <c r="BL76" s="35">
        <f/>
        <v>-0.0032407574949509465</v>
      </c>
      <c r="BM76" s="70">
        <f/>
        <v>0.1790529677176855</v>
      </c>
      <c r="BN76" s="71">
        <f/>
        <v>0.0049520330963658543</v>
      </c>
      <c r="BO76">
        <f/>
        <v>0.41467248208757262</v>
      </c>
      <c r="BQ76">
        <f/>
        <v>0.0015782489000411108</v>
      </c>
      <c r="BR76">
        <f/>
        <v>-0.00077130028379832527</v>
      </c>
      <c r="BS76" s="37">
        <f/>
        <v>0.047766596872643688</v>
      </c>
      <c r="BT76">
        <f/>
        <v>-0.015605023679509094</v>
      </c>
      <c r="BU76" s="37">
        <f/>
        <v>0.02032070678509857</v>
      </c>
      <c r="BV76">
        <f/>
        <v>0.0093539761391723594</v>
      </c>
      <c r="BX76">
        <f/>
        <v>0.069665552557783367</v>
      </c>
      <c r="BY76">
        <f/>
        <v>-0.0070223478241350588</v>
      </c>
    </row>
    <row r="77">
      <c r="AN77" s="11">
        <v>3</v>
      </c>
      <c r="AO77" s="19">
        <f t="shared" si="215"/>
        <v>0.24620080458323418</v>
      </c>
      <c r="AP77" s="16">
        <f t="shared" si="215"/>
        <v>-0.025386186560540092</v>
      </c>
      <c r="AT77">
        <v>3</v>
      </c>
      <c r="AU77">
        <f/>
        <v>0.018229767718299792</v>
      </c>
      <c r="AW77">
        <f/>
        <v>0.54211110137891438</v>
      </c>
      <c r="AX77">
        <f/>
        <v>0.48982129350435666</v>
      </c>
      <c r="AY77">
        <f/>
        <v>0.52071225914965247</v>
      </c>
      <c r="AZ77">
        <f/>
        <v>0.14549641998871926</v>
      </c>
      <c r="BA77">
        <f/>
        <v>0.39073204442202297</v>
      </c>
      <c r="BB77">
        <f/>
        <v>0.2954904606490889</v>
      </c>
      <c r="BD77" s="1" cm="1">
        <f t="array" ref="BD77">SUM($AW77:$BB77*$W19:$AB19*(IF((ROW(AW77)-$BH$73)=(COLUMN(AW77)-$BI$73),1,0)-W19))</f>
        <v>-0.04754604290646923</v>
      </c>
      <c r="BE77" s="1" cm="1">
        <f t="array" ref="BE77">SUM($AW77:$BB77*$W19:$AB19*(IF((ROW(AX77)-$BH$73)=(COLUMN(AX77)-$BI$73),1,0)-X19))</f>
        <v>-0.041112197382256993</v>
      </c>
      <c r="BF77" s="1" cm="1">
        <f t="array" ref="BF77">SUM($AW77:$BB77*$W19:$AB19*(IF((ROW(AY77)-$BH$73)=(COLUMN(AY77)-$BI$73),1,0)-Y19))</f>
        <v>0.31147598676280241</v>
      </c>
      <c r="BG77" s="1" cm="1">
        <f t="array" ref="BG77">SUM($AW77:$BB77*$W19:$AB19*(IF((ROW(AZ77)-$BH$73)=(COLUMN(AZ77)-$BI$73),1,0)-Z19))</f>
        <v>-0.087751532631288723</v>
      </c>
      <c r="BH77" s="1" cm="1">
        <f t="array" ref="BH77">SUM($AW77:$BB77*$W19:$AB19*(IF((ROW(BA77)-$BH$73)=(COLUMN(BA77)-$BI$73),1,0)-AA19))</f>
        <v>-0.037112766603019882</v>
      </c>
      <c r="BI77" s="1" cm="1">
        <f t="array" ref="BI77">SUM($AW77:$BB77*$W19:$AB19*(IF((ROW(BB77)-$BH$73)=(COLUMN(BB77)-$BI$73),1,0)-AB19))</f>
        <v>-0.09795344723976758</v>
      </c>
      <c r="BK77">
        <f/>
        <v>-0.45968227695531994</v>
      </c>
      <c r="BL77" s="35">
        <f/>
        <v>0.10836094590669759</v>
      </c>
      <c r="BM77" s="70"/>
      <c r="BN77" s="71"/>
      <c r="BQ77">
        <f/>
        <v>-0.052771780656561726</v>
      </c>
      <c r="BR77">
        <f/>
        <v>0.025789905125794026</v>
      </c>
      <c r="BS77" s="37">
        <f/>
        <v>-0.11538025151578531</v>
      </c>
      <c r="BT77">
        <f/>
        <v>0.037693946710336233</v>
      </c>
      <c r="BU77" s="37">
        <f/>
        <v>0.017227130493793302</v>
      </c>
      <c r="BV77">
        <f/>
        <v>0.0079299489574604087</v>
      </c>
      <c r="BX77">
        <f/>
        <v>-0.15092490167855374</v>
      </c>
      <c r="BY77">
        <f/>
        <v>0.071413800793590665</v>
      </c>
    </row>
    <row r="78">
      <c r="AN78" s="11">
        <v>4</v>
      </c>
      <c r="AO78" s="19">
        <f t="shared" si="215"/>
        <v>-0.008075974467619991</v>
      </c>
      <c r="AP78" s="16">
        <f t="shared" si="215"/>
        <v>-0.049767694712779607</v>
      </c>
      <c r="AT78">
        <v>4</v>
      </c>
      <c r="AU78">
        <f/>
        <v>0.05683048844682824</v>
      </c>
      <c r="AW78">
        <f/>
        <v>-0.090954746738681314</v>
      </c>
      <c r="AX78">
        <f/>
        <v>-0.082181625841235534</v>
      </c>
      <c r="AY78">
        <f/>
        <v>-0.087364474799012784</v>
      </c>
      <c r="AZ78">
        <f/>
        <v>-0.024411213859664181</v>
      </c>
      <c r="BA78">
        <f/>
        <v>-0.065556551143659311</v>
      </c>
      <c r="BB78">
        <f/>
        <v>-0.049577033090950677</v>
      </c>
      <c r="BD78" s="1" cm="1">
        <f t="array" ref="BD78">SUM($AW78:$BB78*$W20:$AB20*(IF((ROW(AW78)-$BH$73)=(COLUMN(AW78)-$BI$73),1,0)-W20))</f>
        <v>0.0095339544822625431</v>
      </c>
      <c r="BE78" s="1" cm="1">
        <f t="array" ref="BE78">SUM($AW78:$BB78*$W20:$AB20*(IF((ROW(AX78)-$BH$73)=(COLUMN(AX78)-$BI$73),1,0)-X20))</f>
        <v>0.0088153510980452966</v>
      </c>
      <c r="BF78" s="1" cm="1">
        <f t="array" ref="BF78">SUM($AW78:$BB78*$W20:$AB20*(IF((ROW(AY78)-$BH$73)=(COLUMN(AY78)-$BI$73),1,0)-Y20))</f>
        <v>0.0082986812051554382</v>
      </c>
      <c r="BG78" s="1" cm="1">
        <f t="array" ref="BG78">SUM($AW78:$BB78*$W20:$AB20*(IF((ROW(AZ78)-$BH$73)=(COLUMN(AZ78)-$BI$73),1,0)-Z20))</f>
        <v>-0.049065714208269863</v>
      </c>
      <c r="BH78" s="1" cm="1">
        <f t="array" ref="BH78">SUM($AW78:$BB78*$W20:$AB20*(IF((ROW(BA78)-$BH$73)=(COLUMN(BA78)-$BI$73),1,0)-AA20))</f>
        <v>0.0083422496566756196</v>
      </c>
      <c r="BI78" s="1" cm="1">
        <f t="array" ref="BI78">SUM($AW78:$BB78*$W20:$AB20*(IF((ROW(BB78)-$BH$73)=(COLUMN(BB78)-$BI$73),1,0)-AB20))</f>
        <v>0.014075477766130969</v>
      </c>
      <c r="BK78">
        <f/>
        <v>0.42271461240709113</v>
      </c>
      <c r="BL78" s="35">
        <f/>
        <v>0.014505308732323551</v>
      </c>
      <c r="BM78" s="70"/>
      <c r="BN78" s="71"/>
      <c r="BQ78">
        <f/>
        <v>-0.0070640853526415691</v>
      </c>
      <c r="BR78">
        <f/>
        <v>0.0034522634782930047</v>
      </c>
      <c r="BS78" s="37">
        <f/>
        <v>0.10610136771417987</v>
      </c>
      <c r="BT78">
        <f/>
        <v>-0.034662598217381477</v>
      </c>
      <c r="BU78" s="37">
        <f/>
        <v>0.053704811582252682</v>
      </c>
      <c r="BV78">
        <f/>
        <v>0.024721262474370283</v>
      </c>
      <c r="BX78">
        <f/>
        <v>0.15274209394379099</v>
      </c>
      <c r="BY78">
        <f/>
        <v>-0.0064890722647181868</v>
      </c>
    </row>
    <row r="79">
      <c r="AN79" s="11">
        <v>5</v>
      </c>
      <c r="AO79" s="19">
        <f t="shared" si="215"/>
        <v>0.10893430301453738</v>
      </c>
      <c r="AP79" s="16">
        <f t="shared" si="215"/>
        <v>-0.042745620038745408</v>
      </c>
      <c r="AT79">
        <v>5</v>
      </c>
      <c r="AU79">
        <f/>
        <v>0.018498709272603608</v>
      </c>
      <c r="AW79">
        <f/>
        <v>0.1190925104588392</v>
      </c>
      <c r="AX79">
        <f/>
        <v>0.10760533656523763</v>
      </c>
      <c r="AY79">
        <f/>
        <v>0.11439155186287389</v>
      </c>
      <c r="AZ79">
        <f/>
        <v>0.031963067856673431</v>
      </c>
      <c r="BA79">
        <f/>
        <v>0.085837128161683734</v>
      </c>
      <c r="BB79">
        <f/>
        <v>0.064914185829856141</v>
      </c>
      <c r="BD79" s="1" cm="1">
        <f t="array" ref="BD79">SUM($AW79:$BB79*$W21:$AB21*(IF((ROW(AW79)-$BH$73)=(COLUMN(AW79)-$BI$73),1,0)-W21))</f>
        <v>-0.010160057974535647</v>
      </c>
      <c r="BE79" s="1" cm="1">
        <f t="array" ref="BE79">SUM($AW79:$BB79*$W21:$AB21*(IF((ROW(AX79)-$BH$73)=(COLUMN(AX79)-$BI$73),1,0)-X21))</f>
        <v>-0.0087047600508379421</v>
      </c>
      <c r="BF79" s="1" cm="1">
        <f t="array" ref="BF79">SUM($AW79:$BB79*$W21:$AB21*(IF((ROW(AY79)-$BH$73)=(COLUMN(AY79)-$BI$73),1,0)-Y21))</f>
        <v>-0.007726994771244792</v>
      </c>
      <c r="BG79" s="1" cm="1">
        <f t="array" ref="BG79">SUM($AW79:$BB79*$W21:$AB21*(IF((ROW(AZ79)-$BH$73)=(COLUMN(AZ79)-$BI$73),1,0)-Z21))</f>
        <v>-0.019492956563855503</v>
      </c>
      <c r="BH79" s="1" cm="1">
        <f t="array" ref="BH79">SUM($AW79:$BB79*$W21:$AB21*(IF((ROW(BA79)-$BH$73)=(COLUMN(BA79)-$BI$73),1,0)-AA21))</f>
        <v>0.067995924302151733</v>
      </c>
      <c r="BI79" s="1" cm="1">
        <f t="array" ref="BI79">SUM($AW79:$BB79*$W21:$AB21*(IF((ROW(BB79)-$BH$73)=(COLUMN(BB79)-$BI$73),1,0)-AB21))</f>
        <v>-0.021911154941677856</v>
      </c>
      <c r="BK79">
        <f/>
        <v>0.010122283958648559</v>
      </c>
      <c r="BL79" s="35">
        <f/>
        <v>0.023646385450222379</v>
      </c>
      <c r="BM79" s="70"/>
      <c r="BN79" s="71"/>
      <c r="BQ79">
        <f/>
        <v>-0.011515789714258299</v>
      </c>
      <c r="BR79">
        <f/>
        <v>0.0056278397371529263</v>
      </c>
      <c r="BS79" s="37">
        <f/>
        <v>0.0025406932736207885</v>
      </c>
      <c r="BT79">
        <f/>
        <v>-0.00083002728460918193</v>
      </c>
      <c r="BU79" s="37">
        <f/>
        <v>0.017481280262610407</v>
      </c>
      <c r="BV79">
        <f/>
        <v>0.0080469385335825688</v>
      </c>
      <c r="BX79">
        <f/>
        <v>0.0085061838219728965</v>
      </c>
      <c r="BY79">
        <f/>
        <v>0.012844750986126313</v>
      </c>
    </row>
    <row r="80">
      <c r="AN80" s="13">
        <v>6</v>
      </c>
      <c r="AO80" s="20">
        <f t="shared" si="215"/>
        <v>0.02846617558546246</v>
      </c>
      <c r="AP80" s="17">
        <f t="shared" si="215"/>
        <v>-0.44479059412534477</v>
      </c>
      <c r="AT80">
        <v>6</v>
      </c>
      <c r="AU80">
        <f/>
        <v>0.064548600909943854</v>
      </c>
      <c r="AW80">
        <f/>
        <v>-0.76364478714291195</v>
      </c>
      <c r="AX80">
        <f/>
        <v>-0.68998675080581751</v>
      </c>
      <c r="AY80">
        <f/>
        <v>-0.73350130866091046</v>
      </c>
      <c r="AZ80">
        <f/>
        <v>-0.20495352777267958</v>
      </c>
      <c r="BA80">
        <f/>
        <v>-0.55040468297662537</v>
      </c>
      <c r="BB80">
        <f/>
        <v>-0.41624262877327461</v>
      </c>
      <c r="BD80" s="1" cm="1">
        <f t="array" ref="BD80">SUM($AW80:$BB80*$W22:$AB22*(IF((ROW(AW80)-$BH$73)=(COLUMN(AW80)-$BI$73),1,0)-W22))</f>
        <v>0.084448667465214705</v>
      </c>
      <c r="BE80" s="1" cm="1">
        <f t="array" ref="BE80">SUM($AW80:$BB80*$W22:$AB22*(IF((ROW(AX80)-$BH$73)=(COLUMN(AX80)-$BI$73),1,0)-X22))</f>
        <v>0.079986921782222067</v>
      </c>
      <c r="BF80" s="1" cm="1">
        <f t="array" ref="BF80">SUM($AW80:$BB80*$W22:$AB22*(IF((ROW(AY80)-$BH$73)=(COLUMN(AY80)-$BI$73),1,0)-Y22))</f>
        <v>0.076709647683251156</v>
      </c>
      <c r="BG80" s="1" cm="1">
        <f t="array" ref="BG80">SUM($AW80:$BB80*$W22:$AB22*(IF((ROW(AZ80)-$BH$73)=(COLUMN(AZ80)-$BI$73),1,0)-Z22))</f>
        <v>0.10615796659357367</v>
      </c>
      <c r="BH80" s="1" cm="1">
        <f t="array" ref="BH80">SUM($AW80:$BB80*$W22:$AB22*(IF((ROW(BA80)-$BH$73)=(COLUMN(BA80)-$BI$73),1,0)-AA22))</f>
        <v>0.076988379874896928</v>
      </c>
      <c r="BI80" s="1" cm="1">
        <f t="array" ref="BI80">SUM($AW80:$BB80*$W22:$AB22*(IF((ROW(BB80)-$BH$73)=(COLUMN(BB80)-$BI$73),1,0)-AB22))</f>
        <v>-0.42429158339915857</v>
      </c>
      <c r="BK80">
        <f/>
        <v>0.75520717543013705</v>
      </c>
      <c r="BL80" s="35">
        <f/>
        <v>0.16693164798021198</v>
      </c>
      <c r="BM80" s="70"/>
      <c r="BN80" s="71"/>
      <c r="BQ80">
        <f/>
        <v>-0.08129571256636324</v>
      </c>
      <c r="BR80">
        <f/>
        <v>0.039729732219290451</v>
      </c>
      <c r="BS80" s="37">
        <f/>
        <v>0.18955700103296441</v>
      </c>
      <c r="BT80">
        <f/>
        <v>-0.061926988385271241</v>
      </c>
      <c r="BU80" s="37">
        <f/>
        <v>0.060998427859896939</v>
      </c>
      <c r="BV80">
        <f/>
        <v>0.028078641395825575</v>
      </c>
      <c r="BX80">
        <f/>
        <v>0.16925971632649811</v>
      </c>
      <c r="BY80">
        <f/>
        <v>0.005881385229844785</v>
      </c>
    </row>
    <row r="82">
      <c r="BV82" t="s">
        <v>219</v>
      </c>
      <c r="BX82" t="s">
        <v>240</v>
      </c>
      <c r="CA82" s="66" t="s">
        <v>58</v>
      </c>
      <c r="CB82" s="9"/>
      <c r="CC82" t="s">
        <v>219</v>
      </c>
    </row>
    <row r="83">
      <c r="BX83" t="s">
        <v>239</v>
      </c>
      <c r="CA83" s="11" t="s">
        <v>159</v>
      </c>
      <c r="CB83" s="12"/>
    </row>
    <row r="84">
      <c r="BX84">
        <v>1</v>
      </c>
      <c r="BY84">
        <v>2</v>
      </c>
      <c r="CA84" s="11">
        <v>1</v>
      </c>
      <c r="CB84" s="12">
        <v>2</v>
      </c>
    </row>
    <row r="85">
      <c r="BW85">
        <v>1</v>
      </c>
      <c r="BX85" cm="1">
        <f t="array" ref="BX85:BY90">_xlfn.ANCHORARRAY(BX64)+_xlfn.ANCHORARRAY(BX75)</f>
        <v>-0.18900722837094228</v>
      </c>
      <c r="BY85">
        <f/>
        <v>0.018920316926388459</v>
      </c>
      <c r="CA85" s="68" cm="1">
        <f t="array" ref="CA85:CB90">_xlfn.ANCHORARRAY(AU35)+_xlfn.ANCHORARRAY(BX85)</f>
        <v>-0.19032161206009576</v>
      </c>
      <c r="CB85" s="16">
        <f/>
        <v>0.33708155385758964</v>
      </c>
    </row>
    <row r="86">
      <c r="BW86">
        <v>2</v>
      </c>
      <c r="BX86">
        <f/>
        <v>0.093835762170861051</v>
      </c>
      <c r="BY86">
        <f/>
        <v>-0.047791578810236247</v>
      </c>
      <c r="CA86" s="68">
        <f/>
        <v>0.07633427249813525</v>
      </c>
      <c r="CB86" s="16">
        <f/>
        <v>-0.041357579773107271</v>
      </c>
    </row>
    <row r="87">
      <c r="BW87">
        <v>3</v>
      </c>
      <c r="BX87">
        <f/>
        <v>-0.40078882828569151</v>
      </c>
      <c r="BY87">
        <f/>
        <v>0.43351366234529498</v>
      </c>
      <c r="CA87" s="68">
        <f/>
        <v>-0.15458802370245733</v>
      </c>
      <c r="CB87" s="16">
        <f/>
        <v>0.40812747578475489</v>
      </c>
    </row>
    <row r="88">
      <c r="BW88">
        <v>4</v>
      </c>
      <c r="BX88">
        <f/>
        <v>0.18712669365829082</v>
      </c>
      <c r="BY88">
        <f/>
        <v>-0.058887552509747754</v>
      </c>
      <c r="CA88" s="68">
        <f/>
        <v>0.15659341682569333</v>
      </c>
      <c r="CB88" s="16">
        <f/>
        <v>-0.06192944929517151</v>
      </c>
    </row>
    <row r="89">
      <c r="BW89">
        <v>5</v>
      </c>
      <c r="BX89">
        <f/>
        <v>-0.18172555851915956</v>
      </c>
      <c r="BY89">
        <f/>
        <v>0.27052794799494445</v>
      </c>
      <c r="CA89" s="68">
        <f/>
        <v>-0.072791255504622177</v>
      </c>
      <c r="CB89" s="16">
        <f/>
        <v>0.22778232795619904</v>
      </c>
    </row>
    <row r="90">
      <c r="BW90">
        <v>6</v>
      </c>
      <c r="BX90">
        <f/>
        <v>0.26329235597350409</v>
      </c>
      <c r="BY90">
        <f/>
        <v>-0.14502956598430156</v>
      </c>
      <c r="CA90" s="69">
        <f/>
        <v>0.11984531242810692</v>
      </c>
      <c r="CB90" s="17">
        <f/>
        <v>-0.2470817801968565</v>
      </c>
    </row>
    <row r="91">
      <c r="CA91" t="s">
        <v>241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revision>2</cp:revision>
  <dcterms:created xsi:type="dcterms:W3CDTF">2026-04-14T05:22:34Z</dcterms:created>
  <dcterms:modified xsi:type="dcterms:W3CDTF">2026-06-12T11:22:06Z</dcterms:modified>
</cp:coreProperties>
</file>