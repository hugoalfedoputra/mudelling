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iskE\SKRIPSI-CODE\skripsi-code\ai\"/>
    </mc:Choice>
  </mc:AlternateContent>
  <xr:revisionPtr revIDLastSave="0" documentId="13_ncr:1_{F2856E7A-625B-4CB1-8F92-A2F0B719A0E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" sheetId="1" r:id="rId1"/>
    <sheet name="FRONTEND" sheetId="2" r:id="rId2"/>
    <sheet name="CNN-BE" sheetId="12" r:id="rId3"/>
    <sheet name="GRU-BE" sheetId="4" r:id="rId4"/>
    <sheet name="ATTN-BE" sheetId="5" r:id="rId5"/>
    <sheet name="EVAL" sheetId="6" r:id="rId6"/>
    <sheet name="||" sheetId="7" r:id="rId7"/>
    <sheet name="CONVTEST" sheetId="8" r:id="rId8"/>
    <sheet name="GRU" sheetId="9" r:id="rId9"/>
    <sheet name="LMSPEC" sheetId="10" r:id="rId10"/>
    <sheet name="PEMATRX" sheetId="11" r:id="rId11"/>
    <sheet name="CNN-BE2" sheetId="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1" i="12" l="1" a="1"/>
  <c r="V21" i="12" s="1"/>
  <c r="W21" i="12" a="1"/>
  <c r="W21" i="12" s="1"/>
  <c r="U21" i="12" a="1"/>
  <c r="U21" i="12" s="1"/>
  <c r="M15" i="12" a="1"/>
  <c r="M15" i="12" s="1"/>
  <c r="M8" i="12"/>
  <c r="M9" i="12"/>
  <c r="M10" i="12"/>
  <c r="M7" i="12"/>
  <c r="I49" i="12" a="1"/>
  <c r="I49" i="12" s="1"/>
  <c r="I47" i="12" a="1"/>
  <c r="I47" i="12" s="1"/>
  <c r="J36" i="12"/>
  <c r="I36" i="12"/>
  <c r="J42" i="12"/>
  <c r="I42" i="12"/>
  <c r="AJ63" i="12" a="1"/>
  <c r="AJ63" i="12" s="1"/>
  <c r="AE41" i="12"/>
  <c r="AC50" i="12" s="1"/>
  <c r="AD41" i="12"/>
  <c r="AB50" i="12" s="1"/>
  <c r="AB41" i="12"/>
  <c r="AC41" i="12" s="1"/>
  <c r="AA50" i="12" s="1"/>
  <c r="AD40" i="12"/>
  <c r="AB49" i="12" s="1"/>
  <c r="AB40" i="12"/>
  <c r="AE39" i="12"/>
  <c r="AC48" i="12" s="1"/>
  <c r="AD39" i="12"/>
  <c r="AB48" i="12" s="1"/>
  <c r="AB39" i="12"/>
  <c r="AC39" i="12" s="1"/>
  <c r="AA48" i="12" s="1"/>
  <c r="AD38" i="12"/>
  <c r="AB47" i="12" s="1"/>
  <c r="AB38" i="12"/>
  <c r="AC38" i="12" s="1"/>
  <c r="AA47" i="12" s="1"/>
  <c r="AL37" i="12" a="1"/>
  <c r="AL37" i="12" s="1"/>
  <c r="AG37" i="12"/>
  <c r="AE46" i="12" s="1"/>
  <c r="AE37" i="12"/>
  <c r="AC46" i="12" s="1"/>
  <c r="AB37" i="12"/>
  <c r="AF37" i="12" s="1"/>
  <c r="AD46" i="12" s="1"/>
  <c r="AB36" i="12"/>
  <c r="AG36" i="12" s="1"/>
  <c r="AE45" i="12" s="1"/>
  <c r="C18" i="12"/>
  <c r="AL11" i="12"/>
  <c r="AM9" i="12"/>
  <c r="AL8" i="12"/>
  <c r="C4" i="12" a="1"/>
  <c r="D17" i="12" s="1"/>
  <c r="C2" i="11"/>
  <c r="J23" i="11" s="1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D41" i="9" a="1"/>
  <c r="D41" i="9" s="1"/>
  <c r="D36" i="9" a="1"/>
  <c r="D36" i="9" s="1"/>
  <c r="D18" i="9" a="1"/>
  <c r="D18" i="9" s="1"/>
  <c r="D13" i="9" a="1"/>
  <c r="D13" i="9" s="1"/>
  <c r="S7" i="9" a="1"/>
  <c r="S7" i="9" s="1"/>
  <c r="H5" i="9" a="1"/>
  <c r="H5" i="9" s="1"/>
  <c r="H3" i="9" a="1"/>
  <c r="H3" i="9" s="1"/>
  <c r="U14" i="8" a="1"/>
  <c r="U14" i="8" s="1"/>
  <c r="U10" i="8" a="1"/>
  <c r="U10" i="8" s="1"/>
  <c r="U6" i="8" a="1"/>
  <c r="U6" i="8" s="1"/>
  <c r="U2" i="8" a="1"/>
  <c r="U2" i="8" s="1"/>
  <c r="R89" i="6"/>
  <c r="R86" i="6"/>
  <c r="R81" i="6"/>
  <c r="R78" i="6"/>
  <c r="R77" i="6"/>
  <c r="AB71" i="6" a="1"/>
  <c r="AB71" i="6" s="1"/>
  <c r="Q66" i="6" a="1"/>
  <c r="R82" i="6" s="1"/>
  <c r="Q66" i="6"/>
  <c r="AB41" i="6" a="1"/>
  <c r="AB41" i="6"/>
  <c r="Q36" i="6" a="1"/>
  <c r="R52" i="6" s="1"/>
  <c r="G25" i="6"/>
  <c r="F24" i="6" s="1"/>
  <c r="N16" i="6"/>
  <c r="M16" i="6"/>
  <c r="L16" i="6"/>
  <c r="N15" i="6"/>
  <c r="M15" i="6"/>
  <c r="L15" i="6"/>
  <c r="N14" i="6"/>
  <c r="M14" i="6"/>
  <c r="L14" i="6"/>
  <c r="N13" i="6"/>
  <c r="M13" i="6"/>
  <c r="L13" i="6"/>
  <c r="N12" i="6"/>
  <c r="M12" i="6"/>
  <c r="L12" i="6"/>
  <c r="AB11" i="6" a="1"/>
  <c r="AB11" i="6" s="1"/>
  <c r="N11" i="6"/>
  <c r="M11" i="6"/>
  <c r="L11" i="6"/>
  <c r="N10" i="6"/>
  <c r="M10" i="6"/>
  <c r="L10" i="6"/>
  <c r="N9" i="6"/>
  <c r="M9" i="6"/>
  <c r="L9" i="6"/>
  <c r="N8" i="6"/>
  <c r="M8" i="6"/>
  <c r="L8" i="6"/>
  <c r="N7" i="6"/>
  <c r="M7" i="6"/>
  <c r="L7" i="6"/>
  <c r="R6" i="6" a="1"/>
  <c r="Q6" i="6" a="1"/>
  <c r="N6" i="6"/>
  <c r="M6" i="6"/>
  <c r="R36" i="6" s="1" a="1"/>
  <c r="L6" i="6"/>
  <c r="N5" i="6"/>
  <c r="R65" i="6" s="1"/>
  <c r="S87" i="6" s="1"/>
  <c r="M5" i="6"/>
  <c r="R35" i="6" s="1"/>
  <c r="L5" i="6"/>
  <c r="R5" i="6" s="1"/>
  <c r="BI73" i="5"/>
  <c r="BG73" i="5"/>
  <c r="BF73" i="5"/>
  <c r="BH73" i="5" s="1"/>
  <c r="BI62" i="5"/>
  <c r="BG62" i="5"/>
  <c r="BH62" i="5" s="1"/>
  <c r="BF62" i="5"/>
  <c r="F19" i="5"/>
  <c r="G18" i="5"/>
  <c r="G17" i="5"/>
  <c r="F14" i="5"/>
  <c r="G13" i="5"/>
  <c r="F13" i="5"/>
  <c r="D13" i="5"/>
  <c r="G19" i="5" s="1"/>
  <c r="C13" i="5"/>
  <c r="F18" i="5" s="1"/>
  <c r="G3" i="5"/>
  <c r="G2" i="5"/>
  <c r="J19" i="1"/>
  <c r="I17" i="1"/>
  <c r="M11" i="1"/>
  <c r="L11" i="1"/>
  <c r="K11" i="1"/>
  <c r="K5" i="1" s="1"/>
  <c r="J11" i="1"/>
  <c r="I11" i="1"/>
  <c r="M10" i="1"/>
  <c r="L10" i="1"/>
  <c r="K10" i="1"/>
  <c r="J10" i="1"/>
  <c r="I10" i="1"/>
  <c r="I9" i="1" s="1"/>
  <c r="L9" i="1"/>
  <c r="K9" i="1"/>
  <c r="L8" i="1"/>
  <c r="K8" i="1"/>
  <c r="I8" i="1"/>
  <c r="K7" i="1"/>
  <c r="L6" i="1"/>
  <c r="K6" i="1"/>
  <c r="I6" i="1"/>
  <c r="I5" i="1"/>
  <c r="L4" i="1"/>
  <c r="K4" i="1"/>
  <c r="AC36" i="12" l="1"/>
  <c r="AA45" i="12" s="1"/>
  <c r="AF38" i="12"/>
  <c r="AD47" i="12" s="1"/>
  <c r="AF40" i="12"/>
  <c r="AD49" i="12" s="1"/>
  <c r="AF41" i="12"/>
  <c r="AD50" i="12" s="1"/>
  <c r="AL7" i="12"/>
  <c r="D20" i="12"/>
  <c r="AD36" i="12"/>
  <c r="AB45" i="12" s="1"/>
  <c r="AG40" i="12"/>
  <c r="AE49" i="12" s="1"/>
  <c r="AE40" i="12"/>
  <c r="AC49" i="12" s="1"/>
  <c r="AM8" i="12"/>
  <c r="AM11" i="12"/>
  <c r="D15" i="12"/>
  <c r="D18" i="12"/>
  <c r="C20" i="12"/>
  <c r="AG38" i="12"/>
  <c r="AE47" i="12" s="1"/>
  <c r="AG39" i="12"/>
  <c r="AE48" i="12" s="1"/>
  <c r="C4" i="12"/>
  <c r="AM7" i="12"/>
  <c r="AL10" i="12"/>
  <c r="C19" i="12"/>
  <c r="AE36" i="12"/>
  <c r="AC45" i="12" s="1"/>
  <c r="AC37" i="12"/>
  <c r="AA46" i="12" s="1"/>
  <c r="AM10" i="12"/>
  <c r="C16" i="12"/>
  <c r="I19" i="12" s="1" a="1"/>
  <c r="I19" i="12" s="1"/>
  <c r="I28" i="12" s="1"/>
  <c r="D19" i="12"/>
  <c r="J22" i="12" s="1" a="1"/>
  <c r="J22" i="12" s="1"/>
  <c r="J31" i="12" s="1"/>
  <c r="AM6" i="12"/>
  <c r="D16" i="12"/>
  <c r="J19" i="12" s="1" a="1"/>
  <c r="J19" i="12" s="1"/>
  <c r="J28" i="12" s="1"/>
  <c r="C17" i="12"/>
  <c r="AL9" i="12"/>
  <c r="J9" i="1"/>
  <c r="J6" i="1"/>
  <c r="J5" i="1"/>
  <c r="J4" i="1"/>
  <c r="J7" i="1"/>
  <c r="J8" i="1"/>
  <c r="M9" i="1"/>
  <c r="M6" i="1"/>
  <c r="M7" i="1"/>
  <c r="M5" i="1"/>
  <c r="M8" i="1"/>
  <c r="M4" i="1"/>
  <c r="S23" i="6"/>
  <c r="S15" i="6"/>
  <c r="S11" i="6"/>
  <c r="S19" i="6"/>
  <c r="S27" i="6"/>
  <c r="I7" i="1"/>
  <c r="L7" i="1"/>
  <c r="I18" i="1"/>
  <c r="I16" i="1"/>
  <c r="I4" i="1"/>
  <c r="A2" i="2" s="1" a="1"/>
  <c r="L5" i="1"/>
  <c r="F15" i="5"/>
  <c r="S57" i="6"/>
  <c r="S49" i="6"/>
  <c r="S45" i="6"/>
  <c r="S41" i="6"/>
  <c r="S53" i="6"/>
  <c r="U52" i="6"/>
  <c r="X52" i="6"/>
  <c r="W52" i="6"/>
  <c r="T52" i="6"/>
  <c r="G15" i="5"/>
  <c r="G14" i="5"/>
  <c r="F16" i="5"/>
  <c r="S52" i="6"/>
  <c r="S43" i="6"/>
  <c r="S55" i="6"/>
  <c r="S44" i="6"/>
  <c r="R36" i="6"/>
  <c r="S60" i="6"/>
  <c r="S51" i="6"/>
  <c r="S48" i="6"/>
  <c r="S59" i="6"/>
  <c r="S56" i="6"/>
  <c r="S47" i="6"/>
  <c r="G16" i="5"/>
  <c r="R25" i="6"/>
  <c r="R30" i="6"/>
  <c r="Q6" i="6"/>
  <c r="R17" i="6"/>
  <c r="R26" i="6"/>
  <c r="R18" i="6"/>
  <c r="R14" i="6"/>
  <c r="R29" i="6"/>
  <c r="R22" i="6"/>
  <c r="R21" i="6"/>
  <c r="R13" i="6"/>
  <c r="F17" i="5"/>
  <c r="S26" i="6"/>
  <c r="S29" i="6"/>
  <c r="S22" i="6"/>
  <c r="S18" i="6"/>
  <c r="F22" i="6"/>
  <c r="S75" i="6"/>
  <c r="C41" i="9" a="1"/>
  <c r="C46" i="9" a="1"/>
  <c r="C23" i="9" a="1"/>
  <c r="S13" i="6"/>
  <c r="S21" i="6"/>
  <c r="R55" i="6"/>
  <c r="R59" i="6"/>
  <c r="S14" i="6"/>
  <c r="R44" i="6"/>
  <c r="R72" i="6"/>
  <c r="R84" i="6"/>
  <c r="R80" i="6"/>
  <c r="R88" i="6"/>
  <c r="C13" i="9" a="1"/>
  <c r="R66" i="6" a="1"/>
  <c r="S25" i="6"/>
  <c r="Q36" i="6"/>
  <c r="R76" i="6"/>
  <c r="C36" i="9" a="1"/>
  <c r="S17" i="6"/>
  <c r="R48" i="6"/>
  <c r="R56" i="6"/>
  <c r="R51" i="6"/>
  <c r="R47" i="6"/>
  <c r="F23" i="6"/>
  <c r="R60" i="6"/>
  <c r="C18" i="9" a="1"/>
  <c r="S71" i="6"/>
  <c r="S83" i="6"/>
  <c r="R6" i="6"/>
  <c r="S30" i="6"/>
  <c r="R43" i="6"/>
  <c r="S79" i="6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R90" i="6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R74" i="6"/>
  <c r="R85" i="6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R73" i="6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18" i="12" l="1" a="1"/>
  <c r="J18" i="12" s="1"/>
  <c r="J27" i="12" s="1"/>
  <c r="J17" i="12" a="1"/>
  <c r="J17" i="12" s="1"/>
  <c r="J26" i="12" s="1"/>
  <c r="AL6" i="12"/>
  <c r="C15" i="12"/>
  <c r="I20" i="12" a="1"/>
  <c r="I20" i="12" s="1"/>
  <c r="I29" i="12" s="1"/>
  <c r="I21" i="12" a="1"/>
  <c r="I21" i="12" s="1"/>
  <c r="I30" i="12" s="1"/>
  <c r="V59" i="12"/>
  <c r="I22" i="12" a="1"/>
  <c r="I22" i="12" s="1"/>
  <c r="I31" i="12" s="1"/>
  <c r="J21" i="12" a="1"/>
  <c r="J21" i="12" s="1"/>
  <c r="J30" i="12" s="1"/>
  <c r="J20" i="12" a="1"/>
  <c r="J20" i="12" s="1"/>
  <c r="J29" i="12" s="1"/>
  <c r="C23" i="9"/>
  <c r="X21" i="6"/>
  <c r="U21" i="6"/>
  <c r="W21" i="6"/>
  <c r="T21" i="6"/>
  <c r="W30" i="6"/>
  <c r="T30" i="6"/>
  <c r="X30" i="6"/>
  <c r="U30" i="6"/>
  <c r="X13" i="6"/>
  <c r="W13" i="6"/>
  <c r="U13" i="6"/>
  <c r="T13" i="6"/>
  <c r="R16" i="6"/>
  <c r="R24" i="6"/>
  <c r="R12" i="6"/>
  <c r="R28" i="6"/>
  <c r="R20" i="6"/>
  <c r="C18" i="9"/>
  <c r="E18" i="9" s="1"/>
  <c r="E19" i="9"/>
  <c r="E30" i="9" s="1"/>
  <c r="T51" i="6"/>
  <c r="W51" i="6"/>
  <c r="X51" i="6"/>
  <c r="U51" i="6"/>
  <c r="C46" i="9"/>
  <c r="U22" i="6"/>
  <c r="X22" i="6"/>
  <c r="W22" i="6"/>
  <c r="T22" i="6"/>
  <c r="T25" i="6"/>
  <c r="X25" i="6"/>
  <c r="W25" i="6"/>
  <c r="U25" i="6"/>
  <c r="T56" i="6"/>
  <c r="W56" i="6"/>
  <c r="X56" i="6"/>
  <c r="U56" i="6"/>
  <c r="W59" i="6"/>
  <c r="T59" i="6"/>
  <c r="X59" i="6"/>
  <c r="U59" i="6"/>
  <c r="E42" i="9"/>
  <c r="E53" i="9" s="1"/>
  <c r="C41" i="9"/>
  <c r="E41" i="9" s="1"/>
  <c r="U29" i="6"/>
  <c r="X29" i="6"/>
  <c r="W29" i="6"/>
  <c r="T29" i="6"/>
  <c r="S54" i="6"/>
  <c r="S50" i="6"/>
  <c r="S42" i="6"/>
  <c r="S58" i="6"/>
  <c r="S46" i="6"/>
  <c r="CN7" i="5" a="1"/>
  <c r="CN7" i="5" s="1"/>
  <c r="B31" i="2"/>
  <c r="BW7" i="4" a="1"/>
  <c r="BW7" i="4" s="1"/>
  <c r="B28" i="2"/>
  <c r="B29" i="2"/>
  <c r="B27" i="2"/>
  <c r="B30" i="2"/>
  <c r="A2" i="2"/>
  <c r="AL37" i="3" a="1"/>
  <c r="AL37" i="3" s="1"/>
  <c r="B26" i="2"/>
  <c r="C15" i="2" a="1"/>
  <c r="T48" i="6"/>
  <c r="X48" i="6"/>
  <c r="W48" i="6"/>
  <c r="U48" i="6"/>
  <c r="R54" i="6"/>
  <c r="R58" i="6"/>
  <c r="R46" i="6"/>
  <c r="R42" i="6"/>
  <c r="R50" i="6"/>
  <c r="U55" i="6"/>
  <c r="X55" i="6"/>
  <c r="W55" i="6"/>
  <c r="T55" i="6"/>
  <c r="X14" i="6"/>
  <c r="W14" i="6"/>
  <c r="U14" i="6"/>
  <c r="T14" i="6"/>
  <c r="W47" i="6"/>
  <c r="X47" i="6"/>
  <c r="U47" i="6"/>
  <c r="T47" i="6"/>
  <c r="U73" i="6"/>
  <c r="U43" i="6"/>
  <c r="X43" i="6"/>
  <c r="W43" i="6"/>
  <c r="T43" i="6"/>
  <c r="X60" i="6"/>
  <c r="U60" i="6"/>
  <c r="W60" i="6"/>
  <c r="T60" i="6"/>
  <c r="X18" i="6"/>
  <c r="W18" i="6"/>
  <c r="U18" i="6"/>
  <c r="T18" i="6"/>
  <c r="W85" i="6"/>
  <c r="C36" i="9"/>
  <c r="E36" i="9" s="1"/>
  <c r="D46" i="9" s="1"/>
  <c r="E37" i="9"/>
  <c r="D47" i="9" s="1"/>
  <c r="S78" i="6"/>
  <c r="S86" i="6"/>
  <c r="S81" i="6"/>
  <c r="S89" i="6"/>
  <c r="S77" i="6"/>
  <c r="S82" i="6"/>
  <c r="S74" i="6"/>
  <c r="T74" i="6" s="1"/>
  <c r="R66" i="6"/>
  <c r="S73" i="6"/>
  <c r="T73" i="6" s="1"/>
  <c r="S85" i="6"/>
  <c r="X85" i="6" s="1"/>
  <c r="S90" i="6"/>
  <c r="W90" i="6" s="1"/>
  <c r="U44" i="6"/>
  <c r="X44" i="6"/>
  <c r="W44" i="6"/>
  <c r="T44" i="6"/>
  <c r="X26" i="6"/>
  <c r="W26" i="6"/>
  <c r="U26" i="6"/>
  <c r="T26" i="6"/>
  <c r="W74" i="6"/>
  <c r="U74" i="6"/>
  <c r="S24" i="6"/>
  <c r="S12" i="6"/>
  <c r="S28" i="6"/>
  <c r="S20" i="6"/>
  <c r="S16" i="6"/>
  <c r="C13" i="9"/>
  <c r="E13" i="9" s="1"/>
  <c r="D23" i="9" s="1"/>
  <c r="E23" i="9" s="1" a="1"/>
  <c r="E23" i="9" s="1"/>
  <c r="E14" i="9"/>
  <c r="D24" i="9" s="1"/>
  <c r="U17" i="6"/>
  <c r="T17" i="6"/>
  <c r="X17" i="6"/>
  <c r="W17" i="6"/>
  <c r="W59" i="12" l="1"/>
  <c r="V61" i="12"/>
  <c r="V60" i="12"/>
  <c r="I18" i="12" a="1"/>
  <c r="I18" i="12" s="1"/>
  <c r="I27" i="12" s="1"/>
  <c r="I17" i="12" a="1"/>
  <c r="I17" i="12" s="1"/>
  <c r="I26" i="12" s="1"/>
  <c r="V62" i="12"/>
  <c r="W20" i="6"/>
  <c r="X20" i="6"/>
  <c r="U20" i="6"/>
  <c r="T20" i="6"/>
  <c r="T89" i="6"/>
  <c r="U89" i="6"/>
  <c r="W89" i="6"/>
  <c r="X89" i="6"/>
  <c r="T85" i="6"/>
  <c r="W46" i="6"/>
  <c r="T46" i="6"/>
  <c r="X46" i="6"/>
  <c r="U46" i="6"/>
  <c r="CL33" i="5" a="1"/>
  <c r="CL33" i="5" s="1"/>
  <c r="BU33" i="4" a="1"/>
  <c r="BU33" i="4" s="1"/>
  <c r="B36" i="2" a="1"/>
  <c r="AJ63" i="3" a="1"/>
  <c r="AJ63" i="3" s="1"/>
  <c r="X86" i="6"/>
  <c r="W86" i="6"/>
  <c r="T86" i="6"/>
  <c r="U86" i="6"/>
  <c r="W28" i="6"/>
  <c r="T28" i="6"/>
  <c r="X28" i="6"/>
  <c r="U28" i="6"/>
  <c r="U90" i="6"/>
  <c r="X12" i="6"/>
  <c r="W12" i="6"/>
  <c r="U12" i="6"/>
  <c r="T12" i="6"/>
  <c r="X90" i="6"/>
  <c r="U54" i="6"/>
  <c r="T54" i="6"/>
  <c r="X54" i="6"/>
  <c r="W54" i="6"/>
  <c r="X73" i="6"/>
  <c r="S76" i="6"/>
  <c r="S72" i="6"/>
  <c r="S84" i="6"/>
  <c r="S80" i="6"/>
  <c r="S88" i="6"/>
  <c r="W73" i="6"/>
  <c r="E29" i="9"/>
  <c r="C29" i="9" a="1"/>
  <c r="T24" i="6"/>
  <c r="X24" i="6"/>
  <c r="W24" i="6"/>
  <c r="U24" i="6"/>
  <c r="T90" i="6"/>
  <c r="X81" i="6"/>
  <c r="U81" i="6"/>
  <c r="T81" i="6"/>
  <c r="W81" i="6"/>
  <c r="X58" i="6"/>
  <c r="U58" i="6"/>
  <c r="W58" i="6"/>
  <c r="T58" i="6"/>
  <c r="E46" i="9" a="1"/>
  <c r="X16" i="6"/>
  <c r="W16" i="6"/>
  <c r="U16" i="6"/>
  <c r="T16" i="6"/>
  <c r="W78" i="6"/>
  <c r="T78" i="6"/>
  <c r="X78" i="6"/>
  <c r="U78" i="6"/>
  <c r="X74" i="6"/>
  <c r="U82" i="6"/>
  <c r="X82" i="6"/>
  <c r="T82" i="6"/>
  <c r="W82" i="6"/>
  <c r="U85" i="6"/>
  <c r="U50" i="6"/>
  <c r="X50" i="6"/>
  <c r="W50" i="6"/>
  <c r="T50" i="6"/>
  <c r="E52" i="9"/>
  <c r="C52" i="9" a="1"/>
  <c r="F24" i="9"/>
  <c r="T77" i="6"/>
  <c r="X77" i="6"/>
  <c r="W77" i="6"/>
  <c r="U77" i="6"/>
  <c r="X42" i="6"/>
  <c r="W42" i="6"/>
  <c r="U42" i="6"/>
  <c r="T42" i="6"/>
  <c r="O23" i="2" a="1"/>
  <c r="O23" i="2" s="1"/>
  <c r="O32" i="2" s="1"/>
  <c r="C15" i="2"/>
  <c r="Q24" i="2" a="1"/>
  <c r="Q24" i="2" s="1"/>
  <c r="Q33" i="2" s="1"/>
  <c r="M24" i="2" a="1"/>
  <c r="M24" i="2" s="1"/>
  <c r="M33" i="2" s="1"/>
  <c r="P22" i="2" a="1"/>
  <c r="P22" i="2" s="1"/>
  <c r="P31" i="2" s="1"/>
  <c r="Q21" i="2" a="1"/>
  <c r="Q21" i="2" s="1"/>
  <c r="Q30" i="2" s="1"/>
  <c r="N23" i="2" a="1"/>
  <c r="N23" i="2" s="1"/>
  <c r="N32" i="2" s="1"/>
  <c r="P24" i="2" a="1"/>
  <c r="P24" i="2" s="1"/>
  <c r="P33" i="2" s="1"/>
  <c r="O22" i="2" a="1"/>
  <c r="O22" i="2" s="1"/>
  <c r="O31" i="2" s="1"/>
  <c r="P21" i="2" a="1"/>
  <c r="P21" i="2" s="1"/>
  <c r="P30" i="2" s="1"/>
  <c r="Q20" i="2" a="1"/>
  <c r="Q20" i="2" s="1"/>
  <c r="Q29" i="2" s="1"/>
  <c r="Q23" i="2" a="1"/>
  <c r="Q23" i="2" s="1"/>
  <c r="Q32" i="2" s="1"/>
  <c r="M23" i="2" a="1"/>
  <c r="M23" i="2" s="1"/>
  <c r="M32" i="2" s="1"/>
  <c r="O24" i="2" a="1"/>
  <c r="O24" i="2" s="1"/>
  <c r="O33" i="2" s="1"/>
  <c r="N22" i="2" a="1"/>
  <c r="N22" i="2" s="1"/>
  <c r="N31" i="2" s="1"/>
  <c r="O21" i="2" a="1"/>
  <c r="O21" i="2" s="1"/>
  <c r="O30" i="2" s="1"/>
  <c r="P20" i="2" a="1"/>
  <c r="P20" i="2" s="1"/>
  <c r="P29" i="2" s="1"/>
  <c r="N24" i="2" a="1"/>
  <c r="N24" i="2" s="1"/>
  <c r="N33" i="2" s="1"/>
  <c r="Q22" i="2" a="1"/>
  <c r="Q22" i="2" s="1"/>
  <c r="Q31" i="2" s="1"/>
  <c r="M22" i="2" a="1"/>
  <c r="M22" i="2" s="1"/>
  <c r="M31" i="2" s="1"/>
  <c r="Q19" i="2" a="1"/>
  <c r="Q19" i="2" s="1"/>
  <c r="Q28" i="2" s="1"/>
  <c r="P19" i="2" a="1"/>
  <c r="P19" i="2" s="1"/>
  <c r="P28" i="2" s="1"/>
  <c r="O19" i="2" a="1"/>
  <c r="O19" i="2" s="1"/>
  <c r="O28" i="2" s="1"/>
  <c r="O20" i="2" a="1"/>
  <c r="O20" i="2" s="1"/>
  <c r="O29" i="2" s="1"/>
  <c r="P23" i="2" a="1"/>
  <c r="P23" i="2" s="1"/>
  <c r="P32" i="2" s="1"/>
  <c r="F23" i="9"/>
  <c r="X60" i="12" l="1"/>
  <c r="W62" i="12"/>
  <c r="X61" i="12"/>
  <c r="V57" i="12"/>
  <c r="V58" i="12"/>
  <c r="X84" i="6"/>
  <c r="T84" i="6"/>
  <c r="W84" i="6"/>
  <c r="U84" i="6"/>
  <c r="B36" i="2"/>
  <c r="T18" i="2" a="1"/>
  <c r="T18" i="2" s="1"/>
  <c r="T27" i="2" s="1"/>
  <c r="N54" i="2" s="1"/>
  <c r="T17" i="2" a="1"/>
  <c r="T17" i="2" s="1"/>
  <c r="T26" i="2" s="1"/>
  <c r="N53" i="2" s="1"/>
  <c r="T16" i="2" a="1"/>
  <c r="T16" i="2" s="1"/>
  <c r="T25" i="2" s="1"/>
  <c r="N52" i="2" s="1"/>
  <c r="T15" i="2" a="1"/>
  <c r="T15" i="2" s="1"/>
  <c r="T24" i="2" s="1"/>
  <c r="N51" i="2" s="1"/>
  <c r="C52" i="9"/>
  <c r="U76" i="6"/>
  <c r="W76" i="6"/>
  <c r="T76" i="6"/>
  <c r="X76" i="6"/>
  <c r="C29" i="9"/>
  <c r="D29" i="9" s="1"/>
  <c r="F29" i="9" s="1"/>
  <c r="D30" i="9"/>
  <c r="F30" i="9" s="1"/>
  <c r="CD9" i="5"/>
  <c r="M42" i="2"/>
  <c r="M52" i="2" s="1"/>
  <c r="BM9" i="4"/>
  <c r="AB39" i="3"/>
  <c r="CD11" i="5"/>
  <c r="M44" i="2"/>
  <c r="M54" i="2" s="1"/>
  <c r="BM11" i="4"/>
  <c r="AB41" i="3"/>
  <c r="E46" i="9"/>
  <c r="F46" i="9" s="1"/>
  <c r="F47" i="9"/>
  <c r="D53" i="9" s="1"/>
  <c r="F53" i="9" s="1"/>
  <c r="X72" i="6"/>
  <c r="U72" i="6"/>
  <c r="W72" i="6"/>
  <c r="T72" i="6"/>
  <c r="N21" i="2" a="1"/>
  <c r="N21" i="2" s="1"/>
  <c r="N30" i="2" s="1"/>
  <c r="M21" i="2" a="1"/>
  <c r="M21" i="2" s="1"/>
  <c r="M30" i="2" s="1"/>
  <c r="N19" i="2" a="1"/>
  <c r="N19" i="2" s="1"/>
  <c r="N28" i="2" s="1"/>
  <c r="M20" i="2" a="1"/>
  <c r="M20" i="2" s="1"/>
  <c r="M29" i="2" s="1"/>
  <c r="N20" i="2" a="1"/>
  <c r="N20" i="2" s="1"/>
  <c r="N29" i="2" s="1"/>
  <c r="M19" i="2" a="1"/>
  <c r="M19" i="2" s="1"/>
  <c r="M28" i="2" s="1"/>
  <c r="W88" i="6"/>
  <c r="T88" i="6"/>
  <c r="X88" i="6"/>
  <c r="U88" i="6"/>
  <c r="CD10" i="5"/>
  <c r="M43" i="2"/>
  <c r="M53" i="2" s="1"/>
  <c r="BM10" i="4"/>
  <c r="AB40" i="3"/>
  <c r="W80" i="6"/>
  <c r="T80" i="6"/>
  <c r="X80" i="6"/>
  <c r="U80" i="6"/>
  <c r="X57" i="12" l="1"/>
  <c r="W58" i="12"/>
  <c r="BQ11" i="4"/>
  <c r="BO20" i="4" s="1"/>
  <c r="BP11" i="4"/>
  <c r="BN20" i="4" s="1"/>
  <c r="BO11" i="4"/>
  <c r="BM20" i="4" s="1"/>
  <c r="BN11" i="4"/>
  <c r="BL20" i="4" s="1"/>
  <c r="CG10" i="5"/>
  <c r="CE19" i="5" s="1"/>
  <c r="CF10" i="5"/>
  <c r="CD19" i="5" s="1"/>
  <c r="CI10" i="5"/>
  <c r="CG19" i="5" s="1"/>
  <c r="CH10" i="5"/>
  <c r="CF19" i="5" s="1"/>
  <c r="CD8" i="5"/>
  <c r="BM8" i="4"/>
  <c r="M41" i="2"/>
  <c r="M51" i="2" s="1"/>
  <c r="AB38" i="3"/>
  <c r="CH11" i="5"/>
  <c r="CF20" i="5" s="1"/>
  <c r="CG11" i="5"/>
  <c r="CE20" i="5" s="1"/>
  <c r="CF11" i="5"/>
  <c r="CD20" i="5" s="1"/>
  <c r="CE11" i="5"/>
  <c r="CC20" i="5" s="1"/>
  <c r="CD6" i="5"/>
  <c r="BM6" i="4"/>
  <c r="AB36" i="3"/>
  <c r="M39" i="2"/>
  <c r="M49" i="2" s="1"/>
  <c r="AD39" i="3"/>
  <c r="AB48" i="3" s="1"/>
  <c r="AG39" i="3"/>
  <c r="AE48" i="3" s="1"/>
  <c r="AE39" i="3"/>
  <c r="AC48" i="3" s="1"/>
  <c r="AC39" i="3"/>
  <c r="AA48" i="3" s="1"/>
  <c r="T13" i="2" a="1"/>
  <c r="T13" i="2" s="1"/>
  <c r="T22" i="2" s="1"/>
  <c r="N49" i="2" s="1"/>
  <c r="T14" i="2" a="1"/>
  <c r="T14" i="2" s="1"/>
  <c r="T23" i="2" s="1"/>
  <c r="N50" i="2" s="1"/>
  <c r="AD40" i="3"/>
  <c r="AB49" i="3" s="1"/>
  <c r="AG40" i="3"/>
  <c r="AE49" i="3" s="1"/>
  <c r="AF40" i="3"/>
  <c r="AD49" i="3" s="1"/>
  <c r="AE40" i="3"/>
  <c r="AC49" i="3" s="1"/>
  <c r="BP9" i="4"/>
  <c r="BN18" i="4" s="1"/>
  <c r="BO9" i="4"/>
  <c r="BM18" i="4" s="1"/>
  <c r="BN9" i="4"/>
  <c r="BL18" i="4" s="1"/>
  <c r="BR9" i="4"/>
  <c r="BP18" i="4" s="1"/>
  <c r="BR10" i="4"/>
  <c r="BP19" i="4" s="1"/>
  <c r="BQ10" i="4"/>
  <c r="BO19" i="4" s="1"/>
  <c r="BP10" i="4"/>
  <c r="BN19" i="4" s="1"/>
  <c r="BO10" i="4"/>
  <c r="BM19" i="4" s="1"/>
  <c r="CD7" i="5"/>
  <c r="BM7" i="4"/>
  <c r="M40" i="2"/>
  <c r="M50" i="2" s="1"/>
  <c r="AB37" i="3"/>
  <c r="CI9" i="5"/>
  <c r="CG18" i="5" s="1"/>
  <c r="CG9" i="5"/>
  <c r="CE18" i="5" s="1"/>
  <c r="CF9" i="5"/>
  <c r="CD18" i="5" s="1"/>
  <c r="CE9" i="5"/>
  <c r="CC18" i="5" s="1"/>
  <c r="D52" i="9"/>
  <c r="F52" i="9" s="1"/>
  <c r="AD41" i="3"/>
  <c r="AB50" i="3" s="1"/>
  <c r="AF41" i="3"/>
  <c r="AD50" i="3" s="1"/>
  <c r="AE41" i="3"/>
  <c r="AC50" i="3" s="1"/>
  <c r="AC41" i="3"/>
  <c r="AA50" i="3" s="1"/>
  <c r="M23" i="12" l="1"/>
  <c r="M22" i="12"/>
  <c r="M21" i="12"/>
  <c r="BR7" i="4"/>
  <c r="BP16" i="4" s="1"/>
  <c r="BQ7" i="4"/>
  <c r="BO16" i="4" s="1"/>
  <c r="BP7" i="4"/>
  <c r="BN16" i="4" s="1"/>
  <c r="BN7" i="4"/>
  <c r="BL16" i="4" s="1"/>
  <c r="C4" i="5" a="1"/>
  <c r="C4" i="4" a="1"/>
  <c r="C4" i="3" a="1"/>
  <c r="AG38" i="3"/>
  <c r="AE47" i="3" s="1"/>
  <c r="AF38" i="3"/>
  <c r="AD47" i="3" s="1"/>
  <c r="AD38" i="3"/>
  <c r="AB47" i="3" s="1"/>
  <c r="AC38" i="3"/>
  <c r="AA47" i="3" s="1"/>
  <c r="BR6" i="4"/>
  <c r="BP15" i="4" s="1"/>
  <c r="BP6" i="4"/>
  <c r="BN15" i="4" s="1"/>
  <c r="BN6" i="4"/>
  <c r="BL15" i="4" s="1"/>
  <c r="BO6" i="4"/>
  <c r="BM15" i="4" s="1"/>
  <c r="CI7" i="5"/>
  <c r="CG16" i="5" s="1"/>
  <c r="CH7" i="5"/>
  <c r="CF16" i="5" s="1"/>
  <c r="CG7" i="5"/>
  <c r="CE16" i="5" s="1"/>
  <c r="CE7" i="5"/>
  <c r="CC16" i="5" s="1"/>
  <c r="CF6" i="5"/>
  <c r="CD15" i="5" s="1"/>
  <c r="CE6" i="5"/>
  <c r="CC15" i="5" s="1"/>
  <c r="CI6" i="5"/>
  <c r="CG15" i="5" s="1"/>
  <c r="CG6" i="5"/>
  <c r="CE15" i="5" s="1"/>
  <c r="BQ8" i="4"/>
  <c r="BO17" i="4" s="1"/>
  <c r="BO8" i="4"/>
  <c r="BM17" i="4" s="1"/>
  <c r="BN8" i="4"/>
  <c r="BL17" i="4" s="1"/>
  <c r="BR8" i="4"/>
  <c r="BP17" i="4" s="1"/>
  <c r="CF8" i="5"/>
  <c r="CD17" i="5" s="1"/>
  <c r="CE8" i="5"/>
  <c r="CC17" i="5" s="1"/>
  <c r="CI8" i="5"/>
  <c r="CG17" i="5" s="1"/>
  <c r="CH8" i="5"/>
  <c r="CF17" i="5" s="1"/>
  <c r="AE36" i="3"/>
  <c r="AC45" i="3" s="1"/>
  <c r="AD36" i="3"/>
  <c r="AB45" i="3" s="1"/>
  <c r="AC36" i="3"/>
  <c r="AA45" i="3" s="1"/>
  <c r="AG36" i="3"/>
  <c r="AE45" i="3" s="1"/>
  <c r="AC37" i="3"/>
  <c r="AA46" i="3" s="1"/>
  <c r="AG37" i="3"/>
  <c r="AE46" i="3" s="1"/>
  <c r="AE37" i="3"/>
  <c r="AC46" i="3" s="1"/>
  <c r="AF37" i="3"/>
  <c r="AD46" i="3" s="1"/>
  <c r="U8" i="12" l="1"/>
  <c r="U15" i="12"/>
  <c r="M28" i="12"/>
  <c r="M27" i="12"/>
  <c r="U14" i="12"/>
  <c r="U7" i="12"/>
  <c r="M29" i="12"/>
  <c r="U9" i="12"/>
  <c r="U16" i="12"/>
  <c r="D19" i="3"/>
  <c r="C19" i="3"/>
  <c r="AL10" i="3"/>
  <c r="AM7" i="3"/>
  <c r="C4" i="3"/>
  <c r="D20" i="3"/>
  <c r="AL7" i="3"/>
  <c r="C20" i="3"/>
  <c r="D18" i="3"/>
  <c r="D15" i="3"/>
  <c r="AM11" i="3"/>
  <c r="AM8" i="3"/>
  <c r="C18" i="3"/>
  <c r="AL11" i="3"/>
  <c r="AL8" i="3"/>
  <c r="C17" i="3"/>
  <c r="I20" i="3" s="1" a="1"/>
  <c r="I20" i="3" s="1"/>
  <c r="I29" i="3" s="1"/>
  <c r="D16" i="3"/>
  <c r="AM6" i="3"/>
  <c r="C16" i="3"/>
  <c r="AM10" i="3"/>
  <c r="AM9" i="3"/>
  <c r="AL9" i="3"/>
  <c r="D17" i="3"/>
  <c r="J20" i="3" s="1" a="1"/>
  <c r="J20" i="3" s="1"/>
  <c r="J29" i="3" s="1"/>
  <c r="C4" i="4"/>
  <c r="C14" i="4" s="1" a="1"/>
  <c r="C15" i="5"/>
  <c r="D18" i="5"/>
  <c r="D17" i="5"/>
  <c r="C18" i="5"/>
  <c r="C17" i="5"/>
  <c r="D19" i="5"/>
  <c r="C19" i="5"/>
  <c r="D16" i="5"/>
  <c r="C16" i="5"/>
  <c r="D14" i="5"/>
  <c r="C4" i="5"/>
  <c r="C14" i="5" s="1"/>
  <c r="D15" i="5"/>
  <c r="U29" i="12" l="1"/>
  <c r="U52" i="12" a="1"/>
  <c r="U52" i="12" s="1"/>
  <c r="U43" i="12" a="1"/>
  <c r="U43" i="12" s="1"/>
  <c r="U58" i="12" s="1"/>
  <c r="X58" i="12" s="1"/>
  <c r="U51" i="12" a="1"/>
  <c r="U51" i="12" s="1"/>
  <c r="U50" i="12" a="1"/>
  <c r="U50" i="12" s="1"/>
  <c r="U49" i="12" a="1"/>
  <c r="U49" i="12" s="1"/>
  <c r="U48" i="12" a="1"/>
  <c r="U48" i="12" s="1"/>
  <c r="U47" i="12" a="1"/>
  <c r="U47" i="12" s="1"/>
  <c r="U62" i="12" s="1"/>
  <c r="X62" i="12" s="1"/>
  <c r="U46" i="12" a="1"/>
  <c r="U46" i="12" s="1"/>
  <c r="U61" i="12" s="1"/>
  <c r="W61" i="12" s="1"/>
  <c r="U42" i="12" a="1"/>
  <c r="U42" i="12" s="1"/>
  <c r="U57" i="12" s="1"/>
  <c r="W57" i="12" s="1"/>
  <c r="U45" i="12" a="1"/>
  <c r="U45" i="12" s="1"/>
  <c r="U60" i="12" s="1"/>
  <c r="W60" i="12" s="1"/>
  <c r="U44" i="12" a="1"/>
  <c r="U44" i="12" s="1"/>
  <c r="U59" i="12" s="1"/>
  <c r="X59" i="12" s="1"/>
  <c r="U53" i="12" a="1"/>
  <c r="U53" i="12" s="1"/>
  <c r="M30" i="12"/>
  <c r="U30" i="12"/>
  <c r="U31" i="12"/>
  <c r="C14" i="4"/>
  <c r="I21" i="3" a="1"/>
  <c r="I21" i="3" s="1"/>
  <c r="I30" i="3" s="1"/>
  <c r="C15" i="3"/>
  <c r="AL6" i="3"/>
  <c r="I39" i="3"/>
  <c r="I58" i="3" s="1"/>
  <c r="M10" i="3" s="1"/>
  <c r="I49" i="3"/>
  <c r="I64" i="3" s="1"/>
  <c r="M16" i="3" s="1"/>
  <c r="V60" i="3"/>
  <c r="I19" i="3" a="1"/>
  <c r="I19" i="3" s="1"/>
  <c r="I28" i="3" s="1"/>
  <c r="N17" i="5" a="1"/>
  <c r="N17" i="5" s="1"/>
  <c r="L7" i="5" a="1"/>
  <c r="L7" i="5" s="1"/>
  <c r="L17" i="5" a="1"/>
  <c r="L17" i="5" s="1"/>
  <c r="J7" i="5" a="1"/>
  <c r="J17" i="5" a="1"/>
  <c r="N7" i="5" a="1"/>
  <c r="N7" i="5" s="1"/>
  <c r="J17" i="3" a="1"/>
  <c r="J17" i="3" s="1"/>
  <c r="J26" i="3" s="1"/>
  <c r="J18" i="3" a="1"/>
  <c r="J18" i="3" s="1"/>
  <c r="J27" i="3" s="1"/>
  <c r="I22" i="3" a="1"/>
  <c r="I22" i="3" s="1"/>
  <c r="I31" i="3" s="1"/>
  <c r="J19" i="3" a="1"/>
  <c r="J19" i="3" s="1"/>
  <c r="J28" i="3" s="1"/>
  <c r="J21" i="3" a="1"/>
  <c r="J21" i="3" s="1"/>
  <c r="J30" i="3" s="1"/>
  <c r="J22" i="3" a="1"/>
  <c r="J22" i="3" s="1"/>
  <c r="J31" i="3" s="1"/>
  <c r="V66" i="12" l="1"/>
  <c r="V75" i="12" s="1"/>
  <c r="AB7" i="12" s="1"/>
  <c r="U66" i="12"/>
  <c r="U75" i="12" s="1"/>
  <c r="AA7" i="12" s="1"/>
  <c r="V71" i="12"/>
  <c r="V80" i="12" s="1"/>
  <c r="AB12" i="12" s="1"/>
  <c r="U71" i="12"/>
  <c r="U80" i="12" s="1"/>
  <c r="AA12" i="12" s="1"/>
  <c r="V68" i="12"/>
  <c r="V77" i="12" s="1"/>
  <c r="AB9" i="12" s="1"/>
  <c r="U68" i="12"/>
  <c r="U77" i="12" s="1"/>
  <c r="AA9" i="12" s="1"/>
  <c r="V69" i="12"/>
  <c r="V78" i="12" s="1"/>
  <c r="AB10" i="12" s="1"/>
  <c r="U69" i="12"/>
  <c r="U78" i="12" s="1"/>
  <c r="AA10" i="12" s="1"/>
  <c r="V70" i="12"/>
  <c r="V79" i="12" s="1"/>
  <c r="AB11" i="12" s="1"/>
  <c r="U70" i="12"/>
  <c r="U79" i="12" s="1"/>
  <c r="AA11" i="12" s="1"/>
  <c r="U67" i="12"/>
  <c r="U76" i="12" s="1"/>
  <c r="AA8" i="12" s="1"/>
  <c r="V67" i="12"/>
  <c r="V76" i="12" s="1"/>
  <c r="AB8" i="12" s="1"/>
  <c r="I18" i="3" a="1"/>
  <c r="I18" i="3" s="1"/>
  <c r="I27" i="3" s="1"/>
  <c r="I17" i="3" a="1"/>
  <c r="I17" i="3" s="1"/>
  <c r="I26" i="3" s="1"/>
  <c r="I40" i="3"/>
  <c r="I59" i="3" s="1"/>
  <c r="M11" i="3" s="1"/>
  <c r="I50" i="3"/>
  <c r="I65" i="3" s="1"/>
  <c r="M17" i="3" s="1"/>
  <c r="V61" i="3"/>
  <c r="K29" i="4" a="1"/>
  <c r="N29" i="4" a="1"/>
  <c r="F36" i="3"/>
  <c r="F46" i="3"/>
  <c r="V59" i="3"/>
  <c r="I48" i="3"/>
  <c r="I63" i="3" s="1"/>
  <c r="M15" i="3" s="1"/>
  <c r="I38" i="3"/>
  <c r="I57" i="3" s="1"/>
  <c r="M9" i="3" s="1"/>
  <c r="X60" i="3"/>
  <c r="J17" i="5"/>
  <c r="P17" i="5" a="1"/>
  <c r="V62" i="3"/>
  <c r="I41" i="3"/>
  <c r="I60" i="3" s="1"/>
  <c r="M12" i="3" s="1"/>
  <c r="I51" i="3"/>
  <c r="I66" i="3" s="1"/>
  <c r="M18" i="3" s="1"/>
  <c r="J7" i="5"/>
  <c r="P7" i="5" a="1"/>
  <c r="AB17" i="12" l="1" a="1"/>
  <c r="AB17" i="12" s="1"/>
  <c r="AA17" i="12" a="1"/>
  <c r="AA17" i="12" s="1"/>
  <c r="AE16" i="12"/>
  <c r="AB16" i="12" a="1"/>
  <c r="AB16" i="12" s="1"/>
  <c r="AB18" i="12" a="1"/>
  <c r="AB18" i="12" s="1"/>
  <c r="AA18" i="12" a="1"/>
  <c r="AA18" i="12" s="1"/>
  <c r="AA16" i="12" a="1"/>
  <c r="AA16" i="12" s="1"/>
  <c r="AL20" i="12" a="1"/>
  <c r="K29" i="4"/>
  <c r="L29" i="4" s="1"/>
  <c r="L30" i="4"/>
  <c r="Y11" i="5" a="1"/>
  <c r="Y11" i="5" s="1"/>
  <c r="AA12" i="5" a="1"/>
  <c r="AA12" i="5" s="1"/>
  <c r="W12" i="5" a="1"/>
  <c r="W12" i="5" s="1"/>
  <c r="Z10" i="5" a="1"/>
  <c r="Z10" i="5" s="1"/>
  <c r="AB9" i="5" a="1"/>
  <c r="AB9" i="5" s="1"/>
  <c r="X9" i="5" a="1"/>
  <c r="X9" i="5" s="1"/>
  <c r="Z8" i="5" a="1"/>
  <c r="Z8" i="5" s="1"/>
  <c r="AB11" i="5" a="1"/>
  <c r="AB11" i="5" s="1"/>
  <c r="X11" i="5" a="1"/>
  <c r="X11" i="5" s="1"/>
  <c r="Z12" i="5" a="1"/>
  <c r="Z12" i="5" s="1"/>
  <c r="Y10" i="5" a="1"/>
  <c r="Y10" i="5" s="1"/>
  <c r="AA9" i="5" a="1"/>
  <c r="AA9" i="5" s="1"/>
  <c r="W9" i="5" a="1"/>
  <c r="W9" i="5" s="1"/>
  <c r="Y8" i="5" a="1"/>
  <c r="Y8" i="5" s="1"/>
  <c r="AA11" i="5" a="1"/>
  <c r="AA11" i="5" s="1"/>
  <c r="W11" i="5" a="1"/>
  <c r="W11" i="5" s="1"/>
  <c r="Y12" i="5" a="1"/>
  <c r="Y12" i="5" s="1"/>
  <c r="AB10" i="5" a="1"/>
  <c r="AB10" i="5" s="1"/>
  <c r="X10" i="5" a="1"/>
  <c r="X10" i="5" s="1"/>
  <c r="Z9" i="5" a="1"/>
  <c r="Z9" i="5" s="1"/>
  <c r="AB8" i="5" a="1"/>
  <c r="AB8" i="5" s="1"/>
  <c r="X8" i="5" a="1"/>
  <c r="X8" i="5" s="1"/>
  <c r="Z11" i="5" a="1"/>
  <c r="Z11" i="5" s="1"/>
  <c r="P7" i="5"/>
  <c r="W7" i="5" s="1" a="1"/>
  <c r="W7" i="5" s="1"/>
  <c r="W8" i="5" a="1"/>
  <c r="W8" i="5" s="1"/>
  <c r="AA10" i="5" a="1"/>
  <c r="AA10" i="5" s="1"/>
  <c r="W10" i="5" a="1"/>
  <c r="W10" i="5" s="1"/>
  <c r="AB12" i="5" a="1"/>
  <c r="AB12" i="5" s="1"/>
  <c r="Y9" i="5" a="1"/>
  <c r="Y9" i="5" s="1"/>
  <c r="AA8" i="5" a="1"/>
  <c r="AA8" i="5" s="1"/>
  <c r="X12" i="5" a="1"/>
  <c r="X12" i="5" s="1"/>
  <c r="X61" i="3"/>
  <c r="W59" i="3"/>
  <c r="Z20" i="5" a="1"/>
  <c r="Z20" i="5" s="1"/>
  <c r="P17" i="5"/>
  <c r="W17" i="5" s="1" a="1"/>
  <c r="W17" i="5" s="1"/>
  <c r="AA22" i="5" a="1"/>
  <c r="AA22" i="5" s="1"/>
  <c r="W22" i="5" a="1"/>
  <c r="W22" i="5" s="1"/>
  <c r="Y21" i="5" a="1"/>
  <c r="Y21" i="5" s="1"/>
  <c r="Z19" i="5" a="1"/>
  <c r="Z19" i="5" s="1"/>
  <c r="Y18" i="5" a="1"/>
  <c r="Y18" i="5" s="1"/>
  <c r="Y17" i="5" a="1"/>
  <c r="Y17" i="5" s="1"/>
  <c r="Y20" i="5" a="1"/>
  <c r="Y20" i="5" s="1"/>
  <c r="Z22" i="5" a="1"/>
  <c r="Z22" i="5" s="1"/>
  <c r="AB21" i="5" a="1"/>
  <c r="AB21" i="5" s="1"/>
  <c r="X21" i="5" a="1"/>
  <c r="X21" i="5" s="1"/>
  <c r="Y19" i="5" a="1"/>
  <c r="Y19" i="5" s="1"/>
  <c r="AB18" i="5" a="1"/>
  <c r="AB18" i="5" s="1"/>
  <c r="X18" i="5" a="1"/>
  <c r="X18" i="5" s="1"/>
  <c r="AB17" i="5" a="1"/>
  <c r="AB17" i="5" s="1"/>
  <c r="X17" i="5" a="1"/>
  <c r="X17" i="5" s="1"/>
  <c r="AB20" i="5" a="1"/>
  <c r="AB20" i="5" s="1"/>
  <c r="X20" i="5" a="1"/>
  <c r="X20" i="5" s="1"/>
  <c r="Y22" i="5" a="1"/>
  <c r="Y22" i="5" s="1"/>
  <c r="AA21" i="5" a="1"/>
  <c r="AA21" i="5" s="1"/>
  <c r="W21" i="5" a="1"/>
  <c r="W21" i="5" s="1"/>
  <c r="AB19" i="5" a="1"/>
  <c r="AB19" i="5" s="1"/>
  <c r="X19" i="5" a="1"/>
  <c r="X19" i="5" s="1"/>
  <c r="AA18" i="5" a="1"/>
  <c r="AA18" i="5" s="1"/>
  <c r="W18" i="5" a="1"/>
  <c r="W18" i="5" s="1"/>
  <c r="AA17" i="5" a="1"/>
  <c r="AA17" i="5" s="1"/>
  <c r="AA20" i="5" a="1"/>
  <c r="AA20" i="5" s="1"/>
  <c r="W20" i="5" a="1"/>
  <c r="W20" i="5" s="1"/>
  <c r="Z17" i="5" a="1"/>
  <c r="Z17" i="5" s="1"/>
  <c r="AA19" i="5" a="1"/>
  <c r="AA19" i="5" s="1"/>
  <c r="AB22" i="5" a="1"/>
  <c r="AB22" i="5" s="1"/>
  <c r="W19" i="5" a="1"/>
  <c r="W19" i="5" s="1"/>
  <c r="X22" i="5" a="1"/>
  <c r="X22" i="5" s="1"/>
  <c r="Z18" i="5" a="1"/>
  <c r="Z18" i="5" s="1"/>
  <c r="Z21" i="5" a="1"/>
  <c r="Z21" i="5" s="1"/>
  <c r="I36" i="3"/>
  <c r="I55" i="3" s="1"/>
  <c r="M7" i="3" s="1"/>
  <c r="M22" i="3" s="1" a="1"/>
  <c r="I46" i="3"/>
  <c r="I61" i="3" s="1"/>
  <c r="M13" i="3" s="1"/>
  <c r="E36" i="3"/>
  <c r="E55" i="3" s="1" a="1"/>
  <c r="E46" i="3"/>
  <c r="E57" i="3" s="1" a="1"/>
  <c r="V57" i="3"/>
  <c r="N29" i="4"/>
  <c r="O29" i="4" s="1"/>
  <c r="O30" i="4"/>
  <c r="W62" i="3"/>
  <c r="I47" i="3"/>
  <c r="I62" i="3" s="1"/>
  <c r="M14" i="3" s="1"/>
  <c r="V58" i="3"/>
  <c r="I37" i="3"/>
  <c r="I56" i="3" s="1"/>
  <c r="M8" i="3" s="1"/>
  <c r="AB26" i="12" l="1" a="1"/>
  <c r="AB26" i="12" s="1"/>
  <c r="AA69" i="12" s="1"/>
  <c r="AA25" i="12" a="1"/>
  <c r="AA25" i="12" s="1"/>
  <c r="AA39" i="12" s="1"/>
  <c r="AF39" i="12" s="1"/>
  <c r="AD48" i="12" s="1"/>
  <c r="AB27" i="12" a="1"/>
  <c r="AB27" i="12" s="1"/>
  <c r="AA70" i="12" s="1"/>
  <c r="AA26" i="12" a="1"/>
  <c r="AA26" i="12" s="1"/>
  <c r="AA40" i="12" s="1"/>
  <c r="AC40" i="12" s="1"/>
  <c r="AA49" i="12" s="1"/>
  <c r="AB24" i="12" a="1"/>
  <c r="AB24" i="12" s="1"/>
  <c r="AA67" i="12" s="1"/>
  <c r="AB22" i="12" a="1"/>
  <c r="AB22" i="12" s="1"/>
  <c r="AA27" i="12" a="1"/>
  <c r="AA27" i="12" s="1"/>
  <c r="AA41" i="12" s="1"/>
  <c r="AG41" i="12" s="1"/>
  <c r="AE50" i="12" s="1"/>
  <c r="AA24" i="12" a="1"/>
  <c r="AA24" i="12" s="1"/>
  <c r="AA38" i="12" s="1"/>
  <c r="AE38" i="12" s="1"/>
  <c r="AC47" i="12" s="1"/>
  <c r="AB23" i="12" a="1"/>
  <c r="AB23" i="12" s="1"/>
  <c r="AA66" i="12" s="1"/>
  <c r="AL20" i="12"/>
  <c r="AB25" i="12" a="1"/>
  <c r="AB25" i="12" s="1"/>
  <c r="AA68" i="12" s="1"/>
  <c r="M29" i="3"/>
  <c r="M22" i="3"/>
  <c r="M28" i="3" s="1"/>
  <c r="M30" i="3"/>
  <c r="AD17" i="5" a="1"/>
  <c r="X57" i="3"/>
  <c r="Z7" i="5" a="1"/>
  <c r="Z7" i="5" s="1"/>
  <c r="E58" i="3"/>
  <c r="E57" i="3"/>
  <c r="AA7" i="5" a="1"/>
  <c r="AA7" i="5" s="1"/>
  <c r="X7" i="5" a="1"/>
  <c r="X7" i="5" s="1"/>
  <c r="AD7" i="5" s="1" a="1"/>
  <c r="W58" i="3"/>
  <c r="E56" i="3"/>
  <c r="E55" i="3"/>
  <c r="Y7" i="5" a="1"/>
  <c r="Y7" i="5" s="1"/>
  <c r="AB7" i="5" a="1"/>
  <c r="AB7" i="5" s="1"/>
  <c r="C29" i="4" a="1"/>
  <c r="Q29" i="4" a="1"/>
  <c r="AA23" i="12" l="1" a="1"/>
  <c r="AA23" i="12" s="1"/>
  <c r="AA37" i="12" s="1"/>
  <c r="AD37" i="12" s="1"/>
  <c r="AB46" i="12" s="1"/>
  <c r="AA22" i="12" a="1"/>
  <c r="AA22" i="12" s="1"/>
  <c r="AD74" i="12"/>
  <c r="AA65" i="12"/>
  <c r="AD7" i="5"/>
  <c r="J27" i="5" a="1"/>
  <c r="J27" i="5" s="1"/>
  <c r="R30" i="4"/>
  <c r="Q29" i="4"/>
  <c r="R29" i="4" s="1"/>
  <c r="T29" i="4" s="1" a="1"/>
  <c r="AD17" i="5"/>
  <c r="K27" i="5" a="1"/>
  <c r="K27" i="5" s="1"/>
  <c r="U16" i="3"/>
  <c r="M36" i="3"/>
  <c r="U9" i="3"/>
  <c r="C29" i="4"/>
  <c r="D29" i="4" s="1"/>
  <c r="E29" i="4" s="1" a="1"/>
  <c r="E29" i="4" s="1"/>
  <c r="D30" i="4"/>
  <c r="E5" i="6" a="1"/>
  <c r="U14" i="3"/>
  <c r="M34" i="3"/>
  <c r="M37" i="3" s="1"/>
  <c r="U7" i="3"/>
  <c r="M35" i="3"/>
  <c r="U15" i="3"/>
  <c r="U8" i="3"/>
  <c r="AF54" i="12" l="1"/>
  <c r="AA36" i="12"/>
  <c r="AF36" i="12" s="1"/>
  <c r="AD45" i="12" s="1"/>
  <c r="AA76" i="12" a="1"/>
  <c r="AA76" i="12" s="1"/>
  <c r="AA74" i="12" a="1"/>
  <c r="AA74" i="12" s="1"/>
  <c r="AA75" i="12" a="1"/>
  <c r="AA75" i="12" s="1"/>
  <c r="U51" i="3" a="1"/>
  <c r="U51" i="3" s="1"/>
  <c r="U50" i="3" a="1"/>
  <c r="U50" i="3" s="1"/>
  <c r="U49" i="3" a="1"/>
  <c r="U49" i="3" s="1"/>
  <c r="U48" i="3" a="1"/>
  <c r="U48" i="3" s="1"/>
  <c r="U47" i="3" a="1"/>
  <c r="U47" i="3" s="1"/>
  <c r="U62" i="3" s="1"/>
  <c r="X62" i="3" s="1"/>
  <c r="U46" i="3" a="1"/>
  <c r="U46" i="3" s="1"/>
  <c r="U61" i="3" s="1"/>
  <c r="W61" i="3" s="1"/>
  <c r="U42" i="3" a="1"/>
  <c r="U42" i="3" s="1"/>
  <c r="U57" i="3" s="1"/>
  <c r="W57" i="3" s="1"/>
  <c r="U45" i="3" a="1"/>
  <c r="U45" i="3" s="1"/>
  <c r="U60" i="3" s="1"/>
  <c r="W60" i="3" s="1"/>
  <c r="U53" i="3" a="1"/>
  <c r="U53" i="3" s="1"/>
  <c r="U44" i="3" a="1"/>
  <c r="U44" i="3" s="1"/>
  <c r="U59" i="3" s="1"/>
  <c r="X59" i="3" s="1"/>
  <c r="U21" i="3" a="1"/>
  <c r="U21" i="3" s="1"/>
  <c r="U36" i="3"/>
  <c r="U43" i="3" a="1"/>
  <c r="U43" i="3" s="1"/>
  <c r="U58" i="3" s="1"/>
  <c r="X58" i="3" s="1"/>
  <c r="U52" i="3" a="1"/>
  <c r="U52" i="3" s="1"/>
  <c r="E5" i="6"/>
  <c r="Q5" i="6" s="1"/>
  <c r="Q65" i="6"/>
  <c r="Q35" i="6"/>
  <c r="T29" i="4"/>
  <c r="K65" i="4" a="1"/>
  <c r="K35" i="4" a="1"/>
  <c r="N35" i="4" a="1"/>
  <c r="U37" i="3"/>
  <c r="V21" i="3" a="1"/>
  <c r="V21" i="3" s="1"/>
  <c r="M27" i="5" a="1"/>
  <c r="U38" i="3"/>
  <c r="W21" i="3" a="1"/>
  <c r="W21" i="3" s="1"/>
  <c r="AA54" i="12" l="1" a="1"/>
  <c r="AA54" i="12" s="1"/>
  <c r="AC54" i="12" a="1"/>
  <c r="AC54" i="12" s="1"/>
  <c r="AC56" i="12" a="1"/>
  <c r="AC56" i="12" s="1"/>
  <c r="AA58" i="12" a="1"/>
  <c r="AA58" i="12" s="1"/>
  <c r="AC58" i="12" a="1"/>
  <c r="AC58" i="12" s="1"/>
  <c r="AA55" i="12" a="1"/>
  <c r="AA55" i="12" s="1"/>
  <c r="AC55" i="12" a="1"/>
  <c r="AC55" i="12" s="1"/>
  <c r="AB57" i="12" a="1"/>
  <c r="AB57" i="12" s="1"/>
  <c r="AB58" i="12" a="1"/>
  <c r="AB58" i="12" s="1"/>
  <c r="AA56" i="12" a="1"/>
  <c r="AA56" i="12" s="1"/>
  <c r="AB55" i="12" a="1"/>
  <c r="AB55" i="12" s="1"/>
  <c r="AB54" i="12" a="1"/>
  <c r="AB54" i="12" s="1"/>
  <c r="AC57" i="12" a="1"/>
  <c r="AC57" i="12" s="1"/>
  <c r="AA57" i="12" a="1"/>
  <c r="AA57" i="12" s="1"/>
  <c r="AB56" i="12" a="1"/>
  <c r="AB56" i="12" s="1"/>
  <c r="R27" i="6"/>
  <c r="R19" i="6"/>
  <c r="R23" i="6"/>
  <c r="R15" i="6"/>
  <c r="R11" i="6"/>
  <c r="K35" i="4"/>
  <c r="L35" i="4" s="1"/>
  <c r="L36" i="4"/>
  <c r="U66" i="3"/>
  <c r="U75" i="3" s="1"/>
  <c r="AA7" i="3" s="1"/>
  <c r="V66" i="3"/>
  <c r="V75" i="3" s="1"/>
  <c r="AB7" i="3" s="1"/>
  <c r="O36" i="4"/>
  <c r="N35" i="4"/>
  <c r="O35" i="4" s="1"/>
  <c r="K65" i="4"/>
  <c r="P65" i="4"/>
  <c r="AF57" i="4"/>
  <c r="N65" i="4"/>
  <c r="V67" i="3"/>
  <c r="V76" i="3" s="1"/>
  <c r="AB8" i="3" s="1"/>
  <c r="U67" i="3"/>
  <c r="U76" i="3" s="1"/>
  <c r="AA8" i="3" s="1"/>
  <c r="R79" i="6"/>
  <c r="R87" i="6"/>
  <c r="R75" i="6"/>
  <c r="R71" i="6"/>
  <c r="R83" i="6"/>
  <c r="V70" i="3"/>
  <c r="V79" i="3" s="1"/>
  <c r="AB11" i="3" s="1"/>
  <c r="U70" i="3"/>
  <c r="U79" i="3" s="1"/>
  <c r="AA11" i="3" s="1"/>
  <c r="V68" i="3"/>
  <c r="V77" i="3" s="1"/>
  <c r="AB9" i="3" s="1"/>
  <c r="U68" i="3"/>
  <c r="U77" i="3" s="1"/>
  <c r="AA9" i="3" s="1"/>
  <c r="J41" i="5" a="1"/>
  <c r="J39" i="5" a="1"/>
  <c r="M27" i="5"/>
  <c r="J42" i="5" a="1"/>
  <c r="J40" i="5" a="1"/>
  <c r="J43" i="5" a="1"/>
  <c r="R41" i="6"/>
  <c r="R53" i="6"/>
  <c r="R45" i="6"/>
  <c r="R57" i="6"/>
  <c r="R49" i="6"/>
  <c r="U71" i="3"/>
  <c r="U80" i="3" s="1"/>
  <c r="AA12" i="3" s="1"/>
  <c r="V71" i="3"/>
  <c r="V80" i="3" s="1"/>
  <c r="AB12" i="3" s="1"/>
  <c r="V69" i="3"/>
  <c r="V78" i="3" s="1"/>
  <c r="AB10" i="3" s="1"/>
  <c r="U69" i="3"/>
  <c r="U78" i="3" s="1"/>
  <c r="AA10" i="3" s="1"/>
  <c r="AE16" i="3" l="1"/>
  <c r="AB16" i="3" a="1"/>
  <c r="AB16" i="3" s="1"/>
  <c r="AB18" i="3" a="1"/>
  <c r="AB18" i="3" s="1"/>
  <c r="AB17" i="3" a="1"/>
  <c r="AB17" i="3" s="1"/>
  <c r="AA16" i="3" a="1"/>
  <c r="AA16" i="3" s="1"/>
  <c r="AL20" i="3" a="1"/>
  <c r="AA18" i="3" a="1"/>
  <c r="AA18" i="3" s="1"/>
  <c r="AA17" i="3" a="1"/>
  <c r="AA17" i="3" s="1"/>
  <c r="X79" i="6"/>
  <c r="T79" i="6"/>
  <c r="W79" i="6"/>
  <c r="Y79" i="6" s="1"/>
  <c r="U79" i="6"/>
  <c r="U15" i="6"/>
  <c r="T15" i="6"/>
  <c r="X15" i="6"/>
  <c r="W15" i="6"/>
  <c r="Y15" i="6" s="1"/>
  <c r="U57" i="6"/>
  <c r="T57" i="6"/>
  <c r="X57" i="6"/>
  <c r="W57" i="6"/>
  <c r="Y57" i="6" s="1"/>
  <c r="U23" i="6"/>
  <c r="X23" i="6"/>
  <c r="W23" i="6"/>
  <c r="Y23" i="6" s="1"/>
  <c r="T23" i="6"/>
  <c r="T19" i="6"/>
  <c r="X19" i="6"/>
  <c r="W19" i="6"/>
  <c r="Y19" i="6" s="1"/>
  <c r="U19" i="6"/>
  <c r="W49" i="6"/>
  <c r="X49" i="6"/>
  <c r="U49" i="6"/>
  <c r="T49" i="6"/>
  <c r="W45" i="6"/>
  <c r="Y45" i="6" s="1"/>
  <c r="U45" i="6"/>
  <c r="X45" i="6"/>
  <c r="T45" i="6"/>
  <c r="N39" i="5"/>
  <c r="J39" i="5"/>
  <c r="M39" i="5" s="1"/>
  <c r="J48" i="5" s="1" a="1"/>
  <c r="X27" i="6"/>
  <c r="W27" i="6"/>
  <c r="Y27" i="6" s="1"/>
  <c r="U27" i="6"/>
  <c r="T27" i="6"/>
  <c r="W11" i="6"/>
  <c r="Y11" i="6" s="1"/>
  <c r="U11" i="6"/>
  <c r="T11" i="6"/>
  <c r="X11" i="6"/>
  <c r="N42" i="5"/>
  <c r="J42" i="5"/>
  <c r="M42" i="5" s="1"/>
  <c r="J51" i="5" s="1" a="1"/>
  <c r="X41" i="6"/>
  <c r="W41" i="6"/>
  <c r="U41" i="6"/>
  <c r="T41" i="6"/>
  <c r="U83" i="6"/>
  <c r="W83" i="6"/>
  <c r="X83" i="6"/>
  <c r="T83" i="6"/>
  <c r="AG57" i="4"/>
  <c r="Q35" i="4" a="1"/>
  <c r="C35" i="4" a="1"/>
  <c r="J41" i="5"/>
  <c r="M41" i="5" s="1"/>
  <c r="J50" i="5" s="1" a="1"/>
  <c r="N41" i="5"/>
  <c r="T53" i="6"/>
  <c r="X53" i="6"/>
  <c r="W53" i="6"/>
  <c r="Y53" i="6" s="1"/>
  <c r="U53" i="6"/>
  <c r="W71" i="6"/>
  <c r="Y71" i="6" s="1"/>
  <c r="U71" i="6"/>
  <c r="T71" i="6"/>
  <c r="X71" i="6"/>
  <c r="T87" i="6"/>
  <c r="X87" i="6"/>
  <c r="W87" i="6"/>
  <c r="U87" i="6"/>
  <c r="J38" i="5" a="1"/>
  <c r="J43" i="5"/>
  <c r="M43" i="5" s="1"/>
  <c r="N43" i="5"/>
  <c r="N40" i="5"/>
  <c r="J40" i="5"/>
  <c r="M40" i="5" s="1"/>
  <c r="J49" i="5" s="1" a="1"/>
  <c r="X75" i="6"/>
  <c r="T75" i="6"/>
  <c r="W75" i="6"/>
  <c r="Y75" i="6" s="1"/>
  <c r="U75" i="6"/>
  <c r="Z71" i="6" l="1"/>
  <c r="V71" i="6"/>
  <c r="J48" i="5"/>
  <c r="M48" i="5" s="1"/>
  <c r="N48" i="5"/>
  <c r="D36" i="4"/>
  <c r="C35" i="4"/>
  <c r="D35" i="4" s="1"/>
  <c r="E35" i="4" s="1" a="1"/>
  <c r="E35" i="4" s="1"/>
  <c r="Z41" i="6"/>
  <c r="V41" i="6"/>
  <c r="Y49" i="6"/>
  <c r="AC11" i="6" a="1"/>
  <c r="Z45" i="6"/>
  <c r="V45" i="6"/>
  <c r="V15" i="6"/>
  <c r="Z15" i="6"/>
  <c r="AB27" i="3" a="1"/>
  <c r="AB27" i="3" s="1"/>
  <c r="AA70" i="3" s="1"/>
  <c r="AA26" i="3" a="1"/>
  <c r="AA26" i="3" s="1"/>
  <c r="AA40" i="3" s="1"/>
  <c r="AC40" i="3" s="1"/>
  <c r="AA49" i="3" s="1"/>
  <c r="AB22" i="3" a="1"/>
  <c r="AB22" i="3" s="1"/>
  <c r="AL20" i="3"/>
  <c r="AA27" i="3" a="1"/>
  <c r="AA27" i="3" s="1"/>
  <c r="AA41" i="3" s="1"/>
  <c r="AG41" i="3" s="1"/>
  <c r="AE50" i="3" s="1"/>
  <c r="AA24" i="3" a="1"/>
  <c r="AA24" i="3" s="1"/>
  <c r="AA38" i="3" s="1"/>
  <c r="AE38" i="3" s="1"/>
  <c r="AC47" i="3" s="1"/>
  <c r="AB25" i="3" a="1"/>
  <c r="AB25" i="3" s="1"/>
  <c r="AA68" i="3" s="1"/>
  <c r="AB23" i="3" a="1"/>
  <c r="AB23" i="3" s="1"/>
  <c r="AA66" i="3" s="1"/>
  <c r="AB24" i="3" a="1"/>
  <c r="AB24" i="3" s="1"/>
  <c r="AA67" i="3" s="1"/>
  <c r="AB26" i="3" a="1"/>
  <c r="AB26" i="3" s="1"/>
  <c r="AA69" i="3" s="1"/>
  <c r="AA25" i="3" a="1"/>
  <c r="AA25" i="3" s="1"/>
  <c r="AA39" i="3" s="1"/>
  <c r="AF39" i="3" s="1"/>
  <c r="AD48" i="3" s="1"/>
  <c r="J38" i="5"/>
  <c r="M38" i="5" s="1"/>
  <c r="N38" i="5"/>
  <c r="J50" i="5"/>
  <c r="M50" i="5" s="1"/>
  <c r="N50" i="5"/>
  <c r="Z11" i="6"/>
  <c r="AE11" i="6" s="1" a="1"/>
  <c r="V11" i="6"/>
  <c r="AD11" i="6" s="1" a="1"/>
  <c r="Z23" i="6"/>
  <c r="V23" i="6"/>
  <c r="V75" i="6"/>
  <c r="Z75" i="6"/>
  <c r="R36" i="4"/>
  <c r="Q35" i="4"/>
  <c r="R35" i="4" s="1"/>
  <c r="T35" i="4" s="1" a="1"/>
  <c r="Y87" i="6"/>
  <c r="Y41" i="6"/>
  <c r="AC41" i="6" s="1" a="1"/>
  <c r="Z27" i="6"/>
  <c r="V27" i="6"/>
  <c r="J49" i="5"/>
  <c r="M49" i="5" s="1"/>
  <c r="N49" i="5"/>
  <c r="Z87" i="6"/>
  <c r="V87" i="6"/>
  <c r="Z83" i="6"/>
  <c r="V83" i="6"/>
  <c r="J51" i="5"/>
  <c r="M51" i="5" s="1"/>
  <c r="N51" i="5"/>
  <c r="Z53" i="6"/>
  <c r="V53" i="6"/>
  <c r="Z49" i="6"/>
  <c r="V49" i="6"/>
  <c r="V57" i="6"/>
  <c r="Z57" i="6"/>
  <c r="Z79" i="6"/>
  <c r="V79" i="6"/>
  <c r="J52" i="5" a="1"/>
  <c r="Y83" i="6"/>
  <c r="AC71" i="6" s="1" a="1"/>
  <c r="Z19" i="6"/>
  <c r="V19" i="6"/>
  <c r="AC80" i="6" l="1"/>
  <c r="AC71" i="6"/>
  <c r="AC78" i="6"/>
  <c r="AC81" i="6"/>
  <c r="AC79" i="6"/>
  <c r="AD26" i="6"/>
  <c r="AD28" i="6"/>
  <c r="AE11" i="6"/>
  <c r="AD25" i="6" s="1"/>
  <c r="AD27" i="6"/>
  <c r="AE41" i="6" a="1"/>
  <c r="K66" i="4" a="1"/>
  <c r="T35" i="4"/>
  <c r="K41" i="4" a="1"/>
  <c r="N41" i="4" a="1"/>
  <c r="R50" i="5"/>
  <c r="AP60" i="5"/>
  <c r="P50" i="5"/>
  <c r="AD41" i="6" a="1"/>
  <c r="J52" i="5"/>
  <c r="M52" i="5" s="1"/>
  <c r="N52" i="5"/>
  <c r="R49" i="5"/>
  <c r="AP59" i="5"/>
  <c r="P49" i="5"/>
  <c r="J47" i="5" a="1"/>
  <c r="AA22" i="3" a="1"/>
  <c r="AA22" i="3" s="1"/>
  <c r="AA23" i="3" a="1"/>
  <c r="AA23" i="3" s="1"/>
  <c r="AA37" i="3" s="1"/>
  <c r="AD37" i="3" s="1"/>
  <c r="AB46" i="3" s="1"/>
  <c r="AC20" i="6"/>
  <c r="AC21" i="6"/>
  <c r="AE21" i="6" s="1"/>
  <c r="AC11" i="6"/>
  <c r="AC18" i="6" s="1"/>
  <c r="AE18" i="6" s="1"/>
  <c r="AC19" i="6"/>
  <c r="AE19" i="6" s="1"/>
  <c r="P48" i="5"/>
  <c r="R48" i="5"/>
  <c r="AP58" i="5"/>
  <c r="AC49" i="6"/>
  <c r="AC41" i="6"/>
  <c r="AC48" i="6" s="1"/>
  <c r="AC50" i="6"/>
  <c r="AC51" i="6"/>
  <c r="AA65" i="3"/>
  <c r="AD74" i="3"/>
  <c r="AD71" i="6" a="1"/>
  <c r="AD19" i="6"/>
  <c r="AC27" i="6"/>
  <c r="AE27" i="6" s="1"/>
  <c r="AC26" i="6"/>
  <c r="AE26" i="6" s="1"/>
  <c r="AD20" i="6"/>
  <c r="AD11" i="6"/>
  <c r="AD18" i="6" s="1"/>
  <c r="AC28" i="6"/>
  <c r="AD21" i="6"/>
  <c r="R51" i="5"/>
  <c r="P51" i="5"/>
  <c r="AP61" i="5"/>
  <c r="AE71" i="6" a="1"/>
  <c r="J47" i="5" l="1"/>
  <c r="M47" i="5" s="1"/>
  <c r="N47" i="5"/>
  <c r="AR60" i="5"/>
  <c r="O42" i="4"/>
  <c r="N41" i="4"/>
  <c r="O41" i="4" s="1"/>
  <c r="AR61" i="5"/>
  <c r="L42" i="4"/>
  <c r="K41" i="4"/>
  <c r="L41" i="4" s="1"/>
  <c r="AE79" i="6"/>
  <c r="AE50" i="6"/>
  <c r="AR59" i="5"/>
  <c r="AE49" i="6"/>
  <c r="AE20" i="6"/>
  <c r="AE22" i="6" s="1"/>
  <c r="AC88" i="6"/>
  <c r="AD81" i="6"/>
  <c r="AE81" i="6" s="1"/>
  <c r="AD71" i="6"/>
  <c r="AD78" i="6" s="1"/>
  <c r="AE78" i="6" s="1"/>
  <c r="AE82" i="6" s="1"/>
  <c r="AC85" i="6"/>
  <c r="AE85" i="6" s="1"/>
  <c r="AD79" i="6"/>
  <c r="AC87" i="6"/>
  <c r="AE87" i="6" s="1"/>
  <c r="AC86" i="6"/>
  <c r="AD80" i="6"/>
  <c r="R52" i="5"/>
  <c r="P52" i="5"/>
  <c r="AP62" i="5"/>
  <c r="P66" i="4"/>
  <c r="K66" i="4"/>
  <c r="N66" i="4" s="1"/>
  <c r="AC25" i="6"/>
  <c r="AE25" i="6" s="1"/>
  <c r="AE29" i="6" s="1"/>
  <c r="AF54" i="3"/>
  <c r="AA36" i="3"/>
  <c r="AF36" i="3" s="1"/>
  <c r="AD45" i="3" s="1"/>
  <c r="AC57" i="6"/>
  <c r="AE57" i="6" s="1"/>
  <c r="AD49" i="6"/>
  <c r="AD50" i="6"/>
  <c r="AC56" i="6"/>
  <c r="AE56" i="6" s="1"/>
  <c r="AD51" i="6"/>
  <c r="AE51" i="6" s="1"/>
  <c r="AD41" i="6"/>
  <c r="AD48" i="6" s="1"/>
  <c r="AE48" i="6" s="1"/>
  <c r="AC58" i="6"/>
  <c r="AD58" i="6"/>
  <c r="AD56" i="6"/>
  <c r="AD57" i="6"/>
  <c r="AE41" i="6"/>
  <c r="AD55" i="6" s="1"/>
  <c r="AD87" i="6"/>
  <c r="AE71" i="6"/>
  <c r="AD85" i="6" s="1"/>
  <c r="AD86" i="6"/>
  <c r="AD88" i="6"/>
  <c r="AR58" i="5"/>
  <c r="AE28" i="6"/>
  <c r="AA75" i="3" a="1"/>
  <c r="AA75" i="3" s="1"/>
  <c r="AA74" i="3" a="1"/>
  <c r="AA74" i="3" s="1"/>
  <c r="AA76" i="3" a="1"/>
  <c r="AA76" i="3" s="1"/>
  <c r="AE80" i="6"/>
  <c r="AC95" i="6" l="1"/>
  <c r="AE52" i="6"/>
  <c r="AA54" i="3" a="1"/>
  <c r="AA54" i="3" s="1"/>
  <c r="AC54" i="3" a="1"/>
  <c r="AC54" i="3" s="1"/>
  <c r="AB55" i="3" a="1"/>
  <c r="AB55" i="3" s="1"/>
  <c r="AC57" i="3" a="1"/>
  <c r="AC57" i="3" s="1"/>
  <c r="AA57" i="3" a="1"/>
  <c r="AA57" i="3" s="1"/>
  <c r="AC58" i="3" a="1"/>
  <c r="AC58" i="3" s="1"/>
  <c r="AB57" i="3" a="1"/>
  <c r="AB57" i="3" s="1"/>
  <c r="AC55" i="3" a="1"/>
  <c r="AC55" i="3" s="1"/>
  <c r="AA56" i="3" a="1"/>
  <c r="AA56" i="3" s="1"/>
  <c r="AC56" i="3" a="1"/>
  <c r="AC56" i="3" s="1"/>
  <c r="AB54" i="3" a="1"/>
  <c r="AB54" i="3" s="1"/>
  <c r="AA58" i="3" a="1"/>
  <c r="AA58" i="3" s="1"/>
  <c r="AB56" i="3" a="1"/>
  <c r="AB56" i="3" s="1"/>
  <c r="AB58" i="3" a="1"/>
  <c r="AB58" i="3" s="1"/>
  <c r="AA55" i="3" a="1"/>
  <c r="AA55" i="3" s="1"/>
  <c r="AE88" i="6"/>
  <c r="AQ62" i="5"/>
  <c r="Q41" i="4" a="1"/>
  <c r="C41" i="4" a="1"/>
  <c r="AF58" i="4"/>
  <c r="AE86" i="6"/>
  <c r="P47" i="5"/>
  <c r="U47" i="5" s="1" a="1"/>
  <c r="AP57" i="5"/>
  <c r="R47" i="5"/>
  <c r="U53" i="5" s="1" a="1"/>
  <c r="AE58" i="6"/>
  <c r="AC55" i="6"/>
  <c r="AE55" i="6" s="1"/>
  <c r="AE59" i="6" s="1"/>
  <c r="AC94" i="6" s="1"/>
  <c r="AE89" i="6"/>
  <c r="U53" i="5" l="1"/>
  <c r="AG13" i="5" s="1"/>
  <c r="AG17" i="5"/>
  <c r="AG16" i="5"/>
  <c r="AG18" i="5"/>
  <c r="AG14" i="5"/>
  <c r="AG15" i="5"/>
  <c r="AG9" i="5"/>
  <c r="AG11" i="5"/>
  <c r="AG10" i="5"/>
  <c r="AG8" i="5"/>
  <c r="U47" i="5"/>
  <c r="AG7" i="5" s="1"/>
  <c r="AG12" i="5"/>
  <c r="AG58" i="4"/>
  <c r="AQ57" i="5"/>
  <c r="D42" i="4"/>
  <c r="C41" i="4"/>
  <c r="D41" i="4" s="1"/>
  <c r="E41" i="4" s="1" a="1"/>
  <c r="E41" i="4" s="1"/>
  <c r="R42" i="4"/>
  <c r="Q41" i="4"/>
  <c r="R41" i="4" s="1"/>
  <c r="T41" i="4" s="1" a="1"/>
  <c r="T41" i="4" l="1"/>
  <c r="K67" i="4" s="1" a="1"/>
  <c r="N47" i="4" a="1"/>
  <c r="K47" i="4" a="1"/>
  <c r="AG22" i="5" a="1"/>
  <c r="K67" i="4" l="1"/>
  <c r="AF59" i="4" s="1"/>
  <c r="AG30" i="5"/>
  <c r="AG29" i="5"/>
  <c r="AG22" i="5"/>
  <c r="AG28" i="5" s="1"/>
  <c r="O48" i="4"/>
  <c r="N47" i="4"/>
  <c r="O47" i="4" s="1"/>
  <c r="L48" i="4"/>
  <c r="K47" i="4"/>
  <c r="L47" i="4" s="1"/>
  <c r="AG59" i="4" l="1"/>
  <c r="E13" i="6" a="1"/>
  <c r="E13" i="6" s="1"/>
  <c r="AO14" i="5"/>
  <c r="AG34" i="5"/>
  <c r="AO7" i="5"/>
  <c r="Q47" i="4" a="1"/>
  <c r="C47" i="4" a="1"/>
  <c r="N67" i="4"/>
  <c r="AG35" i="5"/>
  <c r="AO15" i="5"/>
  <c r="AO8" i="5"/>
  <c r="P67" i="4"/>
  <c r="AO9" i="5"/>
  <c r="AG36" i="5"/>
  <c r="AO16" i="5"/>
  <c r="R48" i="4" l="1"/>
  <c r="Q47" i="4"/>
  <c r="R47" i="4" s="1"/>
  <c r="T47" i="4" s="1" a="1"/>
  <c r="AO38" i="5"/>
  <c r="AQ21" i="5" a="1"/>
  <c r="AQ21" i="5" s="1"/>
  <c r="AG37" i="5"/>
  <c r="D48" i="4"/>
  <c r="C47" i="4"/>
  <c r="D47" i="4" s="1"/>
  <c r="E47" i="4" s="1" a="1"/>
  <c r="E47" i="4" s="1"/>
  <c r="AO43" i="5" a="1"/>
  <c r="AO43" i="5" s="1"/>
  <c r="AO58" i="5" s="1"/>
  <c r="AQ58" i="5" s="1"/>
  <c r="AO48" i="5" a="1"/>
  <c r="AO48" i="5" s="1"/>
  <c r="AO47" i="5" a="1"/>
  <c r="AO47" i="5" s="1"/>
  <c r="AO62" i="5" s="1"/>
  <c r="AR62" i="5" s="1"/>
  <c r="AO45" i="5" a="1"/>
  <c r="AO45" i="5" s="1"/>
  <c r="AO60" i="5" s="1"/>
  <c r="AQ60" i="5" s="1"/>
  <c r="AO52" i="5" a="1"/>
  <c r="AO52" i="5" s="1"/>
  <c r="AO42" i="5" a="1"/>
  <c r="AO42" i="5" s="1"/>
  <c r="AO57" i="5" s="1"/>
  <c r="AR57" i="5" s="1"/>
  <c r="AO21" i="5" a="1"/>
  <c r="AO21" i="5" s="1"/>
  <c r="AO51" i="5" a="1"/>
  <c r="AO51" i="5" s="1"/>
  <c r="AO49" i="5" a="1"/>
  <c r="AO49" i="5" s="1"/>
  <c r="AO44" i="5" a="1"/>
  <c r="AO44" i="5" s="1"/>
  <c r="AO59" i="5" s="1"/>
  <c r="AQ59" i="5" s="1"/>
  <c r="AO46" i="5" a="1"/>
  <c r="AO46" i="5" s="1"/>
  <c r="AO61" i="5" s="1"/>
  <c r="AQ61" i="5" s="1"/>
  <c r="AO53" i="5" a="1"/>
  <c r="AO53" i="5" s="1"/>
  <c r="AO36" i="5"/>
  <c r="AO50" i="5" a="1"/>
  <c r="AO50" i="5" s="1"/>
  <c r="AO37" i="5"/>
  <c r="AP21" i="5" a="1"/>
  <c r="AP21" i="5" s="1"/>
  <c r="AP68" i="5" l="1"/>
  <c r="AP77" i="5" s="1"/>
  <c r="AO68" i="5"/>
  <c r="AP67" i="5"/>
  <c r="AP76" i="5" s="1"/>
  <c r="AO67" i="5"/>
  <c r="AO76" i="5" s="1"/>
  <c r="AO69" i="5"/>
  <c r="AO78" i="5" s="1"/>
  <c r="AP69" i="5"/>
  <c r="AP78" i="5" s="1"/>
  <c r="AO70" i="5"/>
  <c r="AP70" i="5"/>
  <c r="AP79" i="5" s="1"/>
  <c r="AO71" i="5"/>
  <c r="AO80" i="5" s="1"/>
  <c r="AP71" i="5"/>
  <c r="AO79" i="5"/>
  <c r="AP80" i="5"/>
  <c r="T47" i="4"/>
  <c r="K68" i="4" s="1" a="1"/>
  <c r="AO77" i="5"/>
  <c r="AO66" i="5"/>
  <c r="AO75" i="5" s="1"/>
  <c r="AP66" i="5"/>
  <c r="AP75" i="5" s="1"/>
  <c r="AY7" i="5" s="1"/>
  <c r="K68" i="4" l="1"/>
  <c r="P68" i="4"/>
  <c r="N68" i="4"/>
  <c r="AF60" i="4"/>
  <c r="AX7" i="5"/>
  <c r="AU12" i="5" a="1"/>
  <c r="AU7" i="5" a="1"/>
  <c r="AU7" i="5" s="1"/>
  <c r="N53" i="4" a="1"/>
  <c r="K53" i="4" a="1"/>
  <c r="AU24" i="5" l="1"/>
  <c r="AV23" i="5"/>
  <c r="AU23" i="5"/>
  <c r="AV22" i="5"/>
  <c r="AV21" i="5"/>
  <c r="AU22" i="5"/>
  <c r="AU12" i="5"/>
  <c r="AU21" i="5" s="1"/>
  <c r="AV26" i="5"/>
  <c r="AV25" i="5"/>
  <c r="AU26" i="5"/>
  <c r="AU25" i="5"/>
  <c r="AV24" i="5"/>
  <c r="AG60" i="4"/>
  <c r="K53" i="4"/>
  <c r="L53" i="4" s="1"/>
  <c r="L54" i="4"/>
  <c r="N53" i="4"/>
  <c r="O53" i="4" s="1"/>
  <c r="O54" i="4"/>
  <c r="AX30" i="5" l="1"/>
  <c r="AU30" i="5" a="1"/>
  <c r="AU30" i="5" s="1"/>
  <c r="AU35" i="5" a="1"/>
  <c r="AY30" i="5"/>
  <c r="Q53" i="4" a="1"/>
  <c r="C53" i="4" a="1"/>
  <c r="D54" i="4" l="1"/>
  <c r="C53" i="4"/>
  <c r="D53" i="4" s="1"/>
  <c r="E53" i="4" s="1" a="1"/>
  <c r="E53" i="4" s="1"/>
  <c r="R54" i="4"/>
  <c r="Q53" i="4"/>
  <c r="R53" i="4" s="1"/>
  <c r="T53" i="4" s="1" a="1"/>
  <c r="AU35" i="5"/>
  <c r="AU53" i="5" s="1" a="1"/>
  <c r="AU48" i="5" a="1"/>
  <c r="AU48" i="5" s="1"/>
  <c r="AW75" i="5" l="1" a="1"/>
  <c r="AU53" i="5"/>
  <c r="AU75" i="5" a="1"/>
  <c r="T53" i="4"/>
  <c r="K69" i="4" a="1"/>
  <c r="N59" i="4" a="1"/>
  <c r="K59" i="4" a="1"/>
  <c r="N69" i="4" l="1"/>
  <c r="AF61" i="4"/>
  <c r="K69" i="4"/>
  <c r="P69" i="4"/>
  <c r="O60" i="4"/>
  <c r="N59" i="4"/>
  <c r="O59" i="4" s="1"/>
  <c r="L60" i="4"/>
  <c r="K59" i="4"/>
  <c r="L59" i="4" s="1"/>
  <c r="AU75" i="5"/>
  <c r="BU75" i="5" a="1"/>
  <c r="BU75" i="5" s="1"/>
  <c r="BO75" i="5" a="1"/>
  <c r="BO75" i="5" s="1"/>
  <c r="AW64" i="5" a="1"/>
  <c r="AU64" i="5" a="1"/>
  <c r="BH80" i="5" a="1"/>
  <c r="BH80" i="5" s="1"/>
  <c r="BD80" i="5" a="1"/>
  <c r="BD80" i="5" s="1"/>
  <c r="BG79" i="5" a="1"/>
  <c r="BG79" i="5" s="1"/>
  <c r="BF78" i="5" a="1"/>
  <c r="BF78" i="5" s="1"/>
  <c r="BI77" i="5" a="1"/>
  <c r="BI77" i="5" s="1"/>
  <c r="BE77" i="5" a="1"/>
  <c r="BE77" i="5" s="1"/>
  <c r="BH76" i="5" a="1"/>
  <c r="BH76" i="5" s="1"/>
  <c r="BD76" i="5" a="1"/>
  <c r="BD76" i="5" s="1"/>
  <c r="BG80" i="5" a="1"/>
  <c r="BG80" i="5" s="1"/>
  <c r="BF79" i="5" a="1"/>
  <c r="BF79" i="5" s="1"/>
  <c r="BI78" i="5" a="1"/>
  <c r="BI78" i="5" s="1"/>
  <c r="BE78" i="5" a="1"/>
  <c r="BE78" i="5" s="1"/>
  <c r="BH77" i="5" a="1"/>
  <c r="BH77" i="5" s="1"/>
  <c r="BD77" i="5" a="1"/>
  <c r="BD77" i="5" s="1"/>
  <c r="BG76" i="5" a="1"/>
  <c r="BG76" i="5" s="1"/>
  <c r="AW75" i="5"/>
  <c r="BF80" i="5" a="1"/>
  <c r="BF80" i="5" s="1"/>
  <c r="BI79" i="5" a="1"/>
  <c r="BI79" i="5" s="1"/>
  <c r="BE79" i="5" a="1"/>
  <c r="BE79" i="5" s="1"/>
  <c r="BH78" i="5" a="1"/>
  <c r="BH78" i="5" s="1"/>
  <c r="BD78" i="5" a="1"/>
  <c r="BD78" i="5" s="1"/>
  <c r="BG77" i="5" a="1"/>
  <c r="BG77" i="5" s="1"/>
  <c r="BF76" i="5" a="1"/>
  <c r="BF76" i="5" s="1"/>
  <c r="BI80" i="5" a="1"/>
  <c r="BI80" i="5" s="1"/>
  <c r="BE76" i="5" a="1"/>
  <c r="BE76" i="5" s="1"/>
  <c r="BE80" i="5" a="1"/>
  <c r="BE80" i="5" s="1"/>
  <c r="BH79" i="5" a="1"/>
  <c r="BH79" i="5" s="1"/>
  <c r="BD79" i="5" a="1"/>
  <c r="BD79" i="5" s="1"/>
  <c r="BG78" i="5" a="1"/>
  <c r="BG78" i="5" s="1"/>
  <c r="BF77" i="5" a="1"/>
  <c r="BF77" i="5" s="1"/>
  <c r="BI76" i="5" a="1"/>
  <c r="BI76" i="5" s="1"/>
  <c r="C59" i="4" l="1" a="1"/>
  <c r="Q59" i="4" a="1"/>
  <c r="AU64" i="5"/>
  <c r="BU64" i="5" a="1"/>
  <c r="BU64" i="5" s="1"/>
  <c r="BO64" i="5" a="1"/>
  <c r="BO64" i="5" s="1"/>
  <c r="BH75" i="5" a="1"/>
  <c r="BH75" i="5" s="1"/>
  <c r="BD75" i="5" a="1"/>
  <c r="BD75" i="5" s="1"/>
  <c r="BG75" i="5" a="1"/>
  <c r="BG75" i="5" s="1"/>
  <c r="BF75" i="5" a="1"/>
  <c r="BF75" i="5" s="1"/>
  <c r="BI75" i="5" a="1"/>
  <c r="BI75" i="5" s="1"/>
  <c r="BE75" i="5" a="1"/>
  <c r="BE75" i="5" s="1"/>
  <c r="BI69" i="5" a="1"/>
  <c r="BI69" i="5" s="1"/>
  <c r="BE69" i="5" a="1"/>
  <c r="BE69" i="5" s="1"/>
  <c r="BH68" i="5" a="1"/>
  <c r="BH68" i="5" s="1"/>
  <c r="BD68" i="5" a="1"/>
  <c r="BD68" i="5" s="1"/>
  <c r="BG67" i="5" a="1"/>
  <c r="BG67" i="5" s="1"/>
  <c r="BF66" i="5" a="1"/>
  <c r="BF66" i="5" s="1"/>
  <c r="BI65" i="5" a="1"/>
  <c r="BI65" i="5" s="1"/>
  <c r="BH69" i="5" a="1"/>
  <c r="BH69" i="5" s="1"/>
  <c r="BD69" i="5" a="1"/>
  <c r="BD69" i="5" s="1"/>
  <c r="BG68" i="5" a="1"/>
  <c r="BG68" i="5" s="1"/>
  <c r="BF67" i="5" a="1"/>
  <c r="BF67" i="5" s="1"/>
  <c r="BI66" i="5" a="1"/>
  <c r="BI66" i="5" s="1"/>
  <c r="BE66" i="5" a="1"/>
  <c r="BE66" i="5" s="1"/>
  <c r="BH65" i="5" a="1"/>
  <c r="BH65" i="5" s="1"/>
  <c r="BD65" i="5" a="1"/>
  <c r="BD65" i="5" s="1"/>
  <c r="AW64" i="5"/>
  <c r="BG69" i="5" a="1"/>
  <c r="BG69" i="5" s="1"/>
  <c r="BF68" i="5" a="1"/>
  <c r="BF68" i="5" s="1"/>
  <c r="BI67" i="5" a="1"/>
  <c r="BI67" i="5" s="1"/>
  <c r="BE67" i="5" a="1"/>
  <c r="BE67" i="5" s="1"/>
  <c r="BH66" i="5" a="1"/>
  <c r="BH66" i="5" s="1"/>
  <c r="BD66" i="5" a="1"/>
  <c r="BD66" i="5" s="1"/>
  <c r="BF69" i="5" a="1"/>
  <c r="BF69" i="5" s="1"/>
  <c r="BG65" i="5" a="1"/>
  <c r="BG65" i="5" s="1"/>
  <c r="BI68" i="5" a="1"/>
  <c r="BI68" i="5" s="1"/>
  <c r="BF65" i="5" a="1"/>
  <c r="BF65" i="5" s="1"/>
  <c r="BE68" i="5" a="1"/>
  <c r="BE68" i="5" s="1"/>
  <c r="BE65" i="5" a="1"/>
  <c r="BE65" i="5" s="1"/>
  <c r="BH67" i="5" a="1"/>
  <c r="BH67" i="5" s="1"/>
  <c r="BD67" i="5" a="1"/>
  <c r="BD67" i="5" s="1"/>
  <c r="BG66" i="5" a="1"/>
  <c r="BG66" i="5" s="1"/>
  <c r="AG61" i="4"/>
  <c r="BG64" i="5" l="1" a="1"/>
  <c r="BG64" i="5" s="1"/>
  <c r="BD64" i="5" a="1"/>
  <c r="BD64" i="5" s="1"/>
  <c r="BI64" i="5" a="1"/>
  <c r="BI64" i="5" s="1"/>
  <c r="BH64" i="5" a="1"/>
  <c r="BH64" i="5" s="1"/>
  <c r="BF64" i="5" a="1"/>
  <c r="BF64" i="5" s="1"/>
  <c r="BE64" i="5" a="1"/>
  <c r="BE64" i="5" s="1"/>
  <c r="R60" i="4"/>
  <c r="Q59" i="4"/>
  <c r="R59" i="4" s="1"/>
  <c r="BL75" i="5" a="1"/>
  <c r="BK75" i="5" a="1"/>
  <c r="C59" i="4"/>
  <c r="D59" i="4" s="1"/>
  <c r="E59" i="4" s="1" a="1"/>
  <c r="E59" i="4" s="1"/>
  <c r="D60" i="4"/>
  <c r="BK75" i="5" l="1"/>
  <c r="BS75" i="5" a="1"/>
  <c r="BS75" i="5" s="1"/>
  <c r="BN75" i="5" a="1"/>
  <c r="BN75" i="5" s="1"/>
  <c r="BL64" i="5" a="1"/>
  <c r="BK64" i="5" a="1"/>
  <c r="BQ75" i="5" a="1"/>
  <c r="BL75" i="5"/>
  <c r="BM75" i="5" a="1"/>
  <c r="BM75" i="5" s="1"/>
  <c r="T59" i="4" a="1"/>
  <c r="BK64" i="5" l="1"/>
  <c r="BS64" i="5" a="1"/>
  <c r="BS64" i="5" s="1"/>
  <c r="BN64" i="5" a="1"/>
  <c r="BN64" i="5" s="1"/>
  <c r="BQ64" i="5" a="1"/>
  <c r="BL64" i="5"/>
  <c r="BM64" i="5" a="1"/>
  <c r="BM64" i="5" s="1"/>
  <c r="BQ75" i="5"/>
  <c r="BX75" i="5" a="1"/>
  <c r="BX75" i="5" s="1"/>
  <c r="T59" i="4"/>
  <c r="K70" i="4" s="1" a="1"/>
  <c r="N70" i="4" l="1"/>
  <c r="K74" i="4" s="1" a="1"/>
  <c r="AF62" i="4"/>
  <c r="K70" i="4"/>
  <c r="P70" i="4" s="1"/>
  <c r="K80" i="4" s="1" a="1"/>
  <c r="BQ64" i="5"/>
  <c r="BX64" i="5" a="1"/>
  <c r="K80" i="4" l="1"/>
  <c r="W13" i="4" s="1"/>
  <c r="W15" i="4"/>
  <c r="W16" i="4"/>
  <c r="W17" i="4"/>
  <c r="W18" i="4"/>
  <c r="W14" i="4"/>
  <c r="BX64" i="5"/>
  <c r="BX85" i="5" a="1"/>
  <c r="AG62" i="4"/>
  <c r="K74" i="4"/>
  <c r="W7" i="4" s="1"/>
  <c r="W12" i="4"/>
  <c r="W8" i="4"/>
  <c r="W11" i="4"/>
  <c r="W10" i="4"/>
  <c r="W9" i="4"/>
  <c r="W22" i="4" l="1" a="1"/>
  <c r="BX85" i="5"/>
  <c r="CA85" i="5" a="1"/>
  <c r="CA85" i="5" l="1"/>
  <c r="CF44" i="5"/>
  <c r="CC35" i="5"/>
  <c r="CC40" i="5"/>
  <c r="CC37" i="5"/>
  <c r="CC38" i="5"/>
  <c r="CC36" i="5"/>
  <c r="CC39" i="5"/>
  <c r="W29" i="4"/>
  <c r="W30" i="4"/>
  <c r="W22" i="4"/>
  <c r="W28" i="4" s="1"/>
  <c r="E9" i="6" l="1" a="1"/>
  <c r="E9" i="6" s="1"/>
  <c r="W34" i="4"/>
  <c r="W37" i="4" s="1"/>
  <c r="AE7" i="4"/>
  <c r="AE14" i="4"/>
  <c r="CC44" i="5" a="1"/>
  <c r="CC44" i="5" s="1"/>
  <c r="CC46" i="5" a="1"/>
  <c r="CC46" i="5" s="1"/>
  <c r="CC45" i="5" a="1"/>
  <c r="CC45" i="5" s="1"/>
  <c r="AE9" i="4"/>
  <c r="W36" i="4"/>
  <c r="AE16" i="4"/>
  <c r="W35" i="4"/>
  <c r="AE15" i="4"/>
  <c r="AE8" i="4"/>
  <c r="CH24" i="5"/>
  <c r="CC6" i="5" a="1"/>
  <c r="AE53" i="4" l="1" a="1"/>
  <c r="AE53" i="4" s="1"/>
  <c r="AE48" i="4" a="1"/>
  <c r="AE48" i="4" s="1"/>
  <c r="AE46" i="4" a="1"/>
  <c r="AE46" i="4" s="1"/>
  <c r="AE61" i="4" s="1"/>
  <c r="AH61" i="4" s="1"/>
  <c r="AE21" i="4" a="1"/>
  <c r="AE21" i="4" s="1"/>
  <c r="AE44" i="4" a="1"/>
  <c r="AE44" i="4" s="1"/>
  <c r="AE59" i="4" s="1"/>
  <c r="AH59" i="4" s="1"/>
  <c r="AE47" i="4" a="1"/>
  <c r="AE47" i="4" s="1"/>
  <c r="AE62" i="4" s="1"/>
  <c r="AH62" i="4" s="1"/>
  <c r="AE52" i="4" a="1"/>
  <c r="AE52" i="4" s="1"/>
  <c r="AE43" i="4" a="1"/>
  <c r="AE43" i="4" s="1"/>
  <c r="AE58" i="4" s="1"/>
  <c r="AH58" i="4" s="1"/>
  <c r="AE51" i="4" a="1"/>
  <c r="AE51" i="4" s="1"/>
  <c r="AE50" i="4" a="1"/>
  <c r="AE50" i="4" s="1"/>
  <c r="AE42" i="4" a="1"/>
  <c r="AE42" i="4" s="1"/>
  <c r="AE57" i="4" s="1"/>
  <c r="AH57" i="4" s="1"/>
  <c r="AE36" i="4"/>
  <c r="AE49" i="4" a="1"/>
  <c r="AE49" i="4" s="1"/>
  <c r="AE45" i="4" a="1"/>
  <c r="AE45" i="4" s="1"/>
  <c r="AE60" i="4" s="1"/>
  <c r="AH60" i="4" s="1"/>
  <c r="CC6" i="5"/>
  <c r="CH6" i="5" s="1"/>
  <c r="CF15" i="5" s="1"/>
  <c r="CH9" i="5"/>
  <c r="CF18" i="5" s="1"/>
  <c r="CI11" i="5"/>
  <c r="CG20" i="5" s="1"/>
  <c r="CE10" i="5"/>
  <c r="CC19" i="5" s="1"/>
  <c r="CF7" i="5"/>
  <c r="CD16" i="5" s="1"/>
  <c r="CG8" i="5"/>
  <c r="CE17" i="5" s="1"/>
  <c r="AE37" i="4"/>
  <c r="AF21" i="4" a="1"/>
  <c r="AF21" i="4" s="1"/>
  <c r="AE38" i="4"/>
  <c r="AG21" i="4" a="1"/>
  <c r="AG21" i="4" s="1"/>
  <c r="AE70" i="4" l="1"/>
  <c r="AE79" i="4" s="1"/>
  <c r="AF70" i="4"/>
  <c r="CD25" i="5" a="1"/>
  <c r="CD25" i="5" s="1"/>
  <c r="CD28" i="5" a="1"/>
  <c r="CD28" i="5" s="1"/>
  <c r="CD24" i="5" a="1"/>
  <c r="CD24" i="5" s="1"/>
  <c r="CC27" i="5" a="1"/>
  <c r="CC27" i="5" s="1"/>
  <c r="CE27" i="5" a="1"/>
  <c r="CE27" i="5" s="1"/>
  <c r="CE26" i="5" a="1"/>
  <c r="CE26" i="5" s="1"/>
  <c r="CC26" i="5" a="1"/>
  <c r="CC26" i="5" s="1"/>
  <c r="CE25" i="5" a="1"/>
  <c r="CE25" i="5" s="1"/>
  <c r="CC25" i="5" a="1"/>
  <c r="CC25" i="5" s="1"/>
  <c r="CD27" i="5" a="1"/>
  <c r="CD27" i="5" s="1"/>
  <c r="CC28" i="5" a="1"/>
  <c r="CC28" i="5" s="1"/>
  <c r="CE28" i="5" a="1"/>
  <c r="CE28" i="5" s="1"/>
  <c r="CE24" i="5" a="1"/>
  <c r="CE24" i="5" s="1"/>
  <c r="CC24" i="5" a="1"/>
  <c r="CC24" i="5" s="1"/>
  <c r="CD26" i="5" a="1"/>
  <c r="CD26" i="5" s="1"/>
  <c r="AF79" i="4"/>
  <c r="AF78" i="4"/>
  <c r="AF68" i="4"/>
  <c r="AF77" i="4" s="1"/>
  <c r="AE68" i="4"/>
  <c r="AE77" i="4" s="1"/>
  <c r="AE66" i="4"/>
  <c r="AE75" i="4" s="1"/>
  <c r="AF66" i="4"/>
  <c r="AF75" i="4" s="1"/>
  <c r="AF67" i="4"/>
  <c r="AF76" i="4" s="1"/>
  <c r="AE67" i="4"/>
  <c r="AE76" i="4" s="1"/>
  <c r="AF69" i="4"/>
  <c r="AE69" i="4"/>
  <c r="AE78" i="4" s="1"/>
  <c r="AF71" i="4"/>
  <c r="AF80" i="4" s="1"/>
  <c r="AE71" i="4"/>
  <c r="AE80" i="4" s="1"/>
  <c r="AE85" i="4" l="1" a="1"/>
  <c r="AE85" i="4" s="1"/>
  <c r="AE94" i="4" s="1" a="1"/>
  <c r="AE94" i="4" l="1"/>
  <c r="AK8" i="4" s="1" a="1"/>
  <c r="AK8" i="4" l="1"/>
  <c r="AM8" i="4" s="1" a="1"/>
  <c r="AM8" i="4" l="1"/>
  <c r="AN8" i="4" s="1" a="1"/>
  <c r="AO8" i="4" a="1"/>
  <c r="AN8" i="4" l="1"/>
  <c r="AY8" i="4" s="1" a="1"/>
  <c r="AW8" i="4" a="1"/>
  <c r="AQ8" i="4" a="1"/>
  <c r="AU8" i="4" a="1"/>
  <c r="AO8" i="4"/>
  <c r="AP8" i="4" s="1" a="1"/>
  <c r="BB8" i="4" l="1" a="1"/>
  <c r="AP8" i="4"/>
  <c r="BD8" i="4" s="1" a="1"/>
  <c r="AY8" i="4"/>
  <c r="AU8" i="4"/>
  <c r="AW8" i="4"/>
  <c r="AQ8" i="4"/>
  <c r="AR8" i="4" s="1" a="1"/>
  <c r="AR8" i="4" l="1"/>
  <c r="BE8" i="4" s="1" a="1"/>
  <c r="BI8" i="4" a="1"/>
  <c r="BG8" i="4" a="1"/>
  <c r="AS8" i="4" a="1"/>
  <c r="AZ50" i="4" a="1"/>
  <c r="BD8" i="4"/>
  <c r="AZ8" i="4" a="1"/>
  <c r="BB8" i="4"/>
  <c r="BE8" i="4" l="1"/>
  <c r="AZ50" i="4"/>
  <c r="AU61" i="4" s="1"/>
  <c r="AV61" i="4"/>
  <c r="BL40" i="4" s="1"/>
  <c r="BG8" i="4"/>
  <c r="AZ8" i="4"/>
  <c r="BI8" i="4"/>
  <c r="AS8" i="4"/>
  <c r="AK14" i="4" a="1"/>
  <c r="AK14" i="4" l="1"/>
  <c r="AO14" i="4" a="1"/>
  <c r="AM14" i="4" a="1"/>
  <c r="AO14" i="4" l="1"/>
  <c r="AP14" i="4" s="1" a="1"/>
  <c r="AM14" i="4"/>
  <c r="AN14" i="4" a="1"/>
  <c r="AP14" i="4" l="1"/>
  <c r="BB14" i="4" s="1" a="1"/>
  <c r="AZ14" i="4" a="1"/>
  <c r="BD14" i="4" a="1"/>
  <c r="AU14" i="4" a="1"/>
  <c r="AY14" i="4" a="1"/>
  <c r="AW14" i="4" a="1"/>
  <c r="AQ14" i="4" a="1"/>
  <c r="AN14" i="4"/>
  <c r="BB14" i="4" l="1"/>
  <c r="AY14" i="4"/>
  <c r="AU14" i="4"/>
  <c r="BD14" i="4"/>
  <c r="AW14" i="4"/>
  <c r="AZ14" i="4"/>
  <c r="AQ14" i="4"/>
  <c r="AR14" i="4" a="1"/>
  <c r="BE14" i="4" l="1" a="1"/>
  <c r="AR14" i="4"/>
  <c r="BI14" i="4" s="1" a="1"/>
  <c r="AS14" i="4" a="1"/>
  <c r="AY50" i="4" a="1"/>
  <c r="BI14" i="4" l="1"/>
  <c r="BE14" i="4"/>
  <c r="AV60" i="4"/>
  <c r="BL39" i="4" s="1"/>
  <c r="AY50" i="4"/>
  <c r="AU60" i="4" s="1"/>
  <c r="BG14" i="4" a="1"/>
  <c r="AS14" i="4"/>
  <c r="AK20" i="4" a="1"/>
  <c r="AK20" i="4" l="1"/>
  <c r="AO20" i="4" a="1"/>
  <c r="AM20" i="4" a="1"/>
  <c r="BG14" i="4"/>
  <c r="AM20" i="4" l="1"/>
  <c r="AN20" i="4" s="1" a="1"/>
  <c r="AO20" i="4"/>
  <c r="AP20" i="4" s="1" a="1"/>
  <c r="AP20" i="4" l="1"/>
  <c r="BB20" i="4" s="1" a="1"/>
  <c r="AZ20" i="4" a="1"/>
  <c r="BD20" i="4" a="1"/>
  <c r="AN20" i="4"/>
  <c r="AQ20" i="4" s="1" a="1"/>
  <c r="AQ20" i="4" l="1"/>
  <c r="AR20" i="4" s="1" a="1"/>
  <c r="BB20" i="4"/>
  <c r="BD20" i="4"/>
  <c r="AZ20" i="4"/>
  <c r="AU20" i="4" a="1"/>
  <c r="AW20" i="4" a="1"/>
  <c r="AY20" i="4" a="1"/>
  <c r="AR20" i="4" l="1"/>
  <c r="BI20" i="4" s="1" a="1"/>
  <c r="AX50" i="4" a="1"/>
  <c r="AS20" i="4" a="1"/>
  <c r="AY20" i="4"/>
  <c r="AW20" i="4"/>
  <c r="AU20" i="4"/>
  <c r="BI20" i="4" l="1"/>
  <c r="AX50" i="4"/>
  <c r="AU59" i="4" s="1"/>
  <c r="AV59" i="4"/>
  <c r="BL38" i="4" s="1"/>
  <c r="AS20" i="4"/>
  <c r="AK26" i="4" a="1"/>
  <c r="BE20" i="4" a="1"/>
  <c r="BG20" i="4" a="1"/>
  <c r="BE20" i="4" l="1"/>
  <c r="AK26" i="4"/>
  <c r="AM26" i="4" s="1" a="1"/>
  <c r="AO26" i="4" a="1"/>
  <c r="BG20" i="4"/>
  <c r="AM26" i="4" l="1"/>
  <c r="AN26" i="4" s="1" a="1"/>
  <c r="AO26" i="4"/>
  <c r="AP26" i="4" s="1" a="1"/>
  <c r="BB26" i="4" l="1" a="1"/>
  <c r="AP26" i="4"/>
  <c r="BD26" i="4" s="1" a="1"/>
  <c r="AZ26" i="4" a="1"/>
  <c r="AN26" i="4"/>
  <c r="AQ26" i="4" s="1" a="1"/>
  <c r="AW26" i="4" a="1"/>
  <c r="AQ26" i="4" l="1"/>
  <c r="AR26" i="4" s="1" a="1"/>
  <c r="BD26" i="4"/>
  <c r="AW26" i="4"/>
  <c r="AZ26" i="4"/>
  <c r="BB26" i="4"/>
  <c r="AY26" i="4" a="1"/>
  <c r="AU26" i="4" a="1"/>
  <c r="AR26" i="4" l="1"/>
  <c r="BE26" i="4" s="1" a="1"/>
  <c r="BG26" i="4" a="1"/>
  <c r="AW50" i="4" a="1"/>
  <c r="AS26" i="4" a="1"/>
  <c r="AU26" i="4"/>
  <c r="AY26" i="4"/>
  <c r="BE26" i="4" l="1"/>
  <c r="BG26" i="4"/>
  <c r="AW50" i="4"/>
  <c r="AU58" i="4" s="1"/>
  <c r="AV58" i="4"/>
  <c r="BL37" i="4" s="1"/>
  <c r="BI26" i="4" a="1"/>
  <c r="AS26" i="4"/>
  <c r="AK32" i="4" a="1"/>
  <c r="BI26" i="4" l="1"/>
  <c r="AK32" i="4"/>
  <c r="AO32" i="4" a="1"/>
  <c r="AM32" i="4" a="1"/>
  <c r="AM32" i="4" l="1"/>
  <c r="AN32" i="4" a="1"/>
  <c r="AP32" i="4" a="1"/>
  <c r="AO32" i="4"/>
  <c r="AP32" i="4" l="1"/>
  <c r="BB32" i="4" s="1" a="1"/>
  <c r="AZ32" i="4" a="1"/>
  <c r="BD32" i="4" a="1"/>
  <c r="AU32" i="4" a="1"/>
  <c r="AY32" i="4" a="1"/>
  <c r="AW32" i="4" a="1"/>
  <c r="AQ32" i="4" a="1"/>
  <c r="AN32" i="4"/>
  <c r="BB32" i="4" l="1"/>
  <c r="AU32" i="4"/>
  <c r="AW32" i="4"/>
  <c r="BD32" i="4"/>
  <c r="AZ32" i="4"/>
  <c r="AY32" i="4"/>
  <c r="AQ32" i="4"/>
  <c r="AR32" i="4" a="1"/>
  <c r="BG32" i="4" l="1" a="1"/>
  <c r="AR32" i="4"/>
  <c r="BI32" i="4" s="1" a="1"/>
  <c r="AS32" i="4" a="1"/>
  <c r="AV50" i="4" a="1"/>
  <c r="BI32" i="4" l="1"/>
  <c r="AV50" i="4"/>
  <c r="AU57" i="4" s="1"/>
  <c r="AV57" i="4"/>
  <c r="BL36" i="4" s="1"/>
  <c r="BE32" i="4" a="1"/>
  <c r="BG32" i="4"/>
  <c r="AS32" i="4"/>
  <c r="AK38" i="4" a="1"/>
  <c r="BE32" i="4" l="1"/>
  <c r="AK38" i="4"/>
  <c r="AO38" i="4" a="1"/>
  <c r="AM38" i="4" a="1"/>
  <c r="AO38" i="4" l="1"/>
  <c r="AP38" i="4" a="1"/>
  <c r="AN38" i="4" a="1"/>
  <c r="AM38" i="4"/>
  <c r="AN38" i="4" l="1"/>
  <c r="AY38" i="4" s="1" a="1"/>
  <c r="AW38" i="4" a="1"/>
  <c r="AQ38" i="4" a="1"/>
  <c r="AU38" i="4" a="1"/>
  <c r="AP38" i="4"/>
  <c r="AZ38" i="4" s="1" a="1"/>
  <c r="AZ38" i="4" l="1"/>
  <c r="AZ44" i="4" s="1"/>
  <c r="BA44" i="4"/>
  <c r="BA45" i="4"/>
  <c r="AZ45" i="4"/>
  <c r="AY38" i="4"/>
  <c r="AY44" i="4" s="1"/>
  <c r="AY45" i="4"/>
  <c r="AW38" i="4"/>
  <c r="AW44" i="4" s="1"/>
  <c r="AX44" i="4"/>
  <c r="AX45" i="4"/>
  <c r="AW45" i="4"/>
  <c r="AU38" i="4"/>
  <c r="AU44" i="4" s="1"/>
  <c r="AV44" i="4"/>
  <c r="AV45" i="4"/>
  <c r="AU45" i="4"/>
  <c r="BB38" i="4" a="1"/>
  <c r="AR38" i="4" a="1"/>
  <c r="AQ38" i="4"/>
  <c r="BD38" i="4" a="1"/>
  <c r="BB38" i="4" l="1"/>
  <c r="BB44" i="4" s="1"/>
  <c r="BC44" i="4"/>
  <c r="BB45" i="4"/>
  <c r="BC45" i="4"/>
  <c r="BD38" i="4"/>
  <c r="BD44" i="4" s="1"/>
  <c r="BD45" i="4"/>
  <c r="BG38" i="4" a="1"/>
  <c r="BE38" i="4" a="1"/>
  <c r="AR38" i="4"/>
  <c r="BI38" i="4" a="1"/>
  <c r="AU50" i="4" a="1"/>
  <c r="AS38" i="4" a="1"/>
  <c r="AS38" i="4" s="1"/>
  <c r="BE38" i="4" l="1"/>
  <c r="BE44" i="4" s="1"/>
  <c r="BE45" i="4"/>
  <c r="BF44" i="4"/>
  <c r="BF45" i="4"/>
  <c r="AU50" i="4"/>
  <c r="AU56" i="4" s="1"/>
  <c r="AV56" i="4"/>
  <c r="BI38" i="4"/>
  <c r="BI44" i="4" s="1"/>
  <c r="BI45" i="4"/>
  <c r="BG38" i="4"/>
  <c r="BG44" i="4" s="1"/>
  <c r="BG45" i="4"/>
  <c r="BH45" i="4"/>
  <c r="BH44" i="4"/>
  <c r="BL6" i="4" l="1" a="1"/>
  <c r="BQ24" i="4"/>
  <c r="BO44" i="4"/>
  <c r="BL35" i="4"/>
  <c r="BL45" i="4" l="1" a="1"/>
  <c r="BL45" i="4" s="1"/>
  <c r="BL44" i="4" a="1"/>
  <c r="BL44" i="4" s="1"/>
  <c r="BL46" i="4" a="1"/>
  <c r="BL46" i="4" s="1"/>
  <c r="BL6" i="4"/>
  <c r="BQ6" i="4" s="1"/>
  <c r="BO15" i="4" s="1"/>
  <c r="BR11" i="4"/>
  <c r="BP20" i="4" s="1"/>
  <c r="BQ9" i="4"/>
  <c r="BO18" i="4" s="1"/>
  <c r="BN10" i="4"/>
  <c r="BL19" i="4" s="1"/>
  <c r="BO7" i="4"/>
  <c r="BM16" i="4" s="1"/>
  <c r="BP8" i="4"/>
  <c r="BN17" i="4" s="1"/>
  <c r="BL25" i="4" l="1" a="1"/>
  <c r="BL25" i="4" s="1"/>
  <c r="BN25" i="4" a="1"/>
  <c r="BN25" i="4" s="1"/>
  <c r="BN27" i="4" a="1"/>
  <c r="BN27" i="4" s="1"/>
  <c r="BM28" i="4" a="1"/>
  <c r="BM28" i="4" s="1"/>
  <c r="BM24" i="4" a="1"/>
  <c r="BM24" i="4" s="1"/>
  <c r="BM26" i="4" a="1"/>
  <c r="BM26" i="4" s="1"/>
  <c r="BL27" i="4" a="1"/>
  <c r="BL27" i="4" s="1"/>
  <c r="BM25" i="4" a="1"/>
  <c r="BM25" i="4" s="1"/>
  <c r="BL28" i="4" a="1"/>
  <c r="BL28" i="4" s="1"/>
  <c r="BL24" i="4" a="1"/>
  <c r="BL24" i="4" s="1"/>
  <c r="BL26" i="4" a="1"/>
  <c r="BL26" i="4" s="1"/>
  <c r="BN28" i="4" a="1"/>
  <c r="BN28" i="4" s="1"/>
  <c r="BN24" i="4" a="1"/>
  <c r="BN24" i="4" s="1"/>
  <c r="BN26" i="4" a="1"/>
  <c r="BN26" i="4" s="1"/>
  <c r="BM27" i="4" a="1"/>
  <c r="BM27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<sst xmlns="http://schemas.openxmlformats.org/spreadsheetml/2006/main" count="1058" uniqueCount="335">
  <si>
    <t>Ini dijelaskan di Bab 2.2.4.1</t>
  </si>
  <si>
    <t>Normalisasi per fitur/pita mel</t>
  </si>
  <si>
    <t/>
  </si>
  <si>
    <t>INPUT</t>
  </si>
  <si>
    <t>dB</t>
  </si>
  <si>
    <t>Z-SCORE</t>
  </si>
  <si>
    <t>avg</t>
  </si>
  <si>
    <t>std_dev</t>
  </si>
  <si>
    <t>PREDIKSI</t>
  </si>
  <si>
    <t>LABEL</t>
  </si>
  <si>
    <t>gembira</t>
  </si>
  <si>
    <t>sedih</t>
  </si>
  <si>
    <t>tegang</t>
  </si>
  <si>
    <t>COUNTIF</t>
  </si>
  <si>
    <t>Akan dihitung</t>
  </si>
  <si>
    <t>p_n</t>
  </si>
  <si>
    <t>n=1,2,3</t>
  </si>
  <si>
    <t>Dummy</t>
  </si>
  <si>
    <t>&gt;&gt; LIHAT SHEET "EVAL"</t>
  </si>
  <si>
    <t>FEED-FORWARD</t>
  </si>
  <si>
    <t>KONVOLUSI VERTIKAL</t>
  </si>
  <si>
    <t>KONVOLUSI HORIZONTAL</t>
  </si>
  <si>
    <t>KERNEL</t>
  </si>
  <si>
    <t>BIAS</t>
  </si>
  <si>
    <t>INPUT PADDED</t>
  </si>
  <si>
    <t>HASIL</t>
  </si>
  <si>
    <t>Pers 2.15</t>
  </si>
  <si>
    <t>Pers 2.8</t>
  </si>
  <si>
    <t>RELU</t>
  </si>
  <si>
    <t>Pers 2.16</t>
  </si>
  <si>
    <t>INPUT MEAN-POOLED</t>
  </si>
  <si>
    <t>Pers 2.9</t>
  </si>
  <si>
    <t>INPUT MEAN-POOLED PADDED</t>
  </si>
  <si>
    <t>MAX-POOLING</t>
  </si>
  <si>
    <t>KERNEL 1x5</t>
  </si>
  <si>
    <t>CONCATENATE</t>
  </si>
  <si>
    <t>Pers 2.20</t>
  </si>
  <si>
    <t>BACKPROPAGATION</t>
  </si>
  <si>
    <t>CLASSIFIER</t>
  </si>
  <si>
    <t>BACK-END</t>
  </si>
  <si>
    <t>BOBOT</t>
  </si>
  <si>
    <t>L wrt y_n</t>
  </si>
  <si>
    <t>Pers 2.96</t>
  </si>
  <si>
    <t>KE RELU</t>
  </si>
  <si>
    <t>Pers 2.25</t>
  </si>
  <si>
    <t>DARI FRONT-END</t>
  </si>
  <si>
    <t>CONCATENATE PADDING</t>
  </si>
  <si>
    <t>Pers 2.99</t>
  </si>
  <si>
    <t>KE SIGMOID</t>
  </si>
  <si>
    <t>Pers 2.26</t>
  </si>
  <si>
    <t>Pers 2.27</t>
  </si>
  <si>
    <t>Pers 2.23</t>
  </si>
  <si>
    <t>Catatan: ini adalah matriks hasil concatenate dari front-end saat feed-forward</t>
  </si>
  <si>
    <t>Pers 2.100</t>
  </si>
  <si>
    <t>OUTPUT</t>
  </si>
  <si>
    <t>Pers 2.94</t>
  </si>
  <si>
    <t>KE FRONT-END</t>
  </si>
  <si>
    <t>Pers 2.31</t>
  </si>
  <si>
    <t>Pers 2.24</t>
  </si>
  <si>
    <t>OUTPUT SIGMOID</t>
  </si>
  <si>
    <t>Pers 2.95</t>
  </si>
  <si>
    <t>Catatan: matriks gradien RELU di-flip vertikal lalu horizontal sebelum dikalikan dengan kernel</t>
  </si>
  <si>
    <t>LOSS</t>
  </si>
  <si>
    <t>Pers 2.122</t>
  </si>
  <si>
    <t>FRONT-END</t>
  </si>
  <si>
    <t>t_n</t>
  </si>
  <si>
    <t>KERNEL 1x2</t>
  </si>
  <si>
    <t>Pers 2.92</t>
  </si>
  <si>
    <t>n=1</t>
  </si>
  <si>
    <t>Pers 2.101</t>
  </si>
  <si>
    <t>KE MAX-POOLING</t>
  </si>
  <si>
    <t>Pers 2.10</t>
  </si>
  <si>
    <t>argmax</t>
  </si>
  <si>
    <t>lr=</t>
  </si>
  <si>
    <t>KE POOLING</t>
  </si>
  <si>
    <t>Pers 2.102</t>
  </si>
  <si>
    <t>MEAN-POOLING</t>
  </si>
  <si>
    <t>Pers 2.11</t>
  </si>
  <si>
    <t>Pers 2.13</t>
  </si>
  <si>
    <t>Pers 2.14</t>
  </si>
  <si>
    <t>Pers 2.104</t>
  </si>
  <si>
    <t>Pers 2.17</t>
  </si>
  <si>
    <t>k=</t>
  </si>
  <si>
    <t>Pers 2.18</t>
  </si>
  <si>
    <t>Pers 2.19</t>
  </si>
  <si>
    <t>KE BACK-END</t>
  </si>
  <si>
    <t>GRU</t>
  </si>
  <si>
    <t>F_out x 1</t>
  </si>
  <si>
    <t>h_0</t>
  </si>
  <si>
    <t>F_in</t>
  </si>
  <si>
    <t>(banyak fitur pada masukan)</t>
  </si>
  <si>
    <t>t=6</t>
  </si>
  <si>
    <t>Pers 2.43</t>
  </si>
  <si>
    <t>Pers 2.44</t>
  </si>
  <si>
    <t>Pers 2.45</t>
  </si>
  <si>
    <t>Pers 2.46</t>
  </si>
  <si>
    <t>Pers 2.47</t>
  </si>
  <si>
    <t>Pers 2.48</t>
  </si>
  <si>
    <t>Pers 2.49</t>
  </si>
  <si>
    <t>Pers 2.52</t>
  </si>
  <si>
    <t>Pers 2.55</t>
  </si>
  <si>
    <t>Pers 2.58</t>
  </si>
  <si>
    <t>F_out</t>
  </si>
  <si>
    <t>(banyak fitur pada hidden state dan keluaran)</t>
  </si>
  <si>
    <t>Pers 2.39</t>
  </si>
  <si>
    <t>L wrt h_t</t>
  </si>
  <si>
    <t>L wrt ~h_t</t>
  </si>
  <si>
    <t>L wrt z_~h(t)</t>
  </si>
  <si>
    <t>L wrt z_t</t>
  </si>
  <si>
    <t>L wrt z_z(t)</t>
  </si>
  <si>
    <t>L wrt r_t</t>
  </si>
  <si>
    <t>L wrt z_r(t)</t>
  </si>
  <si>
    <t>L wrt h_t-1</t>
  </si>
  <si>
    <t>L wrt W_h</t>
  </si>
  <si>
    <t>Pers 2.50</t>
  </si>
  <si>
    <t>L wrt U_h</t>
  </si>
  <si>
    <t>Pers 2.51</t>
  </si>
  <si>
    <t>L wrt b_h</t>
  </si>
  <si>
    <t>L wrt W_z</t>
  </si>
  <si>
    <t>Pers 2.53</t>
  </si>
  <si>
    <t>L wrt U_z</t>
  </si>
  <si>
    <t>Pers 2.54</t>
  </si>
  <si>
    <t>L wrt b_z</t>
  </si>
  <si>
    <t>L wrt W_r</t>
  </si>
  <si>
    <t>Pers 2.56</t>
  </si>
  <si>
    <t>L wrt U_r</t>
  </si>
  <si>
    <t>Pers 2.57</t>
  </si>
  <si>
    <t>L wrt b_r</t>
  </si>
  <si>
    <t>F_out x F_in</t>
  </si>
  <si>
    <t>F_out x F_out</t>
  </si>
  <si>
    <t>W_r</t>
  </si>
  <si>
    <t>U_r</t>
  </si>
  <si>
    <t>b_r</t>
  </si>
  <si>
    <t>t=5</t>
  </si>
  <si>
    <t>TRANSPOSE</t>
  </si>
  <si>
    <t>t=1</t>
  </si>
  <si>
    <t>W_z</t>
  </si>
  <si>
    <t>U_z</t>
  </si>
  <si>
    <t>b_z</t>
  </si>
  <si>
    <t>t=4</t>
  </si>
  <si>
    <t>W_h</t>
  </si>
  <si>
    <t>U_h</t>
  </si>
  <si>
    <t>b_h</t>
  </si>
  <si>
    <t>t=3</t>
  </si>
  <si>
    <t>Ref: apabila menggunakan cara PyTorch</t>
  </si>
  <si>
    <t>H TILDE</t>
  </si>
  <si>
    <t>TANH</t>
  </si>
  <si>
    <t>H</t>
  </si>
  <si>
    <t>R</t>
  </si>
  <si>
    <t>Pers 2.32</t>
  </si>
  <si>
    <t>SIGMOID</t>
  </si>
  <si>
    <t>Z</t>
  </si>
  <si>
    <t>Pers 2.34</t>
  </si>
  <si>
    <t>Pers 2.35</t>
  </si>
  <si>
    <t>t=2</t>
  </si>
  <si>
    <t xml:space="preserve">H  </t>
  </si>
  <si>
    <t>Pers 2.37</t>
  </si>
  <si>
    <t>https://docs.pytorch.org/docs/2.12/generated/torch.nn.GRU.html</t>
  </si>
  <si>
    <t>SUM t=1,2,...,6</t>
  </si>
  <si>
    <t>L wrt O_Cc</t>
  </si>
  <si>
    <t>Pers 2.59</t>
  </si>
  <si>
    <t>Pers 2.38</t>
  </si>
  <si>
    <t>Pers 2.93</t>
  </si>
  <si>
    <t>TRANSPOSE DAN CONCATENATE</t>
  </si>
  <si>
    <t>FLATTEN</t>
  </si>
  <si>
    <t>ITERASI MUNDUR</t>
  </si>
  <si>
    <t>ITERASI MUNDUR TRANSPOSED</t>
  </si>
  <si>
    <t>dk</t>
  </si>
  <si>
    <t>dv</t>
  </si>
  <si>
    <t>MHA</t>
  </si>
  <si>
    <t>POSITION-WISE FFN</t>
  </si>
  <si>
    <t>d_model</t>
  </si>
  <si>
    <t>Pers 2.62</t>
  </si>
  <si>
    <t>head_1</t>
  </si>
  <si>
    <t>Pers 2.63</t>
  </si>
  <si>
    <t>h</t>
  </si>
  <si>
    <t>Q WQ</t>
  </si>
  <si>
    <t>K WK</t>
  </si>
  <si>
    <t>V WV</t>
  </si>
  <si>
    <t>QK^T</t>
  </si>
  <si>
    <t>SOFTMAX</t>
  </si>
  <si>
    <t>SOFTMAX V</t>
  </si>
  <si>
    <t>Pers 2.60</t>
  </si>
  <si>
    <t>W2</t>
  </si>
  <si>
    <t>Pers 2.67</t>
  </si>
  <si>
    <t>b2</t>
  </si>
  <si>
    <t>Pers 2.68</t>
  </si>
  <si>
    <t>d_ff</t>
  </si>
  <si>
    <t>L wrt O_FFN(1)</t>
  </si>
  <si>
    <t>Pers 2.71</t>
  </si>
  <si>
    <t>POSITIONAL ENCODING</t>
  </si>
  <si>
    <t>Pers 2.64</t>
  </si>
  <si>
    <t>PE matrix</t>
  </si>
  <si>
    <t>i=</t>
  </si>
  <si>
    <t>head_2</t>
  </si>
  <si>
    <t>Pers 2.72</t>
  </si>
  <si>
    <t>W1Q</t>
  </si>
  <si>
    <t>W1K</t>
  </si>
  <si>
    <t>W1V</t>
  </si>
  <si>
    <t>Pers 2.65</t>
  </si>
  <si>
    <t>O_MHA</t>
  </si>
  <si>
    <t>W1</t>
  </si>
  <si>
    <t>Pers 2.73</t>
  </si>
  <si>
    <t>b1</t>
  </si>
  <si>
    <t>Pers 2.74</t>
  </si>
  <si>
    <t>W2Q</t>
  </si>
  <si>
    <t>W2K</t>
  </si>
  <si>
    <t>W2V</t>
  </si>
  <si>
    <t>(termasuk residual)</t>
  </si>
  <si>
    <t>L wrt O_MHA</t>
  </si>
  <si>
    <t>Pers 2.75</t>
  </si>
  <si>
    <t>WO</t>
  </si>
  <si>
    <t>LAYER 1</t>
  </si>
  <si>
    <t>Pers 2.66</t>
  </si>
  <si>
    <t>LAYER 2</t>
  </si>
  <si>
    <t>O_Attn</t>
  </si>
  <si>
    <t>Pers 2.76</t>
  </si>
  <si>
    <t>L wrt C_h</t>
  </si>
  <si>
    <t>Pers 2.78</t>
  </si>
  <si>
    <t>Pers 2.91</t>
  </si>
  <si>
    <t>Pers 2.84</t>
  </si>
  <si>
    <t>Pers 2.86</t>
  </si>
  <si>
    <t>Pers 2.87</t>
  </si>
  <si>
    <t>Pers 2.88</t>
  </si>
  <si>
    <t>Pers 2.89</t>
  </si>
  <si>
    <t>Pers 2.90</t>
  </si>
  <si>
    <t>Pers 2.82</t>
  </si>
  <si>
    <t>L wrt V</t>
  </si>
  <si>
    <t>L wrt s_Attn(i)</t>
  </si>
  <si>
    <t>Pers 2.83</t>
  </si>
  <si>
    <t>L wrt z_Attn(i)</t>
  </si>
  <si>
    <t>L wrt K</t>
  </si>
  <si>
    <t>L wrt Q</t>
  </si>
  <si>
    <t>L wrt WQ</t>
  </si>
  <si>
    <t>L wrt WK</t>
  </si>
  <si>
    <t>L wrt WV</t>
  </si>
  <si>
    <t>term1</t>
  </si>
  <si>
    <t>term2</t>
  </si>
  <si>
    <t>term3</t>
  </si>
  <si>
    <t>SUM</t>
  </si>
  <si>
    <t>SEMUA head</t>
  </si>
  <si>
    <t>(dengan residual)</t>
  </si>
  <si>
    <t>CNN</t>
  </si>
  <si>
    <t>Manualisasi ini hanya untuk keluaran CNN saja</t>
  </si>
  <si>
    <t>SESUNGGUHNYA</t>
  </si>
  <si>
    <t>Back-end</t>
  </si>
  <si>
    <t>prediksi</t>
  </si>
  <si>
    <t>sungguh</t>
  </si>
  <si>
    <t>karena selebihnya sama, hanya berbeda di nilai masukan/keluaran</t>
  </si>
  <si>
    <t>Pers 2.124</t>
  </si>
  <si>
    <t>Pers 2.123</t>
  </si>
  <si>
    <t>Pers 2.125</t>
  </si>
  <si>
    <t>ambang</t>
  </si>
  <si>
    <t>TP</t>
  </si>
  <si>
    <t>FN</t>
  </si>
  <si>
    <t>TPR</t>
  </si>
  <si>
    <t>FP</t>
  </si>
  <si>
    <t>TN</t>
  </si>
  <si>
    <t>FPR</t>
  </si>
  <si>
    <t>Precision</t>
  </si>
  <si>
    <t>ATTN</t>
  </si>
  <si>
    <t>Pers 2.126</t>
  </si>
  <si>
    <t>base</t>
  </si>
  <si>
    <t>height</t>
  </si>
  <si>
    <t>area</t>
  </si>
  <si>
    <t>ROC</t>
  </si>
  <si>
    <t>CONFUSION</t>
  </si>
  <si>
    <t>P</t>
  </si>
  <si>
    <t>N</t>
  </si>
  <si>
    <t>ROC-AUC</t>
  </si>
  <si>
    <t>PR</t>
  </si>
  <si>
    <t>(sengaja unbalanced)</t>
  </si>
  <si>
    <t>PR-AUC</t>
  </si>
  <si>
    <t>(Fawcett, 2006)</t>
  </si>
  <si>
    <t>Pers 2.127</t>
  </si>
  <si>
    <t>MAKRO</t>
  </si>
  <si>
    <t>SHEET PENGHITUNGAN NUMERIK:</t>
  </si>
  <si>
    <t>DATA</t>
  </si>
  <si>
    <t>FRONTEND</t>
  </si>
  <si>
    <t>Feed-forward saja</t>
  </si>
  <si>
    <t xml:space="preserve">CNN-BE </t>
  </si>
  <si>
    <t>Termasuk backprop sampai front-end</t>
  </si>
  <si>
    <t>GRU-BE</t>
  </si>
  <si>
    <t>ATTN-BE</t>
  </si>
  <si>
    <t>EVAL</t>
  </si>
  <si>
    <t>Penghitungan PR-AUC dan ROC-AUC</t>
  </si>
  <si>
    <t>SHEET DRAFT:</t>
  </si>
  <si>
    <t>CONVTEST</t>
  </si>
  <si>
    <t>LMSPEC</t>
  </si>
  <si>
    <t>FROM FRONTEND</t>
  </si>
  <si>
    <t>INPUT ACTUAL</t>
  </si>
  <si>
    <t>W_IR</t>
  </si>
  <si>
    <t>W_IZ</t>
  </si>
  <si>
    <t>W_IN</t>
  </si>
  <si>
    <t>W_HR</t>
  </si>
  <si>
    <t>W_HZ</t>
  </si>
  <si>
    <t>W_HN</t>
  </si>
  <si>
    <t>X_1</t>
  </si>
  <si>
    <t>X_2</t>
  </si>
  <si>
    <t>X_3</t>
  </si>
  <si>
    <t>X_4</t>
  </si>
  <si>
    <t>H_0^T</t>
  </si>
  <si>
    <t>H_0</t>
  </si>
  <si>
    <t>X_5</t>
  </si>
  <si>
    <t>J_0,n</t>
  </si>
  <si>
    <t>X_6</t>
  </si>
  <si>
    <t>J_1,n</t>
  </si>
  <si>
    <t>^(0)</t>
  </si>
  <si>
    <t>^(1)</t>
  </si>
  <si>
    <t>NUM_LAYERS=2</t>
  </si>
  <si>
    <t>NUM_LAYERS=1</t>
  </si>
  <si>
    <t>R_1</t>
  </si>
  <si>
    <t>at H_0^(0)</t>
  </si>
  <si>
    <t>WIRXT</t>
  </si>
  <si>
    <t>WHRHT-1</t>
  </si>
  <si>
    <t>Z_1</t>
  </si>
  <si>
    <t>WIZXT</t>
  </si>
  <si>
    <t>WHZHT-1</t>
  </si>
  <si>
    <t>N_1</t>
  </si>
  <si>
    <t>WINXT</t>
  </si>
  <si>
    <t>RT HT-1</t>
  </si>
  <si>
    <t>WHN RTHT-1</t>
  </si>
  <si>
    <t>(hadamard)</t>
  </si>
  <si>
    <t>H_1</t>
  </si>
  <si>
    <t>1-ZT</t>
  </si>
  <si>
    <t>1-ZT NT</t>
  </si>
  <si>
    <t>ZT  HT-1</t>
  </si>
  <si>
    <t>at H_0^(1)</t>
  </si>
  <si>
    <t>SAMPLE</t>
  </si>
  <si>
    <t>i_sin</t>
  </si>
  <si>
    <t>i_cos</t>
  </si>
  <si>
    <t>pos</t>
  </si>
  <si>
    <t>sin</t>
  </si>
  <si>
    <t>cos</t>
  </si>
  <si>
    <t>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</si>
</sst>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5700"/>
      <name val="Calibri"/>
      <scheme val="minor"/>
    </font>
    <font>
      <sz val="11"/>
      <color indexed="64"/>
      <name val="Calibri"/>
      <scheme val="minor"/>
    </font>
    <font>
      <b/>
      <sz val="11"/>
      <color theme="1"/>
      <name val="Calibri"/>
      <scheme val="minor"/>
    </font>
    <font>
      <b/>
      <sz val="20"/>
      <color theme="1"/>
      <name val="Calibri"/>
      <scheme val="minor"/>
    </font>
    <font>
      <b/>
      <sz val="16"/>
      <color theme="1"/>
      <name val="Calibri"/>
      <scheme val="minor"/>
    </font>
    <font>
      <i/>
      <sz val="11"/>
      <color theme="1"/>
      <name val="Calibri"/>
      <scheme val="minor"/>
    </font>
    <font>
      <sz val="16"/>
      <color theme="1"/>
      <name val="Calibri"/>
      <scheme val="minor"/>
    </font>
    <font>
      <sz val="14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/>
      <bottom/>
      <diagonal/>
    </border>
    <border diagonalUp="1" diagonalDown="1">
      <left style="thick">
        <color auto="1"/>
      </left>
      <right style="thick">
        <color auto="1"/>
      </right>
      <top/>
      <bottom/>
      <diagonal style="thin">
        <color auto="1"/>
      </diagonal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Protection="0"/>
    <xf numFmtId="0" fontId="2" fillId="3" borderId="0" applyNumberFormat="0" applyBorder="0" applyProtection="0"/>
  </cellStyleXfs>
  <cellXfs count="93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5" xfId="1" applyBorder="1"/>
    <xf numFmtId="0" fontId="1" fillId="2" borderId="7" xfId="1" applyBorder="1"/>
    <xf numFmtId="0" fontId="4" fillId="0" borderId="2" xfId="0" applyFont="1" applyBorder="1"/>
    <xf numFmtId="0" fontId="2" fillId="3" borderId="0" xfId="2"/>
    <xf numFmtId="0" fontId="2" fillId="3" borderId="8" xfId="2" applyBorder="1"/>
    <xf numFmtId="0" fontId="0" fillId="0" borderId="3" xfId="0" applyBorder="1" applyAlignment="1">
      <alignment horizontal="left"/>
    </xf>
    <xf numFmtId="0" fontId="1" fillId="2" borderId="0" xfId="1"/>
    <xf numFmtId="0" fontId="0" fillId="0" borderId="8" xfId="0" quotePrefix="1" applyBorder="1"/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1" fillId="2" borderId="8" xfId="1" applyBorder="1"/>
    <xf numFmtId="0" fontId="0" fillId="0" borderId="11" xfId="0" applyBorder="1"/>
    <xf numFmtId="0" fontId="6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0" fillId="0" borderId="0" xfId="0" applyNumberFormat="1"/>
    <xf numFmtId="164" fontId="0" fillId="0" borderId="5" xfId="0" applyNumberFormat="1" applyBorder="1"/>
    <xf numFmtId="0" fontId="2" fillId="3" borderId="12" xfId="2" applyBorder="1"/>
    <xf numFmtId="0" fontId="1" fillId="2" borderId="12" xfId="1" applyBorder="1"/>
    <xf numFmtId="0" fontId="6" fillId="0" borderId="12" xfId="0" applyFont="1" applyBorder="1"/>
    <xf numFmtId="164" fontId="0" fillId="0" borderId="8" xfId="0" applyNumberFormat="1" applyBorder="1"/>
    <xf numFmtId="164" fontId="0" fillId="0" borderId="7" xfId="0" applyNumberFormat="1" applyBorder="1"/>
    <xf numFmtId="0" fontId="2" fillId="3" borderId="10" xfId="2" applyBorder="1"/>
    <xf numFmtId="0" fontId="1" fillId="2" borderId="11" xfId="1" applyBorder="1"/>
    <xf numFmtId="0" fontId="0" fillId="0" borderId="17" xfId="0" applyBorder="1"/>
    <xf numFmtId="0" fontId="2" fillId="3" borderId="5" xfId="2" applyBorder="1"/>
    <xf numFmtId="0" fontId="0" fillId="0" borderId="18" xfId="0" applyBorder="1"/>
    <xf numFmtId="0" fontId="7" fillId="0" borderId="19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1" xfId="0" applyBorder="1" applyAlignment="1">
      <alignment horizontal="right"/>
    </xf>
    <xf numFmtId="0" fontId="1" fillId="2" borderId="22" xfId="1" applyBorder="1"/>
    <xf numFmtId="0" fontId="0" fillId="0" borderId="23" xfId="0" applyBorder="1"/>
    <xf numFmtId="0" fontId="2" fillId="3" borderId="24" xfId="2" applyBorder="1"/>
    <xf numFmtId="0" fontId="1" fillId="2" borderId="25" xfId="1" applyBorder="1"/>
    <xf numFmtId="0" fontId="0" fillId="0" borderId="19" xfId="0" applyBorder="1"/>
    <xf numFmtId="0" fontId="2" fillId="3" borderId="22" xfId="2" applyBorder="1"/>
    <xf numFmtId="0" fontId="1" fillId="2" borderId="24" xfId="1" applyBorder="1"/>
    <xf numFmtId="0" fontId="0" fillId="0" borderId="1" xfId="0" applyBorder="1" applyAlignment="1">
      <alignment horizontal="right"/>
    </xf>
    <xf numFmtId="164" fontId="0" fillId="0" borderId="10" xfId="0" applyNumberFormat="1" applyBorder="1"/>
    <xf numFmtId="0" fontId="4" fillId="0" borderId="1" xfId="0" applyFont="1" applyBorder="1"/>
    <xf numFmtId="164" fontId="0" fillId="0" borderId="11" xfId="0" applyNumberFormat="1" applyBorder="1"/>
    <xf numFmtId="0" fontId="2" fillId="3" borderId="4" xfId="2" applyBorder="1"/>
    <xf numFmtId="0" fontId="2" fillId="3" borderId="6" xfId="2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left"/>
    </xf>
    <xf numFmtId="0" fontId="3" fillId="0" borderId="0" xfId="0" applyFont="1"/>
    <xf numFmtId="0" fontId="3" fillId="0" borderId="8" xfId="0" applyFont="1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6" fillId="0" borderId="1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0" xfId="0" applyFont="1"/>
    <xf numFmtId="0" fontId="9" fillId="0" borderId="0" xfId="0" applyFont="1"/>
    <xf numFmtId="0" fontId="0" fillId="4" borderId="30" xfId="0" applyFill="1" applyBorder="1"/>
    <xf numFmtId="0" fontId="0" fillId="5" borderId="30" xfId="0" applyFill="1" applyBorder="1"/>
    <xf numFmtId="2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6" fillId="0" borderId="0" xfId="0" applyFont="1" applyAlignment="1">
      <alignment horizontal="left"/>
    </xf>
    <xf numFmtId="0" fontId="0" fillId="0" borderId="0" xfId="0" applyBorder="1"/>
    <xf numFmtId="0" fontId="2" fillId="3" borderId="0" xfId="2" applyBorder="1"/>
    <xf numFmtId="0" fontId="1" fillId="2" borderId="0" xfId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ROC gembira</a:t>
            </a:r>
            <a:endParaRPr/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EVAL!$AD$10</c:f>
              <c:strCache>
                <c:ptCount val="1"/>
                <c:pt idx="0">
                  <c:v>TPR</c:v>
                </c:pt>
              </c:strCache>
            </c:strRef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EVAL!$AC$11:$AC$15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xVal>
          <c:yVal>
            <c:numRef>
              <c:f>EVAL!$AD$11:$AD$15</c:f>
              <c:numCache>
                <c:formatCode>General</c:formatCode>
                <c:ptCount val="5"/>
                <c:pt idx="0">
                  <c:v>0.33333333333333331</c:v>
                </c:pt>
                <c:pt idx="1">
                  <c:v>0.33333333333333331</c:v>
                </c:pt>
                <c:pt idx="2">
                  <c:v>0.66666666666666663</c:v>
                </c:pt>
                <c:pt idx="3">
                  <c:v>0.66666666666666663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24-4D74-94DE-4A5E6DBBC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54992"/>
        <c:axId val="67390000"/>
      </c:scatterChart>
      <c:valAx>
        <c:axId val="5365499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0000"/>
        <c:crosses val="autoZero"/>
        <c:crossBetween val="midCat"/>
      </c:valAx>
      <c:valAx>
        <c:axId val="673900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54992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 gembira</a:t>
            </a:r>
            <a:endParaRPr/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EVAL!$AE$10</c:f>
              <c:strCache>
                <c:ptCount val="1"/>
                <c:pt idx="0">
                  <c:v>Precision</c:v>
                </c:pt>
              </c:strCache>
            </c:strRef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EVAL!$AD$11:$AD$15</c:f>
              <c:numCache>
                <c:formatCode>General</c:formatCode>
                <c:ptCount val="5"/>
                <c:pt idx="0">
                  <c:v>0.33333333333333331</c:v>
                </c:pt>
                <c:pt idx="1">
                  <c:v>0.33333333333333331</c:v>
                </c:pt>
                <c:pt idx="2">
                  <c:v>0.66666666666666663</c:v>
                </c:pt>
                <c:pt idx="3">
                  <c:v>0.66666666666666663</c:v>
                </c:pt>
                <c:pt idx="4">
                  <c:v>1</c:v>
                </c:pt>
              </c:numCache>
            </c:numRef>
          </c:xVal>
          <c:yVal>
            <c:numRef>
              <c:f>EVAL!$AE$11:$AE$15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5-4A72-9B5E-2752E677C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887184"/>
        <c:axId val="2114889104"/>
      </c:scatterChart>
      <c:valAx>
        <c:axId val="2114887184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889104"/>
        <c:crosses val="autoZero"/>
        <c:crossBetween val="midCat"/>
      </c:valAx>
      <c:valAx>
        <c:axId val="211488910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887184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sedih</a:t>
            </a:r>
            <a:endParaRPr/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EVAL!$AD$40</c:f>
              <c:strCache>
                <c:ptCount val="1"/>
                <c:pt idx="0">
                  <c:v>TPR</c:v>
                </c:pt>
              </c:strCache>
            </c:strRef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EVAL!$AC$41:$AC$45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xVal>
          <c:yVal>
            <c:numRef>
              <c:f>EVAL!$AD$41:$AD$45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43-4E1E-912E-3F8DB32BE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92096"/>
        <c:axId val="2073375776"/>
      </c:scatterChart>
      <c:valAx>
        <c:axId val="2073392096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375776"/>
        <c:crosses val="autoZero"/>
        <c:crossBetween val="midCat"/>
      </c:valAx>
      <c:valAx>
        <c:axId val="207337577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392096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 sedih</a:t>
            </a:r>
            <a:endParaRPr/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EVAL!$AE$40</c:f>
              <c:strCache>
                <c:ptCount val="1"/>
                <c:pt idx="0">
                  <c:v>Precision</c:v>
                </c:pt>
              </c:strCache>
            </c:strRef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EVAL!$AD$41:$AD$45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xVal>
          <c:yVal>
            <c:numRef>
              <c:f>EVAL!$AE$41:$AE$45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42-43CA-9FB2-503316250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74624"/>
        <c:axId val="134975104"/>
      </c:scatterChart>
      <c:valAx>
        <c:axId val="134974624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75104"/>
        <c:crosses val="autoZero"/>
        <c:crossBetween val="midCat"/>
      </c:valAx>
      <c:valAx>
        <c:axId val="13497510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74624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tegang</a:t>
            </a:r>
            <a:endParaRPr/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EVAL!$AD$70</c:f>
              <c:strCache>
                <c:ptCount val="1"/>
                <c:pt idx="0">
                  <c:v>TPR</c:v>
                </c:pt>
              </c:strCache>
            </c:strRef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EVAL!$AC$71:$AC$75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xVal>
          <c:yVal>
            <c:numRef>
              <c:f>EVAL!$AD$71:$AD$75</c:f>
              <c:numCache>
                <c:formatCode>General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BB-4CCE-B250-5FB23EF22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705008"/>
        <c:axId val="233702128"/>
      </c:scatterChart>
      <c:valAx>
        <c:axId val="233705008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02128"/>
        <c:crosses val="autoZero"/>
        <c:crossBetween val="midCat"/>
      </c:valAx>
      <c:valAx>
        <c:axId val="23370212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705008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 tegang</a:t>
            </a:r>
            <a:endParaRPr/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EVAL!$AE$70</c:f>
              <c:strCache>
                <c:ptCount val="1"/>
                <c:pt idx="0">
                  <c:v>Precision</c:v>
                </c:pt>
              </c:strCache>
            </c:strRef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EVAL!$AD$71:$AD$75</c:f>
              <c:numCache>
                <c:formatCode>General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xVal>
          <c:yVal>
            <c:numRef>
              <c:f>EVAL!$AE$71:$AE$75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0F-4B5A-A531-ED650E8B8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895312"/>
        <c:axId val="249894832"/>
      </c:scatterChart>
      <c:valAx>
        <c:axId val="24989531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94832"/>
        <c:crosses val="autoZero"/>
        <c:crossBetween val="midCat"/>
      </c:valAx>
      <c:valAx>
        <c:axId val="24989483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95312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377568</xdr:colOff>
      <xdr:row>23</xdr:row>
      <xdr:rowOff>34322</xdr:rowOff>
    </xdr:from>
    <xdr:to>
      <xdr:col>6</xdr:col>
      <xdr:colOff>409339</xdr:colOff>
      <xdr:row>25</xdr:row>
      <xdr:rowOff>33879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377568" y="5088580"/>
          <a:ext cx="3687312" cy="3942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36635</xdr:colOff>
      <xdr:row>54</xdr:row>
      <xdr:rowOff>186841</xdr:rowOff>
    </xdr:from>
    <xdr:to>
      <xdr:col>72</xdr:col>
      <xdr:colOff>228600</xdr:colOff>
      <xdr:row>60</xdr:row>
      <xdr:rowOff>49014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39546335" y="10750066"/>
          <a:ext cx="2630365" cy="1014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611199</xdr:colOff>
      <xdr:row>1</xdr:row>
      <xdr:rowOff>79429</xdr:rowOff>
    </xdr:from>
    <xdr:to>
      <xdr:col>36</xdr:col>
      <xdr:colOff>471251</xdr:colOff>
      <xdr:row>15</xdr:row>
      <xdr:rowOff>129353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15</xdr:row>
      <xdr:rowOff>196813</xdr:rowOff>
    </xdr:from>
    <xdr:to>
      <xdr:col>37</xdr:col>
      <xdr:colOff>275897</xdr:colOff>
      <xdr:row>30</xdr:row>
      <xdr:rowOff>74230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8283</xdr:colOff>
      <xdr:row>32</xdr:row>
      <xdr:rowOff>185530</xdr:rowOff>
    </xdr:from>
    <xdr:to>
      <xdr:col>36</xdr:col>
      <xdr:colOff>463825</xdr:colOff>
      <xdr:row>47</xdr:row>
      <xdr:rowOff>71230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12422</xdr:colOff>
      <xdr:row>47</xdr:row>
      <xdr:rowOff>160682</xdr:rowOff>
    </xdr:from>
    <xdr:to>
      <xdr:col>36</xdr:col>
      <xdr:colOff>480391</xdr:colOff>
      <xdr:row>60</xdr:row>
      <xdr:rowOff>124239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579780</xdr:colOff>
      <xdr:row>62</xdr:row>
      <xdr:rowOff>127551</xdr:rowOff>
    </xdr:from>
    <xdr:to>
      <xdr:col>36</xdr:col>
      <xdr:colOff>463825</xdr:colOff>
      <xdr:row>77</xdr:row>
      <xdr:rowOff>115956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588065</xdr:colOff>
      <xdr:row>77</xdr:row>
      <xdr:rowOff>168964</xdr:rowOff>
    </xdr:from>
    <xdr:to>
      <xdr:col>36</xdr:col>
      <xdr:colOff>530087</xdr:colOff>
      <xdr:row>91</xdr:row>
      <xdr:rowOff>57978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zoomScale="130" workbookViewId="0">
      <selection activeCell="I18" sqref="I18"/>
    </sheetView>
  </sheetViews>
  <sheetFormatPr defaultRowHeight="15" x14ac:dyDescent="0.25"/>
  <sheetData>
    <row r="1" spans="1:13" x14ac:dyDescent="0.25">
      <c r="H1" t="s">
        <v>0</v>
      </c>
      <c r="K1" t="s">
        <v>1</v>
      </c>
    </row>
    <row r="2" spans="1:13" x14ac:dyDescent="0.25">
      <c r="A2" s="1" t="s">
        <v>2</v>
      </c>
      <c r="B2" t="s">
        <v>3</v>
      </c>
      <c r="C2" s="1" t="s">
        <v>4</v>
      </c>
      <c r="D2" s="1" t="s">
        <v>2</v>
      </c>
      <c r="E2" s="1" t="s">
        <v>2</v>
      </c>
      <c r="F2" s="1" t="s">
        <v>2</v>
      </c>
      <c r="I2" t="s">
        <v>5</v>
      </c>
      <c r="J2" s="2"/>
      <c r="L2" s="2"/>
    </row>
    <row r="3" spans="1:13" x14ac:dyDescent="0.25">
      <c r="A3" s="1" t="s">
        <v>2</v>
      </c>
      <c r="B3">
        <v>1</v>
      </c>
      <c r="C3">
        <v>2</v>
      </c>
      <c r="D3">
        <v>3</v>
      </c>
      <c r="E3">
        <v>4</v>
      </c>
      <c r="F3">
        <v>5</v>
      </c>
      <c r="I3">
        <v>1</v>
      </c>
      <c r="J3">
        <v>2</v>
      </c>
      <c r="K3">
        <v>3</v>
      </c>
      <c r="L3">
        <v>4</v>
      </c>
      <c r="M3">
        <v>5</v>
      </c>
    </row>
    <row r="4" spans="1:13" x14ac:dyDescent="0.25">
      <c r="A4">
        <v>1</v>
      </c>
      <c r="B4">
        <v>-17.455578565789857</v>
      </c>
      <c r="C4">
        <v>2.1746576879553885</v>
      </c>
      <c r="D4">
        <v>2.3671829836242182</v>
      </c>
      <c r="E4">
        <v>-16.994305841052558</v>
      </c>
      <c r="F4">
        <v>-31.52132607489699</v>
      </c>
      <c r="H4">
        <v>1</v>
      </c>
      <c r="I4">
        <f t="shared" ref="I4:I9" si="0">(B4-I$10)/I$11</f>
        <v>9.8070127981472688E-2</v>
      </c>
      <c r="J4">
        <f t="shared" ref="J4:M9" si="1">(C4-J$10)/J$11</f>
        <v>0.76989837351610546</v>
      </c>
      <c r="K4">
        <f t="shared" si="1"/>
        <v>1.0888675284528564</v>
      </c>
      <c r="L4">
        <f t="shared" si="1"/>
        <v>0.41864132753818439</v>
      </c>
      <c r="M4">
        <f t="shared" si="1"/>
        <v>-0.54807215149909738</v>
      </c>
    </row>
    <row r="5" spans="1:13" x14ac:dyDescent="0.25">
      <c r="A5">
        <v>2</v>
      </c>
      <c r="B5">
        <v>-13.557739654866339</v>
      </c>
      <c r="C5">
        <v>1.9652144728614047</v>
      </c>
      <c r="D5">
        <v>-47.671874832584869</v>
      </c>
      <c r="E5">
        <v>-5.8317269781494474</v>
      </c>
      <c r="F5">
        <v>-55.399591875958251</v>
      </c>
      <c r="H5">
        <v>2</v>
      </c>
      <c r="I5">
        <f t="shared" si="0"/>
        <v>0.3947945813296071</v>
      </c>
      <c r="J5">
        <f t="shared" si="1"/>
        <v>0.76298402984034686</v>
      </c>
      <c r="K5">
        <f t="shared" si="1"/>
        <v>-1.5092547447204521</v>
      </c>
      <c r="L5">
        <f t="shared" si="1"/>
        <v>0.78695236170270555</v>
      </c>
      <c r="M5">
        <f t="shared" si="1"/>
        <v>-1.6514230540804744</v>
      </c>
    </row>
    <row r="6" spans="1:13" x14ac:dyDescent="0.25">
      <c r="A6">
        <v>3</v>
      </c>
      <c r="B6">
        <v>-2.1784122567816553</v>
      </c>
      <c r="C6">
        <v>9.7535511778834945</v>
      </c>
      <c r="D6">
        <v>-14.569788345719189</v>
      </c>
      <c r="E6">
        <v>-76.581514009374402</v>
      </c>
      <c r="F6">
        <v>-30.697404917189289</v>
      </c>
      <c r="H6">
        <v>3</v>
      </c>
      <c r="I6">
        <f t="shared" si="0"/>
        <v>1.2610501600821225</v>
      </c>
      <c r="J6">
        <f t="shared" si="1"/>
        <v>1.0201001967063095</v>
      </c>
      <c r="K6">
        <f t="shared" si="1"/>
        <v>0.20946802791688546</v>
      </c>
      <c r="L6">
        <f t="shared" si="1"/>
        <v>-1.5474479187727208</v>
      </c>
      <c r="M6">
        <f t="shared" si="1"/>
        <v>-0.51000095484744268</v>
      </c>
    </row>
    <row r="7" spans="1:13" x14ac:dyDescent="0.25">
      <c r="A7">
        <v>4</v>
      </c>
      <c r="B7">
        <v>-43.897391731457418</v>
      </c>
      <c r="C7">
        <v>-50.379691666111668</v>
      </c>
      <c r="D7">
        <v>-32.779353611611718</v>
      </c>
      <c r="E7">
        <v>-66.49576026382087</v>
      </c>
      <c r="F7">
        <v>-6.4124977262467553</v>
      </c>
      <c r="H7">
        <v>4</v>
      </c>
      <c r="I7">
        <f t="shared" si="0"/>
        <v>-1.914822845899089</v>
      </c>
      <c r="J7">
        <f t="shared" si="1"/>
        <v>-0.96507706088431011</v>
      </c>
      <c r="K7">
        <f t="shared" si="1"/>
        <v>-0.73600695036684105</v>
      </c>
      <c r="L7">
        <f t="shared" si="1"/>
        <v>-1.2146668976505628</v>
      </c>
      <c r="M7">
        <f t="shared" si="1"/>
        <v>0.61213976054071273</v>
      </c>
    </row>
    <row r="8" spans="1:13" x14ac:dyDescent="0.25">
      <c r="A8">
        <v>5</v>
      </c>
      <c r="B8">
        <v>-10.706350177941161</v>
      </c>
      <c r="C8">
        <v>-72.225023223158274</v>
      </c>
      <c r="D8">
        <v>-26.17916213916692</v>
      </c>
      <c r="E8">
        <v>1.4530419002077792</v>
      </c>
      <c r="F8">
        <v>8.722773094906799</v>
      </c>
      <c r="H8">
        <v>5</v>
      </c>
      <c r="I8">
        <f t="shared" si="0"/>
        <v>0.61185767787065537</v>
      </c>
      <c r="J8">
        <f t="shared" si="1"/>
        <v>-1.6862564508613829</v>
      </c>
      <c r="K8">
        <f t="shared" si="1"/>
        <v>-0.39331255882270999</v>
      </c>
      <c r="L8">
        <f t="shared" si="1"/>
        <v>1.027314449369916</v>
      </c>
      <c r="M8">
        <f t="shared" si="1"/>
        <v>1.3115002107703582</v>
      </c>
    </row>
    <row r="9" spans="1:13" x14ac:dyDescent="0.25">
      <c r="A9">
        <v>6</v>
      </c>
      <c r="B9">
        <v>-24.667626071640704</v>
      </c>
      <c r="C9">
        <v>-18.16726717002647</v>
      </c>
      <c r="D9">
        <v>7.2085165086740801</v>
      </c>
      <c r="E9">
        <v>-13.643348830652485</v>
      </c>
      <c r="F9">
        <v>-2.6529983268936235</v>
      </c>
      <c r="H9">
        <v>6</v>
      </c>
      <c r="I9">
        <f t="shared" si="0"/>
        <v>-0.45094970136476858</v>
      </c>
      <c r="J9">
        <f t="shared" si="1"/>
        <v>9.8350911682930572E-2</v>
      </c>
      <c r="K9">
        <f t="shared" si="1"/>
        <v>1.3402386975402607</v>
      </c>
      <c r="L9">
        <f t="shared" si="1"/>
        <v>0.52920667781247754</v>
      </c>
      <c r="M9">
        <f t="shared" si="1"/>
        <v>0.78585618911594302</v>
      </c>
    </row>
    <row r="10" spans="1:13" x14ac:dyDescent="0.25">
      <c r="H10" t="s">
        <v>6</v>
      </c>
      <c r="I10">
        <f>AVERAGE(B4:B9)</f>
        <v>-18.743849743079522</v>
      </c>
      <c r="J10">
        <f t="shared" ref="J10:M10" si="2">AVERAGE(C4:C9)</f>
        <v>-21.146426453432685</v>
      </c>
      <c r="K10">
        <f t="shared" si="2"/>
        <v>-18.604079906130732</v>
      </c>
      <c r="L10">
        <f t="shared" si="2"/>
        <v>-29.682269003806997</v>
      </c>
      <c r="M10">
        <f t="shared" si="2"/>
        <v>-19.660174304379684</v>
      </c>
    </row>
    <row r="11" spans="1:13" x14ac:dyDescent="0.25">
      <c r="H11" t="s">
        <v>7</v>
      </c>
      <c r="I11">
        <f>_xlfn.STDEV.P(B4:B9)</f>
        <v>13.13622408581994</v>
      </c>
      <c r="J11">
        <f t="shared" ref="J11:M11" si="3">_xlfn.STDEV.P(C4:C9)</f>
        <v>30.291120157692113</v>
      </c>
      <c r="K11">
        <f t="shared" si="3"/>
        <v>19.259700874313399</v>
      </c>
      <c r="L11">
        <f t="shared" si="3"/>
        <v>30.307478808568334</v>
      </c>
      <c r="M11">
        <f t="shared" si="3"/>
        <v>21.6415881341069</v>
      </c>
    </row>
    <row r="12" spans="1:13" x14ac:dyDescent="0.25">
      <c r="B12" t="s">
        <v>8</v>
      </c>
      <c r="E12" t="s">
        <v>9</v>
      </c>
    </row>
    <row r="13" spans="1:13" x14ac:dyDescent="0.25">
      <c r="B13" t="s">
        <v>10</v>
      </c>
      <c r="C13" t="s">
        <v>11</v>
      </c>
      <c r="D13" t="s">
        <v>12</v>
      </c>
    </row>
    <row r="14" spans="1:13" x14ac:dyDescent="0.25">
      <c r="B14">
        <v>1</v>
      </c>
      <c r="C14">
        <v>2</v>
      </c>
      <c r="D14">
        <v>3</v>
      </c>
      <c r="I14" t="s">
        <v>13</v>
      </c>
    </row>
    <row r="15" spans="1:13" x14ac:dyDescent="0.25">
      <c r="A15">
        <v>1</v>
      </c>
      <c r="B15" s="83" t="s">
        <v>14</v>
      </c>
      <c r="C15" s="83"/>
      <c r="D15" s="83"/>
      <c r="E15" t="s">
        <v>10</v>
      </c>
      <c r="F15" t="s">
        <v>12</v>
      </c>
      <c r="I15" t="s">
        <v>15</v>
      </c>
      <c r="J15" t="s">
        <v>16</v>
      </c>
    </row>
    <row r="16" spans="1:13" x14ac:dyDescent="0.25">
      <c r="A16">
        <v>2</v>
      </c>
      <c r="B16" s="84" t="s">
        <v>17</v>
      </c>
      <c r="C16" s="84"/>
      <c r="D16" s="84"/>
      <c r="E16" t="s">
        <v>10</v>
      </c>
      <c r="F16" t="s">
        <v>11</v>
      </c>
      <c r="H16" t="s">
        <v>10</v>
      </c>
      <c r="I16">
        <f t="shared" ref="I16:I18" si="4">J16/$J$19</f>
        <v>0.11538461538461539</v>
      </c>
      <c r="J16">
        <v>3</v>
      </c>
    </row>
    <row r="17" spans="1:10" x14ac:dyDescent="0.25">
      <c r="A17">
        <v>3</v>
      </c>
      <c r="B17" s="84"/>
      <c r="C17" s="84"/>
      <c r="D17" s="84"/>
      <c r="E17" t="s">
        <v>12</v>
      </c>
      <c r="F17" t="s">
        <v>11</v>
      </c>
      <c r="H17" t="s">
        <v>11</v>
      </c>
      <c r="I17">
        <f t="shared" si="4"/>
        <v>0.61538461538461542</v>
      </c>
      <c r="J17">
        <v>16</v>
      </c>
    </row>
    <row r="18" spans="1:10" x14ac:dyDescent="0.25">
      <c r="A18">
        <v>4</v>
      </c>
      <c r="B18" s="84"/>
      <c r="C18" s="84"/>
      <c r="D18" s="84"/>
      <c r="E18" t="s">
        <v>10</v>
      </c>
      <c r="H18" t="s">
        <v>12</v>
      </c>
      <c r="I18">
        <f t="shared" si="4"/>
        <v>0.26923076923076922</v>
      </c>
      <c r="J18">
        <v>7</v>
      </c>
    </row>
    <row r="19" spans="1:10" x14ac:dyDescent="0.25">
      <c r="B19" s="3" t="s">
        <v>18</v>
      </c>
      <c r="J19">
        <f>SUM(J16:J18)</f>
        <v>26</v>
      </c>
    </row>
  </sheetData>
  <mergeCells count="2">
    <mergeCell ref="B15:D15"/>
    <mergeCell ref="B16:D18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54"/>
  <sheetViews>
    <sheetView zoomScale="115" workbookViewId="0">
      <selection activeCell="L48" sqref="L48"/>
    </sheetView>
  </sheetViews>
  <sheetFormatPr defaultRowHeight="15" x14ac:dyDescent="0.25"/>
  <cols>
    <col min="13" max="13" width="14.140625" customWidth="1"/>
    <col min="14" max="17" width="12.5703125" customWidth="1"/>
    <col min="20" max="20" width="11.42578125" customWidth="1"/>
    <col min="21" max="24" width="11.42578125" bestFit="1" customWidth="1"/>
    <col min="25" max="25" width="12.140625" bestFit="1" customWidth="1"/>
  </cols>
  <sheetData>
    <row r="2" spans="1:23" ht="26.25" x14ac:dyDescent="0.4">
      <c r="A2" cm="1">
        <f t="array" ref="A2:F9">DATA!H2:M9</f>
        <v>0</v>
      </c>
      <c r="B2" t="str">
        <v>Z-SCORE</v>
      </c>
      <c r="C2">
        <v>0</v>
      </c>
      <c r="D2">
        <v>0</v>
      </c>
      <c r="E2">
        <v>0</v>
      </c>
      <c r="F2">
        <v>0</v>
      </c>
      <c r="M2" s="4" t="s">
        <v>19</v>
      </c>
      <c r="T2" s="4" t="s">
        <v>19</v>
      </c>
    </row>
    <row r="3" spans="1:23" ht="26.25" x14ac:dyDescent="0.4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M3" s="4" t="s">
        <v>20</v>
      </c>
      <c r="T3" s="4" t="s">
        <v>21</v>
      </c>
    </row>
    <row r="4" spans="1:23" x14ac:dyDescent="0.25">
      <c r="A4">
        <v>1</v>
      </c>
      <c r="B4">
        <v>9.8070127981472688E-2</v>
      </c>
      <c r="C4">
        <v>0.76989837351610546</v>
      </c>
      <c r="D4">
        <v>1.0888675284528564</v>
      </c>
      <c r="E4">
        <v>0.41864132753818439</v>
      </c>
      <c r="F4">
        <v>-0.54807215149909738</v>
      </c>
    </row>
    <row r="5" spans="1:23" x14ac:dyDescent="0.25">
      <c r="A5">
        <v>2</v>
      </c>
      <c r="B5">
        <v>0.3947945813296071</v>
      </c>
      <c r="C5">
        <v>0.76298402984034686</v>
      </c>
      <c r="D5">
        <v>-1.5092547447204521</v>
      </c>
      <c r="E5">
        <v>0.78695236170270555</v>
      </c>
      <c r="F5">
        <v>-1.6514230540804744</v>
      </c>
      <c r="L5" s="5"/>
      <c r="M5" s="6" t="s">
        <v>22</v>
      </c>
      <c r="N5" s="6"/>
      <c r="O5" s="7"/>
      <c r="S5" s="5"/>
      <c r="T5" s="8" t="s">
        <v>22</v>
      </c>
      <c r="V5" s="5"/>
      <c r="W5" s="8" t="s">
        <v>23</v>
      </c>
    </row>
    <row r="6" spans="1:23" x14ac:dyDescent="0.25">
      <c r="A6">
        <v>3</v>
      </c>
      <c r="B6">
        <v>1.2610501600821225</v>
      </c>
      <c r="C6">
        <v>1.0201001967063095</v>
      </c>
      <c r="D6">
        <v>0.20946802791688546</v>
      </c>
      <c r="E6">
        <v>-1.5474479187727208</v>
      </c>
      <c r="F6">
        <v>-0.51000095484744268</v>
      </c>
      <c r="L6" s="9"/>
      <c r="M6">
        <v>1</v>
      </c>
      <c r="N6">
        <v>2</v>
      </c>
      <c r="O6" s="10">
        <v>3</v>
      </c>
      <c r="S6" s="9"/>
      <c r="T6" s="10">
        <v>1</v>
      </c>
      <c r="V6" s="9"/>
      <c r="W6" s="10">
        <v>1</v>
      </c>
    </row>
    <row r="7" spans="1:23" x14ac:dyDescent="0.25">
      <c r="A7">
        <v>4</v>
      </c>
      <c r="B7">
        <v>-1.914822845899089</v>
      </c>
      <c r="C7">
        <v>-0.96507706088431011</v>
      </c>
      <c r="D7">
        <v>-0.73600695036684105</v>
      </c>
      <c r="E7">
        <v>-1.2146668976505628</v>
      </c>
      <c r="F7">
        <v>0.61213976054071273</v>
      </c>
      <c r="L7" s="9">
        <v>1</v>
      </c>
      <c r="M7">
        <v>-0.51200000000000001</v>
      </c>
      <c r="N7">
        <v>0.89700000000000002</v>
      </c>
      <c r="O7" s="10">
        <v>-0.52300000000000002</v>
      </c>
      <c r="S7" s="9">
        <v>1</v>
      </c>
      <c r="T7" s="10">
        <v>0.122</v>
      </c>
      <c r="V7" s="11">
        <v>1</v>
      </c>
      <c r="W7" s="12">
        <v>1</v>
      </c>
    </row>
    <row r="8" spans="1:23" x14ac:dyDescent="0.25">
      <c r="A8">
        <v>5</v>
      </c>
      <c r="B8">
        <v>0.61185767787065537</v>
      </c>
      <c r="C8">
        <v>-1.6862564508613829</v>
      </c>
      <c r="D8">
        <v>-0.39331255882270999</v>
      </c>
      <c r="E8">
        <v>1.027314449369916</v>
      </c>
      <c r="F8">
        <v>1.3115002107703582</v>
      </c>
      <c r="L8" s="9">
        <v>2</v>
      </c>
      <c r="M8">
        <v>0.122</v>
      </c>
      <c r="N8">
        <v>-0.20399999999999999</v>
      </c>
      <c r="O8" s="10">
        <v>-0.74</v>
      </c>
      <c r="S8" s="9">
        <v>2</v>
      </c>
      <c r="T8" s="10">
        <v>0.51600000000000001</v>
      </c>
    </row>
    <row r="9" spans="1:23" x14ac:dyDescent="0.25">
      <c r="A9">
        <v>6</v>
      </c>
      <c r="B9">
        <v>-0.45094970136476858</v>
      </c>
      <c r="C9">
        <v>9.8350911682930572E-2</v>
      </c>
      <c r="D9">
        <v>1.3402386975402607</v>
      </c>
      <c r="E9">
        <v>0.52920667781247754</v>
      </c>
      <c r="F9">
        <v>0.78585618911594302</v>
      </c>
      <c r="L9" s="9">
        <v>3</v>
      </c>
      <c r="M9">
        <v>0.74199999999999999</v>
      </c>
      <c r="N9">
        <v>0.80500000000000005</v>
      </c>
      <c r="O9" s="10">
        <v>-0.97699999999999998</v>
      </c>
      <c r="S9" s="11">
        <v>3</v>
      </c>
      <c r="T9" s="12">
        <v>-0.97699999999999998</v>
      </c>
    </row>
    <row r="10" spans="1:23" x14ac:dyDescent="0.25">
      <c r="L10" s="9">
        <v>4</v>
      </c>
      <c r="M10">
        <v>0.78200000000000003</v>
      </c>
      <c r="N10">
        <v>0.51600000000000001</v>
      </c>
      <c r="O10" s="10">
        <v>-0.91400000000000003</v>
      </c>
    </row>
    <row r="11" spans="1:23" x14ac:dyDescent="0.25">
      <c r="B11" t="s">
        <v>24</v>
      </c>
      <c r="L11" s="11">
        <v>5</v>
      </c>
      <c r="M11" s="13">
        <v>0.40899999999999997</v>
      </c>
      <c r="N11" s="13">
        <v>-0.438</v>
      </c>
      <c r="O11" s="12">
        <v>0.29299999999999998</v>
      </c>
      <c r="T11" t="s">
        <v>25</v>
      </c>
      <c r="U11" t="s">
        <v>26</v>
      </c>
    </row>
    <row r="12" spans="1:23" x14ac:dyDescent="0.25"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T12">
        <v>1</v>
      </c>
    </row>
    <row r="13" spans="1:23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L13" s="5"/>
      <c r="M13" s="7" t="s">
        <v>23</v>
      </c>
      <c r="S13">
        <v>1</v>
      </c>
      <c r="T13" cm="1">
        <f t="array" ref="T13">SUM(B35:B37*$T$7:$T$9)+$W$7</f>
        <v>1.426184227044502</v>
      </c>
    </row>
    <row r="14" spans="1:23" x14ac:dyDescent="0.25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L14" s="9"/>
      <c r="M14" s="10">
        <v>1</v>
      </c>
      <c r="S14">
        <v>2</v>
      </c>
      <c r="T14" cm="1">
        <f t="array" ref="T14">SUM(B36:B38*$T$7:$T$9)+$W$7</f>
        <v>0.83446165212430812</v>
      </c>
    </row>
    <row r="15" spans="1:23" x14ac:dyDescent="0.25">
      <c r="A15">
        <v>3</v>
      </c>
      <c r="B15">
        <v>0</v>
      </c>
      <c r="C15" cm="1">
        <f t="array" ref="C15:G20">B4:F9</f>
        <v>9.8070127981472688E-2</v>
      </c>
      <c r="D15">
        <v>0.76989837351610546</v>
      </c>
      <c r="E15">
        <v>1.0888675284528564</v>
      </c>
      <c r="F15">
        <v>0.41864132753818439</v>
      </c>
      <c r="G15">
        <v>-0.54807215149909738</v>
      </c>
      <c r="H15">
        <v>0</v>
      </c>
      <c r="L15" s="11">
        <v>1</v>
      </c>
      <c r="M15" s="12">
        <v>1</v>
      </c>
      <c r="S15">
        <v>3</v>
      </c>
      <c r="T15" cm="1">
        <f t="array" ref="T15">SUM(B37:B39*$T$7:$T$9)+$W$7</f>
        <v>1.8393159934697598</v>
      </c>
    </row>
    <row r="16" spans="1:23" x14ac:dyDescent="0.25">
      <c r="A16">
        <v>4</v>
      </c>
      <c r="B16">
        <v>0</v>
      </c>
      <c r="C16">
        <v>0.3947945813296071</v>
      </c>
      <c r="D16">
        <v>0.76298402984034686</v>
      </c>
      <c r="E16">
        <v>-1.5092547447204521</v>
      </c>
      <c r="F16">
        <v>0.78695236170270555</v>
      </c>
      <c r="G16">
        <v>-1.6514230540804744</v>
      </c>
      <c r="H16">
        <v>0</v>
      </c>
      <c r="S16">
        <v>4</v>
      </c>
      <c r="T16" cm="1">
        <f t="array" ref="T16">SUM(B38:B40*$T$7:$T$9)+$W$7</f>
        <v>0.40501335750777256</v>
      </c>
    </row>
    <row r="17" spans="1:21" x14ac:dyDescent="0.25">
      <c r="A17">
        <v>5</v>
      </c>
      <c r="B17">
        <v>0</v>
      </c>
      <c r="C17">
        <v>1.2610501600821225</v>
      </c>
      <c r="D17">
        <v>1.0201001967063095</v>
      </c>
      <c r="E17">
        <v>0.20946802791688546</v>
      </c>
      <c r="F17">
        <v>-1.5474479187727208</v>
      </c>
      <c r="G17">
        <v>-0.51000095484744268</v>
      </c>
      <c r="H17">
        <v>0</v>
      </c>
      <c r="M17" t="s">
        <v>25</v>
      </c>
      <c r="N17" t="s">
        <v>27</v>
      </c>
      <c r="S17">
        <v>5</v>
      </c>
      <c r="T17" cm="1">
        <f t="array" ref="T17">SUM(B39:B41*$T$7:$T$9)+$W$7</f>
        <v>0.53701995183003415</v>
      </c>
    </row>
    <row r="18" spans="1:21" x14ac:dyDescent="0.25">
      <c r="A18">
        <v>6</v>
      </c>
      <c r="B18">
        <v>0</v>
      </c>
      <c r="C18">
        <v>-1.914822845899089</v>
      </c>
      <c r="D18">
        <v>-0.96507706088431011</v>
      </c>
      <c r="E18">
        <v>-0.73600695036684105</v>
      </c>
      <c r="F18">
        <v>-1.2146668976505628</v>
      </c>
      <c r="G18">
        <v>0.61213976054071273</v>
      </c>
      <c r="H18">
        <v>0</v>
      </c>
      <c r="M18">
        <v>1</v>
      </c>
      <c r="N18">
        <v>2</v>
      </c>
      <c r="O18">
        <v>3</v>
      </c>
      <c r="P18">
        <v>4</v>
      </c>
      <c r="Q18">
        <v>5</v>
      </c>
      <c r="S18">
        <v>6</v>
      </c>
      <c r="T18" cm="1">
        <f t="array" ref="T18">SUM(B40:B42*$T$7:$T$9)+$W$7</f>
        <v>1.2588938475691771</v>
      </c>
    </row>
    <row r="19" spans="1:21" x14ac:dyDescent="0.25">
      <c r="A19">
        <v>7</v>
      </c>
      <c r="B19">
        <v>0</v>
      </c>
      <c r="C19">
        <v>0.61185767787065537</v>
      </c>
      <c r="D19">
        <v>-1.6862564508613829</v>
      </c>
      <c r="E19">
        <v>-0.39331255882270999</v>
      </c>
      <c r="F19">
        <v>1.027314449369916</v>
      </c>
      <c r="G19">
        <v>1.3115002107703582</v>
      </c>
      <c r="H19">
        <v>0</v>
      </c>
      <c r="L19">
        <v>1</v>
      </c>
      <c r="M19" cm="1">
        <f t="array" ref="M19">SUM(B13:D17*$M$7:$O$11)+$M$15</f>
        <v>-0.42034826968917027</v>
      </c>
      <c r="N19" cm="1">
        <f t="array" ref="N19">SUM(C13:E17*$M$7:$O$11)+$M$15</f>
        <v>2.8409403705120142</v>
      </c>
      <c r="O19" cm="1">
        <f t="array" ref="O19">SUM(D13:F17*$M$7:$O$11)+$M$15</f>
        <v>1.0094657250366961</v>
      </c>
      <c r="P19" cm="1">
        <f t="array" ref="P19">SUM(E13:G17*$M$7:$O$11)+$M$15</f>
        <v>4.0296676785617889</v>
      </c>
      <c r="Q19" cm="1">
        <f t="array" ref="Q19">SUM(F13:H17*$M$7:$O$11)+$M$15</f>
        <v>0.2231704534676876</v>
      </c>
    </row>
    <row r="20" spans="1:21" x14ac:dyDescent="0.25">
      <c r="A20">
        <v>8</v>
      </c>
      <c r="B20">
        <v>0</v>
      </c>
      <c r="C20">
        <v>-0.45094970136476858</v>
      </c>
      <c r="D20">
        <v>9.8350911682930572E-2</v>
      </c>
      <c r="E20">
        <v>1.3402386975402607</v>
      </c>
      <c r="F20">
        <v>0.52920667781247754</v>
      </c>
      <c r="G20">
        <v>0.78585618911594302</v>
      </c>
      <c r="H20">
        <v>0</v>
      </c>
      <c r="L20">
        <v>2</v>
      </c>
      <c r="M20" cm="1">
        <f t="array" ref="M20">SUM(B14:D18*$M$7:$O$11)+$M$15</f>
        <v>0.25689826878368283</v>
      </c>
      <c r="N20" cm="1">
        <f t="array" ref="N20">SUM(C14:E18*$M$7:$O$11)+$M$15</f>
        <v>3.1757752467270279</v>
      </c>
      <c r="O20" cm="1">
        <f t="array" ref="O20">SUM(D14:F18*$M$7:$O$11)+$M$15</f>
        <v>1.0362640459794481</v>
      </c>
      <c r="P20" cm="1">
        <f t="array" ref="P20">SUM(E14:G18*$M$7:$O$11)+$M$15</f>
        <v>2.8218983069716979</v>
      </c>
      <c r="Q20" cm="1">
        <f t="array" ref="Q20">SUM(F14:H18*$M$7:$O$11)+$M$15</f>
        <v>-1.8207766867233608</v>
      </c>
      <c r="S20" s="5"/>
      <c r="T20" s="7" t="s">
        <v>28</v>
      </c>
      <c r="U20" t="s">
        <v>29</v>
      </c>
    </row>
    <row r="21" spans="1:21" x14ac:dyDescent="0.25">
      <c r="A21">
        <v>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L21">
        <v>3</v>
      </c>
      <c r="M21" cm="1">
        <f t="array" ref="M21">SUM(B15:D19*$M$7:$O$11)+$M$15</f>
        <v>-0.80936169238399702</v>
      </c>
      <c r="N21" cm="1">
        <f t="array" ref="N21">SUM(C15:E19*$M$7:$O$11)+$M$15</f>
        <v>3.1834321996364521</v>
      </c>
      <c r="O21" cm="1">
        <f t="array" ref="O21">SUM(D15:F19*$M$7:$O$11)+$M$15</f>
        <v>3.3789276309323317</v>
      </c>
      <c r="P21" cm="1">
        <f t="array" ref="P21">SUM(E15:G19*$M$7:$O$11)+$M$15</f>
        <v>-0.59833113330310717</v>
      </c>
      <c r="Q21" cm="1">
        <f t="array" ref="Q21">SUM(F15:H19*$M$7:$O$11)+$M$15</f>
        <v>-1.6200945928644979</v>
      </c>
      <c r="S21" s="9"/>
      <c r="T21" s="10">
        <v>1</v>
      </c>
    </row>
    <row r="22" spans="1:21" x14ac:dyDescent="0.25">
      <c r="A22">
        <v>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L22">
        <v>4</v>
      </c>
      <c r="M22" cm="1">
        <f t="array" ref="M22">SUM(B16:D20*$M$7:$O$11)+$M$15</f>
        <v>1.4276993553513675</v>
      </c>
      <c r="N22" cm="1">
        <f t="array" ref="N22">SUM(C16:E20*$M$7:$O$11)+$M$15</f>
        <v>0.71676248961599387</v>
      </c>
      <c r="O22" cm="1">
        <f t="array" ref="O22">SUM(D16:F20*$M$7:$O$11)+$M$15</f>
        <v>-2.9033451251804285</v>
      </c>
      <c r="P22" cm="1">
        <f t="array" ref="P22">SUM(E16:G20*$M$7:$O$11)+$M$15</f>
        <v>1.5094131886761968</v>
      </c>
      <c r="Q22" cm="1">
        <f t="array" ref="Q22">SUM(F16:H20*$M$7:$O$11)+$M$15</f>
        <v>-2.5170342267508916E-2</v>
      </c>
      <c r="S22" s="9">
        <v>1</v>
      </c>
      <c r="T22" s="14">
        <f t="shared" ref="T22:T27" si="0">MAX(0,T13)</f>
        <v>1.426184227044502</v>
      </c>
    </row>
    <row r="23" spans="1:21" x14ac:dyDescent="0.25">
      <c r="L23">
        <v>5</v>
      </c>
      <c r="M23" cm="1">
        <f t="array" ref="M23">SUM(B17:D21*$M$7:$O$11)+$M$15</f>
        <v>4.5198656803290973</v>
      </c>
      <c r="N23" cm="1">
        <f t="array" ref="N23">SUM(C17:E21*$M$7:$O$11)+$M$15</f>
        <v>-0.3783105492090999</v>
      </c>
      <c r="O23" cm="1">
        <f t="array" ref="O23">SUM(D17:F21*$M$7:$O$11)+$M$15</f>
        <v>0.11944986647470091</v>
      </c>
      <c r="P23" cm="1">
        <f t="array" ref="P23">SUM(E17:G21*$M$7:$O$11)+$M$15</f>
        <v>-0.66688288012208807</v>
      </c>
      <c r="Q23" cm="1">
        <f t="array" ref="Q23">SUM(F17:H21*$M$7:$O$11)+$M$15</f>
        <v>3.6991230119856033</v>
      </c>
      <c r="S23" s="9">
        <v>2</v>
      </c>
      <c r="T23" s="14">
        <f t="shared" si="0"/>
        <v>0.83446165212430812</v>
      </c>
    </row>
    <row r="24" spans="1:21" x14ac:dyDescent="0.25">
      <c r="B24" t="s">
        <v>30</v>
      </c>
      <c r="L24">
        <v>6</v>
      </c>
      <c r="M24" cm="1">
        <f t="array" ref="M24">SUM(B18:D22*$M$7:$O$11)+$M$15</f>
        <v>0.45104666710995933</v>
      </c>
      <c r="N24" cm="1">
        <f t="array" ref="N24">SUM(C18:E22*$M$7:$O$11)+$M$15</f>
        <v>0.64449565272897891</v>
      </c>
      <c r="O24" cm="1">
        <f t="array" ref="O24">SUM(D18:F22*$M$7:$O$11)+$M$15</f>
        <v>1.2183253943918149</v>
      </c>
      <c r="P24" cm="1">
        <f t="array" ref="P24">SUM(E18:G22*$M$7:$O$11)+$M$15</f>
        <v>-0.60824918673778194</v>
      </c>
      <c r="Q24" cm="1">
        <f t="array" ref="Q24">SUM(F18:H22*$M$7:$O$11)+$M$15</f>
        <v>3.0540707238032767</v>
      </c>
      <c r="S24" s="9">
        <v>3</v>
      </c>
      <c r="T24" s="14">
        <f t="shared" si="0"/>
        <v>1.8393159934697598</v>
      </c>
    </row>
    <row r="25" spans="1:21" x14ac:dyDescent="0.25">
      <c r="B25">
        <v>1</v>
      </c>
      <c r="S25" s="9">
        <v>4</v>
      </c>
      <c r="T25" s="14">
        <f t="shared" si="0"/>
        <v>0.40501335750777256</v>
      </c>
    </row>
    <row r="26" spans="1:21" x14ac:dyDescent="0.25">
      <c r="A26">
        <v>1</v>
      </c>
      <c r="B26">
        <f t="shared" ref="B26:B31" si="1">AVERAGE(B4:F4)</f>
        <v>0.36548104119790437</v>
      </c>
      <c r="M26" t="s">
        <v>28</v>
      </c>
      <c r="N26" t="s">
        <v>31</v>
      </c>
      <c r="S26" s="9">
        <v>5</v>
      </c>
      <c r="T26" s="14">
        <f t="shared" si="0"/>
        <v>0.53701995183003415</v>
      </c>
    </row>
    <row r="27" spans="1:21" x14ac:dyDescent="0.25">
      <c r="A27">
        <v>2</v>
      </c>
      <c r="B27">
        <f t="shared" si="1"/>
        <v>-0.24318936518565337</v>
      </c>
      <c r="M27">
        <v>1</v>
      </c>
      <c r="N27">
        <v>2</v>
      </c>
      <c r="O27">
        <v>3</v>
      </c>
      <c r="P27">
        <v>4</v>
      </c>
      <c r="Q27">
        <v>5</v>
      </c>
      <c r="S27" s="11">
        <v>6</v>
      </c>
      <c r="T27" s="15">
        <f t="shared" si="0"/>
        <v>1.2588938475691771</v>
      </c>
    </row>
    <row r="28" spans="1:21" x14ac:dyDescent="0.25">
      <c r="A28">
        <v>3</v>
      </c>
      <c r="B28">
        <f t="shared" si="1"/>
        <v>8.6633902217030781E-2</v>
      </c>
      <c r="L28">
        <v>1</v>
      </c>
      <c r="M28">
        <f t="shared" ref="M28:Q33" si="2">MAX(0,M19)</f>
        <v>0</v>
      </c>
      <c r="N28">
        <f t="shared" si="2"/>
        <v>2.8409403705120142</v>
      </c>
      <c r="O28">
        <f t="shared" si="2"/>
        <v>1.0094657250366961</v>
      </c>
      <c r="P28">
        <f t="shared" si="2"/>
        <v>4.0296676785617889</v>
      </c>
      <c r="Q28">
        <f t="shared" si="2"/>
        <v>0.2231704534676876</v>
      </c>
    </row>
    <row r="29" spans="1:21" x14ac:dyDescent="0.25">
      <c r="A29">
        <v>4</v>
      </c>
      <c r="B29">
        <f t="shared" si="1"/>
        <v>-0.84368679885201792</v>
      </c>
      <c r="L29">
        <v>2</v>
      </c>
      <c r="M29">
        <f t="shared" si="2"/>
        <v>0.25689826878368283</v>
      </c>
      <c r="N29">
        <f t="shared" si="2"/>
        <v>3.1757752467270279</v>
      </c>
      <c r="O29">
        <f t="shared" si="2"/>
        <v>1.0362640459794481</v>
      </c>
      <c r="P29">
        <f t="shared" si="2"/>
        <v>2.8218983069716979</v>
      </c>
      <c r="Q29">
        <f t="shared" si="2"/>
        <v>0</v>
      </c>
      <c r="T29" s="3"/>
    </row>
    <row r="30" spans="1:21" x14ac:dyDescent="0.25">
      <c r="A30">
        <v>5</v>
      </c>
      <c r="B30">
        <f t="shared" si="1"/>
        <v>0.17422066566536737</v>
      </c>
      <c r="L30">
        <v>3</v>
      </c>
      <c r="M30">
        <f t="shared" si="2"/>
        <v>0</v>
      </c>
      <c r="N30">
        <f t="shared" si="2"/>
        <v>3.1834321996364521</v>
      </c>
      <c r="O30">
        <f t="shared" si="2"/>
        <v>3.3789276309323317</v>
      </c>
      <c r="P30">
        <f t="shared" si="2"/>
        <v>0</v>
      </c>
      <c r="Q30">
        <f t="shared" si="2"/>
        <v>0</v>
      </c>
    </row>
    <row r="31" spans="1:21" x14ac:dyDescent="0.25">
      <c r="A31">
        <v>6</v>
      </c>
      <c r="B31">
        <f t="shared" si="1"/>
        <v>0.46054055495736873</v>
      </c>
      <c r="L31">
        <v>4</v>
      </c>
      <c r="M31">
        <f t="shared" si="2"/>
        <v>1.4276993553513675</v>
      </c>
      <c r="N31">
        <f t="shared" si="2"/>
        <v>0.71676248961599387</v>
      </c>
      <c r="O31">
        <f t="shared" si="2"/>
        <v>0</v>
      </c>
      <c r="P31">
        <f t="shared" si="2"/>
        <v>1.5094131886761968</v>
      </c>
      <c r="Q31">
        <f t="shared" si="2"/>
        <v>0</v>
      </c>
    </row>
    <row r="32" spans="1:21" x14ac:dyDescent="0.25">
      <c r="L32">
        <v>5</v>
      </c>
      <c r="M32">
        <f t="shared" si="2"/>
        <v>4.5198656803290973</v>
      </c>
      <c r="N32">
        <f t="shared" si="2"/>
        <v>0</v>
      </c>
      <c r="O32">
        <f t="shared" si="2"/>
        <v>0.11944986647470091</v>
      </c>
      <c r="P32">
        <f t="shared" si="2"/>
        <v>0</v>
      </c>
      <c r="Q32">
        <f t="shared" si="2"/>
        <v>3.6991230119856033</v>
      </c>
    </row>
    <row r="33" spans="1:17" x14ac:dyDescent="0.25">
      <c r="B33" t="s">
        <v>32</v>
      </c>
      <c r="L33">
        <v>6</v>
      </c>
      <c r="M33">
        <f t="shared" si="2"/>
        <v>0.45104666710995933</v>
      </c>
      <c r="N33">
        <f t="shared" si="2"/>
        <v>0.64449565272897891</v>
      </c>
      <c r="O33">
        <f t="shared" si="2"/>
        <v>1.2183253943918149</v>
      </c>
      <c r="P33">
        <f t="shared" si="2"/>
        <v>0</v>
      </c>
      <c r="Q33">
        <f t="shared" si="2"/>
        <v>3.0540707238032767</v>
      </c>
    </row>
    <row r="34" spans="1:17" x14ac:dyDescent="0.25">
      <c r="B34">
        <v>1</v>
      </c>
    </row>
    <row r="35" spans="1:17" x14ac:dyDescent="0.25">
      <c r="A35">
        <v>1</v>
      </c>
      <c r="B35">
        <v>0</v>
      </c>
    </row>
    <row r="36" spans="1:17" x14ac:dyDescent="0.25">
      <c r="A36">
        <v>2</v>
      </c>
      <c r="B36" cm="1">
        <f t="array" ref="B36:B41">B26:B31</f>
        <v>0.36548104119790437</v>
      </c>
      <c r="L36" s="5"/>
      <c r="M36" s="16" t="s">
        <v>33</v>
      </c>
      <c r="N36" s="7" t="s">
        <v>31</v>
      </c>
    </row>
    <row r="37" spans="1:17" x14ac:dyDescent="0.25">
      <c r="A37">
        <v>3</v>
      </c>
      <c r="B37">
        <v>-0.24318936518565337</v>
      </c>
      <c r="L37" s="9"/>
      <c r="M37" t="s">
        <v>34</v>
      </c>
      <c r="N37" s="10"/>
    </row>
    <row r="38" spans="1:17" x14ac:dyDescent="0.25">
      <c r="A38">
        <v>4</v>
      </c>
      <c r="B38">
        <v>8.6633902217030781E-2</v>
      </c>
      <c r="L38" s="9"/>
      <c r="M38">
        <v>1</v>
      </c>
      <c r="N38" s="10"/>
    </row>
    <row r="39" spans="1:17" x14ac:dyDescent="0.25">
      <c r="A39">
        <v>5</v>
      </c>
      <c r="B39">
        <v>-0.84368679885201792</v>
      </c>
      <c r="L39" s="9">
        <v>1</v>
      </c>
      <c r="M39" s="17">
        <f t="shared" ref="M39:M44" si="3">MAX(M28:Q28)</f>
        <v>4.0296676785617889</v>
      </c>
      <c r="N39" s="10"/>
    </row>
    <row r="40" spans="1:17" x14ac:dyDescent="0.25">
      <c r="A40">
        <v>6</v>
      </c>
      <c r="B40">
        <v>0.17422066566536737</v>
      </c>
      <c r="L40" s="9">
        <v>2</v>
      </c>
      <c r="M40" s="17">
        <f t="shared" si="3"/>
        <v>3.1757752467270279</v>
      </c>
      <c r="N40" s="10"/>
    </row>
    <row r="41" spans="1:17" x14ac:dyDescent="0.25">
      <c r="A41">
        <v>7</v>
      </c>
      <c r="B41">
        <v>0.46054055495736873</v>
      </c>
      <c r="L41" s="9">
        <v>3</v>
      </c>
      <c r="M41" s="17">
        <f t="shared" si="3"/>
        <v>3.3789276309323317</v>
      </c>
      <c r="N41" s="10"/>
    </row>
    <row r="42" spans="1:17" x14ac:dyDescent="0.25">
      <c r="A42">
        <v>8</v>
      </c>
      <c r="B42">
        <v>0</v>
      </c>
      <c r="L42" s="9">
        <v>4</v>
      </c>
      <c r="M42" s="17">
        <f t="shared" si="3"/>
        <v>1.5094131886761968</v>
      </c>
      <c r="N42" s="10"/>
    </row>
    <row r="43" spans="1:17" x14ac:dyDescent="0.25">
      <c r="L43" s="9">
        <v>5</v>
      </c>
      <c r="M43" s="17">
        <f t="shared" si="3"/>
        <v>4.5198656803290973</v>
      </c>
      <c r="N43" s="10"/>
    </row>
    <row r="44" spans="1:17" x14ac:dyDescent="0.25">
      <c r="L44" s="11">
        <v>6</v>
      </c>
      <c r="M44" s="18">
        <f t="shared" si="3"/>
        <v>3.0540707238032767</v>
      </c>
      <c r="N44" s="12"/>
    </row>
    <row r="47" spans="1:17" x14ac:dyDescent="0.25">
      <c r="L47" s="5"/>
      <c r="M47" s="16" t="s">
        <v>35</v>
      </c>
      <c r="N47" s="19" t="s">
        <v>36</v>
      </c>
    </row>
    <row r="48" spans="1:17" x14ac:dyDescent="0.25">
      <c r="L48" s="9"/>
      <c r="M48">
        <v>1</v>
      </c>
      <c r="N48" s="10">
        <v>2</v>
      </c>
    </row>
    <row r="49" spans="12:14" x14ac:dyDescent="0.25">
      <c r="L49" s="9">
        <v>1</v>
      </c>
      <c r="M49" s="17">
        <f t="shared" ref="M49:M54" si="4">M39</f>
        <v>4.0296676785617889</v>
      </c>
      <c r="N49" s="14">
        <f t="shared" ref="N49:N54" si="5">T22</f>
        <v>1.426184227044502</v>
      </c>
    </row>
    <row r="50" spans="12:14" x14ac:dyDescent="0.25">
      <c r="L50" s="9">
        <v>2</v>
      </c>
      <c r="M50" s="17">
        <f t="shared" si="4"/>
        <v>3.1757752467270279</v>
      </c>
      <c r="N50" s="14">
        <f t="shared" si="5"/>
        <v>0.83446165212430812</v>
      </c>
    </row>
    <row r="51" spans="12:14" x14ac:dyDescent="0.25">
      <c r="L51" s="9">
        <v>3</v>
      </c>
      <c r="M51" s="17">
        <f t="shared" si="4"/>
        <v>3.3789276309323317</v>
      </c>
      <c r="N51" s="14">
        <f t="shared" si="5"/>
        <v>1.8393159934697598</v>
      </c>
    </row>
    <row r="52" spans="12:14" x14ac:dyDescent="0.25">
      <c r="L52" s="9">
        <v>4</v>
      </c>
      <c r="M52" s="17">
        <f t="shared" si="4"/>
        <v>1.5094131886761968</v>
      </c>
      <c r="N52" s="14">
        <f t="shared" si="5"/>
        <v>0.40501335750777256</v>
      </c>
    </row>
    <row r="53" spans="12:14" x14ac:dyDescent="0.25">
      <c r="L53" s="9">
        <v>5</v>
      </c>
      <c r="M53" s="17">
        <f t="shared" si="4"/>
        <v>4.5198656803290973</v>
      </c>
      <c r="N53" s="14">
        <f t="shared" si="5"/>
        <v>0.53701995183003415</v>
      </c>
    </row>
    <row r="54" spans="12:14" x14ac:dyDescent="0.25">
      <c r="L54" s="11">
        <v>6</v>
      </c>
      <c r="M54" s="18">
        <f t="shared" si="4"/>
        <v>3.0540707238032767</v>
      </c>
      <c r="N54" s="15">
        <f t="shared" si="5"/>
        <v>1.2588938475691771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B3EE-0A80-44C8-ACDC-077F57EB3C93}">
  <dimension ref="B1:AU80"/>
  <sheetViews>
    <sheetView tabSelected="1" topLeftCell="G19" workbookViewId="0">
      <selection activeCell="X30" sqref="X30"/>
    </sheetView>
  </sheetViews>
  <sheetFormatPr defaultRowHeight="15" x14ac:dyDescent="0.25"/>
  <cols>
    <col min="3" max="6" width="12.5703125" customWidth="1"/>
    <col min="9" max="9" width="14.140625" customWidth="1"/>
    <col min="10" max="10" width="12.140625" customWidth="1"/>
    <col min="13" max="13" width="15" customWidth="1"/>
    <col min="20" max="20" width="9.7109375" customWidth="1"/>
    <col min="22" max="22" width="13.5703125" customWidth="1"/>
  </cols>
  <sheetData>
    <row r="1" spans="2:42" ht="15.75" thickBot="1" x14ac:dyDescent="0.3"/>
    <row r="2" spans="2:42" ht="26.25" x14ac:dyDescent="0.4">
      <c r="B2" s="5"/>
      <c r="C2" s="6" t="s">
        <v>35</v>
      </c>
      <c r="D2" s="7"/>
      <c r="I2" s="4" t="s">
        <v>19</v>
      </c>
      <c r="M2" s="4" t="s">
        <v>19</v>
      </c>
      <c r="U2" s="4" t="s">
        <v>37</v>
      </c>
      <c r="AA2" s="4" t="s">
        <v>37</v>
      </c>
    </row>
    <row r="3" spans="2:42" ht="26.25" x14ac:dyDescent="0.4">
      <c r="B3" s="9"/>
      <c r="C3">
        <v>1</v>
      </c>
      <c r="D3" s="10">
        <v>2</v>
      </c>
      <c r="I3" s="4" t="s">
        <v>20</v>
      </c>
      <c r="M3" s="4" t="s">
        <v>38</v>
      </c>
      <c r="U3" s="4" t="s">
        <v>38</v>
      </c>
      <c r="AA3" s="4" t="s">
        <v>39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2:42" ht="15.75" thickBot="1" x14ac:dyDescent="0.3">
      <c r="B4" s="9">
        <v>1</v>
      </c>
      <c r="C4" s="17" cm="1">
        <f t="array" ref="C4:D9">FRONTEND!M49:N54</f>
        <v>4.0296676785617889</v>
      </c>
      <c r="D4" s="14">
        <v>1.426184227044502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2:42" ht="15.75" thickBot="1" x14ac:dyDescent="0.3">
      <c r="B5" s="9">
        <v>2</v>
      </c>
      <c r="C5" s="17">
        <v>3.1757752467270279</v>
      </c>
      <c r="D5" s="14">
        <v>0.83446165212430812</v>
      </c>
      <c r="H5" s="5"/>
      <c r="I5" s="16" t="s">
        <v>22</v>
      </c>
      <c r="J5" s="7"/>
      <c r="M5" t="s">
        <v>3</v>
      </c>
      <c r="O5" s="5"/>
      <c r="P5" s="16" t="s">
        <v>40</v>
      </c>
      <c r="Q5" s="6"/>
      <c r="R5" s="7"/>
      <c r="T5" s="5"/>
      <c r="U5" s="6" t="s">
        <v>41</v>
      </c>
      <c r="V5" s="7" t="s">
        <v>42</v>
      </c>
      <c r="AA5" t="s">
        <v>43</v>
      </c>
      <c r="AB5" t="s">
        <v>44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2:42" x14ac:dyDescent="0.25">
      <c r="B6" s="9">
        <v>3</v>
      </c>
      <c r="C6" s="17">
        <v>3.3789276309323317</v>
      </c>
      <c r="D6" s="14">
        <v>1.8393159934697598</v>
      </c>
      <c r="H6" s="9"/>
      <c r="I6">
        <v>1</v>
      </c>
      <c r="J6" s="10">
        <v>2</v>
      </c>
      <c r="M6">
        <v>1</v>
      </c>
      <c r="O6" s="9"/>
      <c r="P6" s="90">
        <v>1</v>
      </c>
      <c r="Q6" s="90">
        <v>2</v>
      </c>
      <c r="R6" s="10">
        <v>3</v>
      </c>
      <c r="T6" s="9"/>
      <c r="U6">
        <v>1</v>
      </c>
      <c r="V6" s="10"/>
      <c r="AA6">
        <v>1</v>
      </c>
      <c r="AB6">
        <v>2</v>
      </c>
      <c r="AI6">
        <v>0</v>
      </c>
      <c r="AJ6">
        <v>0</v>
      </c>
      <c r="AK6">
        <v>0</v>
      </c>
      <c r="AL6" s="5">
        <f t="shared" ref="AL6:AM11" si="0">C4</f>
        <v>4.0296676785617889</v>
      </c>
      <c r="AM6" s="7">
        <f t="shared" si="0"/>
        <v>1.426184227044502</v>
      </c>
      <c r="AN6">
        <v>0</v>
      </c>
      <c r="AO6">
        <v>0</v>
      </c>
      <c r="AP6">
        <v>0</v>
      </c>
    </row>
    <row r="7" spans="2:42" x14ac:dyDescent="0.25">
      <c r="B7" s="9">
        <v>4</v>
      </c>
      <c r="C7" s="17">
        <v>1.5094131886761968</v>
      </c>
      <c r="D7" s="14">
        <v>0.40501335750777256</v>
      </c>
      <c r="H7" s="9">
        <v>1</v>
      </c>
      <c r="I7">
        <v>-0.20399999999999999</v>
      </c>
      <c r="J7" s="10">
        <v>-0.74</v>
      </c>
      <c r="L7">
        <v>1</v>
      </c>
      <c r="M7" s="17">
        <f>I47</f>
        <v>3.9314647214855474</v>
      </c>
      <c r="O7" s="9">
        <v>1</v>
      </c>
      <c r="P7" s="90">
        <v>-0.13400000000000001</v>
      </c>
      <c r="Q7" s="90">
        <v>-0.67100000000000004</v>
      </c>
      <c r="R7" s="10">
        <v>-0.77800000000000002</v>
      </c>
      <c r="T7" s="9">
        <v>1</v>
      </c>
      <c r="U7" s="1">
        <f>-1/3*((2/(1+DATA!$I$16))*N27/M21-((2*DATA!$I$16)/(1+DATA!$I$16))*(1-N27)*(1-M21))</f>
        <v>-28.138491536069409</v>
      </c>
      <c r="V7" s="10"/>
      <c r="Z7">
        <v>1</v>
      </c>
      <c r="AA7" s="17" t="e">
        <f t="shared" ref="AA7:AB12" si="1">U75*IF(U75&gt;0,1,0)</f>
        <v>#VALUE!</v>
      </c>
      <c r="AB7" s="20" t="e">
        <f t="shared" si="1"/>
        <v>#VALUE!</v>
      </c>
      <c r="AI7">
        <v>0</v>
      </c>
      <c r="AJ7">
        <v>0</v>
      </c>
      <c r="AK7">
        <v>0</v>
      </c>
      <c r="AL7" s="9">
        <f t="shared" si="0"/>
        <v>3.1757752467270279</v>
      </c>
      <c r="AM7" s="10">
        <f t="shared" si="0"/>
        <v>0.83446165212430812</v>
      </c>
      <c r="AN7">
        <v>0</v>
      </c>
      <c r="AO7">
        <v>0</v>
      </c>
      <c r="AP7">
        <v>0</v>
      </c>
    </row>
    <row r="8" spans="2:42" x14ac:dyDescent="0.25">
      <c r="B8" s="9">
        <v>5</v>
      </c>
      <c r="C8" s="17">
        <v>4.5198656803290973</v>
      </c>
      <c r="D8" s="14">
        <v>0.53701995183003415</v>
      </c>
      <c r="H8" s="9">
        <v>2</v>
      </c>
      <c r="I8">
        <v>0.80500000000000005</v>
      </c>
      <c r="J8" s="10">
        <v>-0.97699999999999998</v>
      </c>
      <c r="L8">
        <v>2</v>
      </c>
      <c r="M8" s="17">
        <f t="shared" ref="M8:M10" si="2">I48</f>
        <v>2.578660515266967</v>
      </c>
      <c r="O8" s="9">
        <v>2</v>
      </c>
      <c r="P8" s="90">
        <v>-0.94499999999999995</v>
      </c>
      <c r="Q8" s="90">
        <v>-0.04</v>
      </c>
      <c r="R8" s="10">
        <v>0.99099999999999999</v>
      </c>
      <c r="T8" s="9">
        <v>2</v>
      </c>
      <c r="U8" s="1">
        <f>-1/3*((2/(1+DATA!$I$16))*N28/M22-((2*DATA!$I$16)/(1+DATA!$I$16))*(1-N28)*(1-M22))</f>
        <v>5.6701556347746415E-2</v>
      </c>
      <c r="V8" s="10"/>
      <c r="Z8">
        <v>2</v>
      </c>
      <c r="AA8" s="17" t="e">
        <f t="shared" si="1"/>
        <v>#VALUE!</v>
      </c>
      <c r="AB8" s="20" t="e">
        <f t="shared" si="1"/>
        <v>#VALUE!</v>
      </c>
      <c r="AI8">
        <v>0</v>
      </c>
      <c r="AJ8">
        <v>0</v>
      </c>
      <c r="AK8">
        <v>0</v>
      </c>
      <c r="AL8" s="9">
        <f t="shared" si="0"/>
        <v>3.3789276309323317</v>
      </c>
      <c r="AM8" s="10">
        <f t="shared" si="0"/>
        <v>1.8393159934697598</v>
      </c>
      <c r="AN8">
        <v>0</v>
      </c>
      <c r="AO8">
        <v>0</v>
      </c>
      <c r="AP8">
        <v>0</v>
      </c>
    </row>
    <row r="9" spans="2:42" ht="15.75" thickBot="1" x14ac:dyDescent="0.3">
      <c r="B9" s="11">
        <v>6</v>
      </c>
      <c r="C9" s="18">
        <v>3.0540707238032767</v>
      </c>
      <c r="D9" s="15">
        <v>1.2588938475691771</v>
      </c>
      <c r="H9" s="11">
        <v>3</v>
      </c>
      <c r="I9" s="13">
        <v>0.51600000000000001</v>
      </c>
      <c r="J9" s="12">
        <v>-0.91400000000000003</v>
      </c>
      <c r="L9">
        <v>3</v>
      </c>
      <c r="M9" s="20">
        <f t="shared" si="2"/>
        <v>2.0283400176616162</v>
      </c>
      <c r="O9" s="9">
        <v>3</v>
      </c>
      <c r="P9" s="90">
        <v>-0.62</v>
      </c>
      <c r="Q9" s="90">
        <v>0.312</v>
      </c>
      <c r="R9" s="10">
        <v>-0.121</v>
      </c>
      <c r="T9" s="11">
        <v>3</v>
      </c>
      <c r="U9" s="21">
        <f>-1/3*((2/(1+DATA!$I$16))*N29/M23-((2*DATA!$I$16)/(1+DATA!$I$16))*(1-N29)*(1-M23))</f>
        <v>-0.91265247897124913</v>
      </c>
      <c r="V9" s="12"/>
      <c r="Z9">
        <v>3</v>
      </c>
      <c r="AA9" s="17" t="e">
        <f t="shared" si="1"/>
        <v>#VALUE!</v>
      </c>
      <c r="AB9" s="20" t="e">
        <f t="shared" si="1"/>
        <v>#VALUE!</v>
      </c>
      <c r="AI9">
        <v>0</v>
      </c>
      <c r="AJ9">
        <v>0</v>
      </c>
      <c r="AK9">
        <v>0</v>
      </c>
      <c r="AL9" s="9">
        <f t="shared" si="0"/>
        <v>1.5094131886761968</v>
      </c>
      <c r="AM9" s="10">
        <f t="shared" si="0"/>
        <v>0.40501335750777256</v>
      </c>
      <c r="AN9">
        <v>0</v>
      </c>
      <c r="AO9">
        <v>0</v>
      </c>
      <c r="AP9">
        <v>0</v>
      </c>
    </row>
    <row r="10" spans="2:42" ht="15.75" thickBot="1" x14ac:dyDescent="0.3">
      <c r="B10" t="s">
        <v>45</v>
      </c>
      <c r="L10">
        <v>4</v>
      </c>
      <c r="M10" s="20">
        <f t="shared" si="2"/>
        <v>2.0931660549585884</v>
      </c>
      <c r="O10" s="11">
        <v>4</v>
      </c>
      <c r="P10" s="13">
        <v>-0.29099999999999998</v>
      </c>
      <c r="Q10" s="13">
        <v>-0.20200000000000001</v>
      </c>
      <c r="R10" s="12">
        <v>0.186</v>
      </c>
      <c r="Z10">
        <v>4</v>
      </c>
      <c r="AA10" s="17" t="e">
        <f t="shared" si="1"/>
        <v>#VALUE!</v>
      </c>
      <c r="AB10" s="20" t="e">
        <f t="shared" si="1"/>
        <v>#VALUE!</v>
      </c>
      <c r="AI10">
        <v>0</v>
      </c>
      <c r="AJ10">
        <v>0</v>
      </c>
      <c r="AK10">
        <v>0</v>
      </c>
      <c r="AL10" s="9">
        <f t="shared" si="0"/>
        <v>4.5198656803290973</v>
      </c>
      <c r="AM10" s="10">
        <f t="shared" si="0"/>
        <v>0.53701995183003415</v>
      </c>
      <c r="AN10">
        <v>0</v>
      </c>
      <c r="AO10">
        <v>0</v>
      </c>
      <c r="AP10">
        <v>0</v>
      </c>
    </row>
    <row r="11" spans="2:42" ht="15.75" thickBot="1" x14ac:dyDescent="0.3">
      <c r="H11" s="5"/>
      <c r="I11" s="8" t="s">
        <v>23</v>
      </c>
      <c r="Z11">
        <v>5</v>
      </c>
      <c r="AA11" s="17" t="e">
        <f t="shared" si="1"/>
        <v>#VALUE!</v>
      </c>
      <c r="AB11" s="20" t="e">
        <f t="shared" si="1"/>
        <v>#VALUE!</v>
      </c>
      <c r="AI11">
        <v>0</v>
      </c>
      <c r="AJ11">
        <v>0</v>
      </c>
      <c r="AK11">
        <v>0</v>
      </c>
      <c r="AL11" s="11">
        <f t="shared" si="0"/>
        <v>3.0540707238032767</v>
      </c>
      <c r="AM11" s="12">
        <f t="shared" si="0"/>
        <v>1.2588938475691771</v>
      </c>
      <c r="AN11">
        <v>0</v>
      </c>
      <c r="AO11">
        <v>0</v>
      </c>
      <c r="AP11">
        <v>0</v>
      </c>
    </row>
    <row r="12" spans="2:42" ht="15.75" thickBot="1" x14ac:dyDescent="0.3">
      <c r="C12" t="s">
        <v>46</v>
      </c>
      <c r="H12" s="9"/>
      <c r="I12" s="10">
        <v>1</v>
      </c>
      <c r="T12" s="5" t="s">
        <v>47</v>
      </c>
      <c r="U12" s="6" t="s">
        <v>48</v>
      </c>
      <c r="V12" s="7"/>
      <c r="Z12">
        <v>6</v>
      </c>
      <c r="AA12" s="17" t="e">
        <f t="shared" si="1"/>
        <v>#VALUE!</v>
      </c>
      <c r="AB12" s="20" t="e">
        <f t="shared" si="1"/>
        <v>#VALUE!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2:42" ht="15.75" thickBot="1" x14ac:dyDescent="0.3">
      <c r="C13">
        <v>1</v>
      </c>
      <c r="D13">
        <v>2</v>
      </c>
      <c r="E13">
        <v>3</v>
      </c>
      <c r="H13" s="11">
        <v>1</v>
      </c>
      <c r="I13" s="12">
        <v>1</v>
      </c>
      <c r="M13" t="s">
        <v>54</v>
      </c>
      <c r="N13" t="s">
        <v>55</v>
      </c>
      <c r="O13" s="5"/>
      <c r="P13" s="8" t="s">
        <v>23</v>
      </c>
      <c r="T13" s="9"/>
      <c r="U13">
        <v>1</v>
      </c>
      <c r="V13" s="10"/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2:42" x14ac:dyDescent="0.25">
      <c r="B14">
        <v>1</v>
      </c>
      <c r="C14">
        <v>0</v>
      </c>
      <c r="D14">
        <v>0</v>
      </c>
      <c r="E14">
        <v>0</v>
      </c>
      <c r="M14">
        <v>1</v>
      </c>
      <c r="O14" s="9"/>
      <c r="P14" s="10">
        <v>1</v>
      </c>
      <c r="T14" s="9">
        <v>1</v>
      </c>
      <c r="U14">
        <f>-1/3*((2/(1+DATA!$I$16))*N27*(1-M21)-((2*DATA!$I$16)/(1+DATA!$I$16))*(1-N27)*M21)</f>
        <v>-0.58500513608120408</v>
      </c>
      <c r="V14" s="10"/>
      <c r="Z14" s="5"/>
      <c r="AA14" s="16" t="s">
        <v>22</v>
      </c>
      <c r="AB14" s="7" t="s">
        <v>49</v>
      </c>
      <c r="AD14" s="5"/>
      <c r="AE14" s="8" t="s">
        <v>23</v>
      </c>
      <c r="AF14" t="s">
        <v>50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2:42" x14ac:dyDescent="0.25">
      <c r="B15">
        <v>2</v>
      </c>
      <c r="C15" s="17">
        <f t="shared" ref="C15:D20" si="3">C4</f>
        <v>4.0296676785617889</v>
      </c>
      <c r="D15" s="20">
        <f t="shared" si="3"/>
        <v>1.426184227044502</v>
      </c>
      <c r="E15">
        <v>0</v>
      </c>
      <c r="I15" t="s">
        <v>25</v>
      </c>
      <c r="J15" t="s">
        <v>51</v>
      </c>
      <c r="L15">
        <v>1</v>
      </c>
      <c r="M15" cm="1">
        <f t="array" ref="M15:M17">TRANSPOSE(MMULT(TRANSPOSE(M7:M10),P7:R10)+TRANSPOSE(P15:P17))</f>
        <v>-3.8303325925494986</v>
      </c>
      <c r="O15" s="9">
        <v>1</v>
      </c>
      <c r="P15" s="10">
        <v>1</v>
      </c>
      <c r="T15" s="9">
        <v>2</v>
      </c>
      <c r="U15">
        <f>-1/3*((2/(1+DATA!$I$16))*N28*(1-M22)-((2*DATA!$I$16)/(1+DATA!$I$16))*(1-N28)*M22)</f>
        <v>1.2263960893632889E-2</v>
      </c>
      <c r="V15" s="10"/>
      <c r="Z15" s="9"/>
      <c r="AA15">
        <v>1</v>
      </c>
      <c r="AB15" s="10">
        <v>2</v>
      </c>
      <c r="AD15" s="9"/>
      <c r="AE15" s="10">
        <v>1</v>
      </c>
      <c r="AI15" t="s">
        <v>52</v>
      </c>
    </row>
    <row r="16" spans="2:42" ht="15.75" thickBot="1" x14ac:dyDescent="0.3">
      <c r="B16">
        <v>3</v>
      </c>
      <c r="C16" s="17">
        <f t="shared" si="3"/>
        <v>3.1757752467270279</v>
      </c>
      <c r="D16" s="20">
        <f t="shared" si="3"/>
        <v>0.83446165212430812</v>
      </c>
      <c r="E16">
        <v>0</v>
      </c>
      <c r="I16">
        <v>1</v>
      </c>
      <c r="J16">
        <v>2</v>
      </c>
      <c r="L16">
        <v>2</v>
      </c>
      <c r="M16">
        <v>-1.5311367063186916</v>
      </c>
      <c r="O16" s="9">
        <v>2</v>
      </c>
      <c r="P16" s="10">
        <v>1</v>
      </c>
      <c r="T16" s="11">
        <v>3</v>
      </c>
      <c r="U16" s="13">
        <f>-1/3*((2/(1+DATA!$I$16))*N29*(1-M23)-((2*DATA!$I$16)/(1+DATA!$I$16))*(1-N29)*M23)</f>
        <v>-0.20626336532262252</v>
      </c>
      <c r="V16" s="12"/>
      <c r="Z16" s="9">
        <v>1</v>
      </c>
      <c r="AA16" t="e" cm="1">
        <f t="array" ref="AA16">I7-M32*SUM($AA$7:$AB$12*AL5:AM10)</f>
        <v>#VALUE!</v>
      </c>
      <c r="AB16" s="10" t="e" cm="1">
        <f t="array" ref="AB16">J7-N32*SUM($AA$7:$AB$12*AM5:AN10)</f>
        <v>#VALUE!</v>
      </c>
      <c r="AD16" s="11">
        <v>1</v>
      </c>
      <c r="AE16" s="12" t="e">
        <f>I13-M32*SUM(AA7:AB12)</f>
        <v>#VALUE!</v>
      </c>
    </row>
    <row r="17" spans="2:47" ht="15.75" thickBot="1" x14ac:dyDescent="0.3">
      <c r="B17">
        <v>4</v>
      </c>
      <c r="C17" s="17">
        <f t="shared" si="3"/>
        <v>3.3789276309323317</v>
      </c>
      <c r="D17" s="20">
        <f t="shared" si="3"/>
        <v>1.8393159934697598</v>
      </c>
      <c r="E17">
        <v>0</v>
      </c>
      <c r="H17">
        <v>1</v>
      </c>
      <c r="I17" cm="1">
        <f t="array" ref="I17">SUM(C14:D16*$I$7:$J$9)+$I$13</f>
        <v>3.7265025686892908</v>
      </c>
      <c r="J17" cm="1">
        <f t="array" ref="J17">SUM(D14:E16*$I$7:$J$9)+$I$13</f>
        <v>2.578660515266967</v>
      </c>
      <c r="L17">
        <v>3</v>
      </c>
      <c r="M17">
        <v>0.64067276139905016</v>
      </c>
      <c r="O17" s="11">
        <v>3</v>
      </c>
      <c r="P17" s="12">
        <v>1</v>
      </c>
      <c r="Z17" s="9">
        <v>2</v>
      </c>
      <c r="AA17" t="e" cm="1">
        <f t="array" ref="AA17">I8-M40*SUM($AA$7:$AB$12*AL6:AM11)</f>
        <v>#VALUE!</v>
      </c>
      <c r="AB17" s="10" t="e" cm="1">
        <f t="array" ref="AB17">J8-N40*SUM($AA$7:$AB$12*AM6:AN11)</f>
        <v>#VALUE!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S17">
        <v>0</v>
      </c>
      <c r="AT17">
        <v>1</v>
      </c>
    </row>
    <row r="18" spans="2:47" ht="15.75" thickBot="1" x14ac:dyDescent="0.3">
      <c r="B18">
        <v>5</v>
      </c>
      <c r="C18" s="17">
        <f t="shared" si="3"/>
        <v>1.5094131886761968</v>
      </c>
      <c r="D18" s="20">
        <f t="shared" si="3"/>
        <v>0.40501335750777256</v>
      </c>
      <c r="E18">
        <v>0</v>
      </c>
      <c r="H18">
        <v>2</v>
      </c>
      <c r="I18" cm="1">
        <f t="array" ref="I18">SUM(C15:D17*$I$7:$J$9)+$I$13</f>
        <v>0.9261933445799948</v>
      </c>
      <c r="J18" cm="1">
        <f t="array" ref="J18">SUM(D15:E17*$I$7:$J$9)+$I$13</f>
        <v>2.3298871002733854</v>
      </c>
      <c r="Z18" s="11">
        <v>3</v>
      </c>
      <c r="AA18" s="13" t="e" cm="1">
        <f t="array" ref="AA18">I9-M41*SUM($AA$7:$AB$12*AL7:AM12)</f>
        <v>#VALUE!</v>
      </c>
      <c r="AB18" s="12" t="e" cm="1">
        <f t="array" ref="AB18">J9-N41*SUM($AA$7:$AB$12*AM7:AN12)</f>
        <v>#VALUE!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S18">
        <v>1</v>
      </c>
      <c r="AT18">
        <v>0</v>
      </c>
    </row>
    <row r="19" spans="2:47" ht="15.75" thickBot="1" x14ac:dyDescent="0.3">
      <c r="B19">
        <v>6</v>
      </c>
      <c r="C19" s="17">
        <f t="shared" si="3"/>
        <v>4.5198656803290973</v>
      </c>
      <c r="D19" s="20">
        <f t="shared" si="3"/>
        <v>0.53701995183003415</v>
      </c>
      <c r="E19">
        <v>0</v>
      </c>
      <c r="H19">
        <v>3</v>
      </c>
      <c r="I19" cm="1">
        <f t="array" ref="I19">SUM(C16:D18*$I$7:$J$9)+$I$13</f>
        <v>1.0663402409710838</v>
      </c>
      <c r="J19" cm="1">
        <f t="array" ref="J19">SUM(D16:E18*$I$7:$J$9)+$I$13</f>
        <v>2.5194060901838085</v>
      </c>
      <c r="L19" s="5"/>
      <c r="M19" s="16" t="s">
        <v>59</v>
      </c>
      <c r="N19" s="7"/>
      <c r="O19" t="s">
        <v>60</v>
      </c>
      <c r="T19" s="5"/>
      <c r="U19" s="16" t="s">
        <v>40</v>
      </c>
      <c r="V19" s="6" t="s">
        <v>53</v>
      </c>
      <c r="W19" s="7"/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2:47" x14ac:dyDescent="0.25">
      <c r="B20">
        <v>7</v>
      </c>
      <c r="C20" s="17">
        <f t="shared" si="3"/>
        <v>3.0540707238032767</v>
      </c>
      <c r="D20" s="20">
        <f t="shared" si="3"/>
        <v>1.2588938475691771</v>
      </c>
      <c r="E20">
        <v>0</v>
      </c>
      <c r="H20">
        <v>4</v>
      </c>
      <c r="I20" cm="1">
        <f t="array" ref="I20">SUM(C17:D19*$I$7:$J$9)+$I$13</f>
        <v>1.61039894979859</v>
      </c>
      <c r="J20" cm="1">
        <f t="array" ref="J20">SUM(D17:E19*$I$7:$J$9)+$I$13</f>
        <v>1.2279175852702235</v>
      </c>
      <c r="L20" s="9"/>
      <c r="M20">
        <v>1</v>
      </c>
      <c r="N20" s="10"/>
      <c r="T20" s="9"/>
      <c r="U20" s="90">
        <v>1</v>
      </c>
      <c r="V20" s="90">
        <v>2</v>
      </c>
      <c r="W20" s="10">
        <v>3</v>
      </c>
      <c r="Z20" s="5"/>
      <c r="AA20" s="16" t="s">
        <v>56</v>
      </c>
      <c r="AB20" s="7"/>
      <c r="AC20" t="s">
        <v>57</v>
      </c>
      <c r="AI20">
        <v>0</v>
      </c>
      <c r="AJ20">
        <v>0</v>
      </c>
      <c r="AK20">
        <v>0</v>
      </c>
      <c r="AL20" s="5" t="e" cm="1">
        <f t="array" ref="AL20:AM25">AA7:AB12</f>
        <v>#VALUE!</v>
      </c>
      <c r="AM20" s="7" t="e">
        <v>#VALUE!</v>
      </c>
      <c r="AN20">
        <v>0</v>
      </c>
      <c r="AO20">
        <v>0</v>
      </c>
      <c r="AP20">
        <v>0</v>
      </c>
      <c r="AS20">
        <v>0</v>
      </c>
      <c r="AT20">
        <v>0</v>
      </c>
      <c r="AU20">
        <v>1</v>
      </c>
    </row>
    <row r="21" spans="2:47" x14ac:dyDescent="0.25">
      <c r="B21">
        <v>8</v>
      </c>
      <c r="C21">
        <v>0</v>
      </c>
      <c r="D21">
        <v>0</v>
      </c>
      <c r="E21">
        <v>0</v>
      </c>
      <c r="H21">
        <v>5</v>
      </c>
      <c r="I21" cm="1">
        <f t="array" ref="I21">SUM(C18:D20*$I$7:$J$9)+$I$13</f>
        <v>3.9314647214855474</v>
      </c>
      <c r="J21" cm="1">
        <f t="array" ref="J21">SUM(D18:E20*$I$7:$J$9)+$I$13</f>
        <v>1.9992675616372875</v>
      </c>
      <c r="L21" s="9">
        <v>1</v>
      </c>
      <c r="M21">
        <f t="shared" ref="M21:M23" si="4">1/(1+EXP(-M15))</f>
        <v>2.1241406941062295E-2</v>
      </c>
      <c r="N21" s="10" t="s">
        <v>10</v>
      </c>
      <c r="T21" s="9">
        <v>1</v>
      </c>
      <c r="U21" s="90" cm="1">
        <f t="array" ref="U21:U24">P7:P10-$M$32*$U14*$M$7:$M$10</f>
        <v>9.5992705439110593E-2</v>
      </c>
      <c r="V21" s="90" cm="1">
        <f t="array" ref="V21:V24">Q7:Q10-$M$32*$U14*$M$7:$M$10</f>
        <v>-0.44100729456088944</v>
      </c>
      <c r="W21" s="10" cm="1">
        <f t="array" ref="W21:W24">R7:R10-$M$32*$U14*$M$7:$M$10</f>
        <v>-0.54800729456088937</v>
      </c>
      <c r="Z21" s="9"/>
      <c r="AA21">
        <v>1</v>
      </c>
      <c r="AB21" s="10">
        <v>2</v>
      </c>
      <c r="AI21">
        <v>0</v>
      </c>
      <c r="AJ21">
        <v>0</v>
      </c>
      <c r="AK21">
        <v>0</v>
      </c>
      <c r="AL21" s="9" t="e">
        <v>#VALUE!</v>
      </c>
      <c r="AM21" s="10" t="e">
        <v>#VALUE!</v>
      </c>
      <c r="AN21">
        <v>0</v>
      </c>
      <c r="AO21">
        <v>0</v>
      </c>
      <c r="AP21">
        <v>0</v>
      </c>
      <c r="AS21">
        <v>0</v>
      </c>
      <c r="AT21">
        <v>1</v>
      </c>
      <c r="AU21">
        <v>0</v>
      </c>
    </row>
    <row r="22" spans="2:47" x14ac:dyDescent="0.25">
      <c r="H22">
        <v>6</v>
      </c>
      <c r="I22" cm="1">
        <f t="array" ref="I22">SUM(C19:D21*$I$7:$J$9)+$I$13</f>
        <v>0.90914028044519068</v>
      </c>
      <c r="J22" cm="1">
        <f t="array" ref="J22">SUM(D19:E21*$I$7:$J$9)+$I$13</f>
        <v>1.9038574771198606</v>
      </c>
      <c r="L22" s="9">
        <v>2</v>
      </c>
      <c r="M22">
        <f t="shared" si="4"/>
        <v>0.17782743295767689</v>
      </c>
      <c r="N22" s="10" t="s">
        <v>11</v>
      </c>
      <c r="T22" s="9">
        <v>2</v>
      </c>
      <c r="U22" s="90">
        <v>-0.79414703543590193</v>
      </c>
      <c r="V22" s="90">
        <v>0.11085296456409799</v>
      </c>
      <c r="W22" s="10">
        <v>1.141852964564098</v>
      </c>
      <c r="Z22" s="9">
        <v>1</v>
      </c>
      <c r="AA22" s="17" t="e" cm="1">
        <f t="array" ref="AA22">SUM(MMULT($AS$20:$AU$22,MMULT(AL19:AM21,$AS$17:$AT$18))*$AA$16:$AB$18)</f>
        <v>#VALUE!</v>
      </c>
      <c r="AB22" s="14" t="e" cm="1">
        <f t="array" ref="AB22">SUM(MMULT($AS$20:$AU$22,MMULT(AM19:AN21,$AS$17:$AT$18))*$AA$16:$AB$18)</f>
        <v>#VALUE!</v>
      </c>
      <c r="AI22">
        <v>0</v>
      </c>
      <c r="AJ22">
        <v>0</v>
      </c>
      <c r="AK22">
        <v>0</v>
      </c>
      <c r="AL22" s="9" t="e">
        <v>#VALUE!</v>
      </c>
      <c r="AM22" s="10" t="e">
        <v>#VALUE!</v>
      </c>
      <c r="AN22">
        <v>0</v>
      </c>
      <c r="AO22">
        <v>0</v>
      </c>
      <c r="AP22">
        <v>0</v>
      </c>
      <c r="AS22">
        <v>1</v>
      </c>
      <c r="AT22">
        <v>0</v>
      </c>
      <c r="AU22">
        <v>0</v>
      </c>
    </row>
    <row r="23" spans="2:47" ht="15.75" thickBot="1" x14ac:dyDescent="0.3">
      <c r="L23" s="11">
        <v>3</v>
      </c>
      <c r="M23" s="13">
        <f t="shared" si="4"/>
        <v>0.65490552340253538</v>
      </c>
      <c r="N23" s="12" t="s">
        <v>12</v>
      </c>
      <c r="T23" s="9">
        <v>3</v>
      </c>
      <c r="U23" s="90">
        <v>-0.50134106719489147</v>
      </c>
      <c r="V23" s="90">
        <v>0.43065893280510859</v>
      </c>
      <c r="W23" s="10">
        <v>-2.3410671948914247E-3</v>
      </c>
      <c r="Z23" s="9">
        <v>2</v>
      </c>
      <c r="AA23" s="17" t="e" cm="1">
        <f t="array" ref="AA23">SUM(MMULT($AS$20:$AU$22,MMULT(AL20:AM22,$AS$17:$AT$18))*$AA$16:$AB$18)</f>
        <v>#VALUE!</v>
      </c>
      <c r="AB23" s="14" t="e" cm="1">
        <f t="array" ref="AB23">SUM(MMULT($AS$20:$AU$22,MMULT(AM20:AN22,$AS$17:$AT$18))*$AA$16:$AB$18)</f>
        <v>#VALUE!</v>
      </c>
      <c r="AI23">
        <v>0</v>
      </c>
      <c r="AJ23">
        <v>0</v>
      </c>
      <c r="AK23">
        <v>0</v>
      </c>
      <c r="AL23" s="9" t="e">
        <v>#VALUE!</v>
      </c>
      <c r="AM23" s="10" t="e">
        <v>#VALUE!</v>
      </c>
      <c r="AN23">
        <v>0</v>
      </c>
      <c r="AO23">
        <v>0</v>
      </c>
      <c r="AP23">
        <v>0</v>
      </c>
    </row>
    <row r="24" spans="2:47" ht="15.75" thickBot="1" x14ac:dyDescent="0.3">
      <c r="I24" t="s">
        <v>28</v>
      </c>
      <c r="J24" t="s">
        <v>58</v>
      </c>
      <c r="T24" s="11">
        <v>4</v>
      </c>
      <c r="U24" s="13">
        <v>-0.16854871071783936</v>
      </c>
      <c r="V24" s="13">
        <v>-7.9548710717839394E-2</v>
      </c>
      <c r="W24" s="12">
        <v>0.30845128928216059</v>
      </c>
      <c r="Z24" s="9">
        <v>3</v>
      </c>
      <c r="AA24" s="17" t="e" cm="1">
        <f t="array" ref="AA24">SUM(MMULT($AS$20:$AU$22,MMULT(AL21:AM23,$AS$17:$AT$18))*$AA$16:$AB$18)</f>
        <v>#VALUE!</v>
      </c>
      <c r="AB24" s="14" t="e" cm="1">
        <f t="array" ref="AB24">SUM(MMULT($AS$20:$AU$22,MMULT(AM21:AN23,$AS$17:$AT$18))*$AA$16:$AB$18)</f>
        <v>#VALUE!</v>
      </c>
      <c r="AI24">
        <v>0</v>
      </c>
      <c r="AJ24">
        <v>0</v>
      </c>
      <c r="AK24">
        <v>0</v>
      </c>
      <c r="AL24" s="9" t="e">
        <v>#VALUE!</v>
      </c>
      <c r="AM24" s="10" t="e">
        <v>#VALUE!</v>
      </c>
      <c r="AN24">
        <v>0</v>
      </c>
      <c r="AO24">
        <v>0</v>
      </c>
      <c r="AP24">
        <v>0</v>
      </c>
    </row>
    <row r="25" spans="2:47" ht="15.75" thickBot="1" x14ac:dyDescent="0.3">
      <c r="I25">
        <v>1</v>
      </c>
      <c r="J25">
        <v>2</v>
      </c>
      <c r="L25" s="5"/>
      <c r="M25" s="16" t="s">
        <v>62</v>
      </c>
      <c r="N25" s="7"/>
      <c r="O25" t="s">
        <v>63</v>
      </c>
      <c r="Z25" s="9">
        <v>4</v>
      </c>
      <c r="AA25" s="17" t="e" cm="1">
        <f t="array" ref="AA25">SUM(MMULT($AS$20:$AU$22,MMULT(AL22:AM24,$AS$17:$AT$18))*$AA$16:$AB$18)</f>
        <v>#VALUE!</v>
      </c>
      <c r="AB25" s="14" t="e" cm="1">
        <f t="array" ref="AB25">SUM(MMULT($AS$20:$AU$22,MMULT(AM22:AN24,$AS$17:$AT$18))*$AA$16:$AB$18)</f>
        <v>#VALUE!</v>
      </c>
      <c r="AI25">
        <v>0</v>
      </c>
      <c r="AJ25">
        <v>0</v>
      </c>
      <c r="AK25">
        <v>0</v>
      </c>
      <c r="AL25" s="11" t="e">
        <v>#VALUE!</v>
      </c>
      <c r="AM25" s="12" t="e">
        <v>#VALUE!</v>
      </c>
      <c r="AN25">
        <v>0</v>
      </c>
      <c r="AO25">
        <v>0</v>
      </c>
      <c r="AP25">
        <v>0</v>
      </c>
    </row>
    <row r="26" spans="2:47" ht="15.75" thickBot="1" x14ac:dyDescent="0.3">
      <c r="H26">
        <v>1</v>
      </c>
      <c r="I26">
        <f t="shared" ref="I26:J31" si="5">MAX(0,I17)</f>
        <v>3.7265025686892908</v>
      </c>
      <c r="J26">
        <f>MAX(0,J17)</f>
        <v>2.578660515266967</v>
      </c>
      <c r="L26" s="9"/>
      <c r="M26">
        <v>1</v>
      </c>
      <c r="N26" s="22" t="s">
        <v>65</v>
      </c>
      <c r="Z26" s="9">
        <v>5</v>
      </c>
      <c r="AA26" s="17" t="e" cm="1">
        <f t="array" ref="AA26">SUM(MMULT($AS$20:$AU$22,MMULT(AL23:AM25,$AS$17:$AT$18))*$AA$16:$AB$18)</f>
        <v>#VALUE!</v>
      </c>
      <c r="AB26" s="14" t="e" cm="1">
        <f t="array" ref="AB26">SUM(MMULT($AS$20:$AU$22,MMULT(AM23:AN25,$AS$17:$AT$18))*$AA$16:$AB$18)</f>
        <v>#VALUE!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2:47" ht="15.75" thickBot="1" x14ac:dyDescent="0.3">
      <c r="H27">
        <v>2</v>
      </c>
      <c r="I27">
        <f t="shared" si="5"/>
        <v>0.9261933445799948</v>
      </c>
      <c r="J27">
        <f t="shared" si="5"/>
        <v>2.3298871002733854</v>
      </c>
      <c r="L27" s="23" t="s">
        <v>68</v>
      </c>
      <c r="M27" s="1">
        <f>((2/(1+DATA!$I$16))*N27*LN(M21)+((2*DATA!$I$16)/(1+DATA!$I$16))*(1-N27)*LN(1-M21))</f>
        <v>-6.9066809628012766</v>
      </c>
      <c r="N27" s="10">
        <v>1</v>
      </c>
      <c r="T27" s="5"/>
      <c r="U27" s="8" t="s">
        <v>23</v>
      </c>
      <c r="V27" t="s">
        <v>69</v>
      </c>
      <c r="Z27" s="11">
        <v>6</v>
      </c>
      <c r="AA27" s="18" t="e" cm="1">
        <f t="array" ref="AA27">SUM(MMULT($AS$20:$AU$22,MMULT(AL24:AM26,$AS$17:$AT$18))*$AA$16:$AB$18)</f>
        <v>#VALUE!</v>
      </c>
      <c r="AB27" s="15" t="e" cm="1">
        <f t="array" ref="AB27">SUM(MMULT($AS$20:$AU$22,MMULT(AM24:AN26,$AS$17:$AT$18))*$AA$16:$AB$18)</f>
        <v>#VALUE!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2:47" x14ac:dyDescent="0.25">
      <c r="H28">
        <v>3</v>
      </c>
      <c r="I28">
        <f t="shared" si="5"/>
        <v>1.0663402409710838</v>
      </c>
      <c r="J28">
        <f t="shared" si="5"/>
        <v>2.5194060901838085</v>
      </c>
      <c r="L28" s="9">
        <v>2</v>
      </c>
      <c r="M28" s="1">
        <f>((2/(1+DATA!$I$17))*N28*LN(M22)+((2*DATA!$I$17)/(1+DATA!$I$17))*(1-N28)*LN(1-M22))</f>
        <v>-0.14918473934075724</v>
      </c>
      <c r="N28" s="10">
        <v>0</v>
      </c>
      <c r="T28" s="9"/>
      <c r="U28" s="10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2:47" x14ac:dyDescent="0.25">
      <c r="H29">
        <v>4</v>
      </c>
      <c r="I29">
        <f t="shared" si="5"/>
        <v>1.61039894979859</v>
      </c>
      <c r="J29">
        <f t="shared" si="5"/>
        <v>1.2279175852702235</v>
      </c>
      <c r="L29" s="9">
        <v>3</v>
      </c>
      <c r="M29" s="1">
        <f>((2/(1+DATA!$I$18))*N29*LN(M23)+((2*DATA!$I$18)/(1+DATA!$I$18))*(1-N29)*LN(1-M23))</f>
        <v>-0.66696191597523935</v>
      </c>
      <c r="N29" s="10">
        <v>1</v>
      </c>
      <c r="T29" s="9">
        <v>1</v>
      </c>
      <c r="U29" s="10">
        <f>P15-$M$32*$U14</f>
        <v>1.0585005136081205</v>
      </c>
      <c r="AI29" t="s">
        <v>61</v>
      </c>
    </row>
    <row r="30" spans="2:47" ht="15.75" thickBot="1" x14ac:dyDescent="0.3">
      <c r="H30">
        <v>5</v>
      </c>
      <c r="I30">
        <f t="shared" si="5"/>
        <v>3.9314647214855474</v>
      </c>
      <c r="J30">
        <f t="shared" si="5"/>
        <v>1.9992675616372875</v>
      </c>
      <c r="L30" s="24" t="s">
        <v>6</v>
      </c>
      <c r="M30" s="13">
        <f>-1*SUM(M27:M29)/3</f>
        <v>2.574275872705758</v>
      </c>
      <c r="N30" s="12"/>
      <c r="T30" s="9">
        <v>2</v>
      </c>
      <c r="U30" s="10">
        <f>P16-$M$32*$U15</f>
        <v>0.99877360391063674</v>
      </c>
    </row>
    <row r="31" spans="2:47" ht="15.75" thickBot="1" x14ac:dyDescent="0.3">
      <c r="H31">
        <v>6</v>
      </c>
      <c r="I31">
        <f t="shared" si="5"/>
        <v>0.90914028044519068</v>
      </c>
      <c r="J31">
        <f t="shared" si="5"/>
        <v>1.9038574771198606</v>
      </c>
      <c r="T31" s="11">
        <v>3</v>
      </c>
      <c r="U31" s="12">
        <f>P17-$M$32*$U16</f>
        <v>1.0206263365322623</v>
      </c>
    </row>
    <row r="32" spans="2:47" ht="26.25" x14ac:dyDescent="0.4">
      <c r="L32" s="2" t="s">
        <v>73</v>
      </c>
      <c r="M32">
        <v>0.1</v>
      </c>
      <c r="AA32" s="4" t="s">
        <v>64</v>
      </c>
    </row>
    <row r="33" spans="8:45" ht="26.25" x14ac:dyDescent="0.4">
      <c r="I33" t="s">
        <v>33</v>
      </c>
      <c r="AA33" s="4" t="s">
        <v>20</v>
      </c>
    </row>
    <row r="34" spans="8:45" x14ac:dyDescent="0.25">
      <c r="I34" t="s">
        <v>66</v>
      </c>
      <c r="J34" t="s">
        <v>67</v>
      </c>
      <c r="AA34" t="s">
        <v>70</v>
      </c>
      <c r="AC34" t="s">
        <v>25</v>
      </c>
      <c r="AD34" t="s">
        <v>71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8:45" x14ac:dyDescent="0.25">
      <c r="I35">
        <v>1</v>
      </c>
      <c r="J35">
        <v>2</v>
      </c>
      <c r="AA35">
        <v>1</v>
      </c>
      <c r="AB35" s="2" t="s">
        <v>72</v>
      </c>
      <c r="AC35">
        <v>1</v>
      </c>
      <c r="AD35">
        <v>2</v>
      </c>
      <c r="AE35">
        <v>3</v>
      </c>
      <c r="AF35">
        <v>4</v>
      </c>
      <c r="AG35">
        <v>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8:45" ht="15.75" thickBot="1" x14ac:dyDescent="0.3">
      <c r="H36">
        <v>1</v>
      </c>
      <c r="I36" s="17">
        <f>MAX(I26:I31)</f>
        <v>3.9314647214855474</v>
      </c>
      <c r="J36" s="17">
        <f>MAX(J26:J31)</f>
        <v>2.578660515266967</v>
      </c>
      <c r="Z36">
        <v>1</v>
      </c>
      <c r="AA36" s="17" t="e">
        <f t="shared" ref="AA36:AA41" si="6">AA22</f>
        <v>#VALUE!</v>
      </c>
      <c r="AB36">
        <f>MATCH(MAX(FRONTEND!M28:Q28),FRONTEND!M28:Q28,0)</f>
        <v>4</v>
      </c>
      <c r="AC36">
        <f t="shared" ref="AC36:AG41" si="7">IF($AB36=AC$35,$AA36,0)</f>
        <v>0</v>
      </c>
      <c r="AD36">
        <f t="shared" si="7"/>
        <v>0</v>
      </c>
      <c r="AE36">
        <f t="shared" si="7"/>
        <v>0</v>
      </c>
      <c r="AF36" t="e">
        <f t="shared" si="7"/>
        <v>#VALUE!</v>
      </c>
      <c r="AG36">
        <f t="shared" si="7"/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8:45" x14ac:dyDescent="0.25">
      <c r="Z37">
        <v>2</v>
      </c>
      <c r="AA37" s="17" t="e">
        <f t="shared" si="6"/>
        <v>#VALUE!</v>
      </c>
      <c r="AB37">
        <f>MATCH(MAX(FRONTEND!M29:Q29),FRONTEND!M29:Q29,0)</f>
        <v>2</v>
      </c>
      <c r="AC37">
        <f t="shared" si="7"/>
        <v>0</v>
      </c>
      <c r="AD37" t="e">
        <f t="shared" si="7"/>
        <v>#VALUE!</v>
      </c>
      <c r="AE37">
        <f t="shared" si="7"/>
        <v>0</v>
      </c>
      <c r="AF37">
        <f t="shared" si="7"/>
        <v>0</v>
      </c>
      <c r="AG37">
        <f t="shared" si="7"/>
        <v>0</v>
      </c>
      <c r="AI37">
        <v>0</v>
      </c>
      <c r="AJ37">
        <v>0</v>
      </c>
      <c r="AK37">
        <v>0</v>
      </c>
      <c r="AL37" s="5" cm="1">
        <f t="array" ref="AL37:AP42">FRONTEND!B4:F9</f>
        <v>9.8070127981472688E-2</v>
      </c>
      <c r="AM37" s="6">
        <v>0.76989837351610546</v>
      </c>
      <c r="AN37" s="6">
        <v>1.0888675284528564</v>
      </c>
      <c r="AO37" s="6">
        <v>0.41864132753818439</v>
      </c>
      <c r="AP37" s="7">
        <v>-0.54807215149909738</v>
      </c>
      <c r="AQ37">
        <v>0</v>
      </c>
      <c r="AR37">
        <v>0</v>
      </c>
      <c r="AS37">
        <v>0</v>
      </c>
    </row>
    <row r="38" spans="8:45" x14ac:dyDescent="0.25">
      <c r="Z38">
        <v>3</v>
      </c>
      <c r="AA38" s="17" t="e">
        <f t="shared" si="6"/>
        <v>#VALUE!</v>
      </c>
      <c r="AB38">
        <f>MATCH(MAX(FRONTEND!M30:Q30),FRONTEND!M30:Q30,0)</f>
        <v>3</v>
      </c>
      <c r="AC38">
        <f t="shared" si="7"/>
        <v>0</v>
      </c>
      <c r="AD38">
        <f t="shared" si="7"/>
        <v>0</v>
      </c>
      <c r="AE38" t="e">
        <f t="shared" si="7"/>
        <v>#VALUE!</v>
      </c>
      <c r="AF38">
        <f t="shared" si="7"/>
        <v>0</v>
      </c>
      <c r="AG38">
        <f t="shared" si="7"/>
        <v>0</v>
      </c>
      <c r="AI38">
        <v>0</v>
      </c>
      <c r="AJ38">
        <v>0</v>
      </c>
      <c r="AK38">
        <v>0</v>
      </c>
      <c r="AL38" s="9">
        <v>0.3947945813296071</v>
      </c>
      <c r="AM38">
        <v>0.76298402984034686</v>
      </c>
      <c r="AN38">
        <v>-1.5092547447204521</v>
      </c>
      <c r="AO38">
        <v>0.78695236170270555</v>
      </c>
      <c r="AP38" s="10">
        <v>-1.6514230540804744</v>
      </c>
      <c r="AQ38">
        <v>0</v>
      </c>
      <c r="AR38">
        <v>0</v>
      </c>
      <c r="AS38">
        <v>0</v>
      </c>
    </row>
    <row r="39" spans="8:45" x14ac:dyDescent="0.25">
      <c r="I39" t="s">
        <v>76</v>
      </c>
      <c r="Z39">
        <v>4</v>
      </c>
      <c r="AA39" s="17" t="e">
        <f t="shared" si="6"/>
        <v>#VALUE!</v>
      </c>
      <c r="AB39">
        <f>MATCH(MAX(FRONTEND!M31:Q31),FRONTEND!M31:Q31,0)</f>
        <v>4</v>
      </c>
      <c r="AC39">
        <f t="shared" si="7"/>
        <v>0</v>
      </c>
      <c r="AD39">
        <f t="shared" si="7"/>
        <v>0</v>
      </c>
      <c r="AE39">
        <f t="shared" si="7"/>
        <v>0</v>
      </c>
      <c r="AF39" t="e">
        <f t="shared" si="7"/>
        <v>#VALUE!</v>
      </c>
      <c r="AG39">
        <f t="shared" si="7"/>
        <v>0</v>
      </c>
      <c r="AI39">
        <v>0</v>
      </c>
      <c r="AJ39">
        <v>0</v>
      </c>
      <c r="AK39">
        <v>0</v>
      </c>
      <c r="AL39" s="9">
        <v>1.2610501600821225</v>
      </c>
      <c r="AM39">
        <v>1.0201001967063095</v>
      </c>
      <c r="AN39">
        <v>0.20946802791688546</v>
      </c>
      <c r="AO39">
        <v>-1.5474479187727208</v>
      </c>
      <c r="AP39" s="10">
        <v>-0.51000095484744268</v>
      </c>
      <c r="AQ39">
        <v>0</v>
      </c>
      <c r="AR39">
        <v>0</v>
      </c>
      <c r="AS39">
        <v>0</v>
      </c>
    </row>
    <row r="40" spans="8:45" x14ac:dyDescent="0.25">
      <c r="I40" t="s">
        <v>66</v>
      </c>
      <c r="J40" t="s">
        <v>67</v>
      </c>
      <c r="U40" t="s">
        <v>74</v>
      </c>
      <c r="Z40">
        <v>5</v>
      </c>
      <c r="AA40" s="17" t="e">
        <f t="shared" si="6"/>
        <v>#VALUE!</v>
      </c>
      <c r="AB40">
        <f>MATCH(MAX(FRONTEND!M32:Q32),FRONTEND!M32:Q32,0)</f>
        <v>1</v>
      </c>
      <c r="AC40" t="e">
        <f t="shared" si="7"/>
        <v>#VALUE!</v>
      </c>
      <c r="AD40">
        <f t="shared" si="7"/>
        <v>0</v>
      </c>
      <c r="AE40">
        <f t="shared" si="7"/>
        <v>0</v>
      </c>
      <c r="AF40">
        <f t="shared" si="7"/>
        <v>0</v>
      </c>
      <c r="AG40">
        <f t="shared" si="7"/>
        <v>0</v>
      </c>
      <c r="AI40">
        <v>0</v>
      </c>
      <c r="AJ40">
        <v>0</v>
      </c>
      <c r="AK40">
        <v>0</v>
      </c>
      <c r="AL40" s="9">
        <v>-1.914822845899089</v>
      </c>
      <c r="AM40">
        <v>-0.96507706088431011</v>
      </c>
      <c r="AN40">
        <v>-0.73600695036684105</v>
      </c>
      <c r="AO40">
        <v>-1.2146668976505628</v>
      </c>
      <c r="AP40" s="10">
        <v>0.61213976054071273</v>
      </c>
      <c r="AQ40">
        <v>0</v>
      </c>
      <c r="AR40">
        <v>0</v>
      </c>
      <c r="AS40">
        <v>0</v>
      </c>
    </row>
    <row r="41" spans="8:45" x14ac:dyDescent="0.25">
      <c r="I41">
        <v>1</v>
      </c>
      <c r="J41">
        <v>2</v>
      </c>
      <c r="U41">
        <v>1</v>
      </c>
      <c r="V41" t="s">
        <v>75</v>
      </c>
      <c r="Z41">
        <v>6</v>
      </c>
      <c r="AA41" s="17" t="e">
        <f t="shared" si="6"/>
        <v>#VALUE!</v>
      </c>
      <c r="AB41">
        <f>MATCH(MAX(FRONTEND!M33:Q33),FRONTEND!M33:Q33,0)</f>
        <v>5</v>
      </c>
      <c r="AC41">
        <f t="shared" si="7"/>
        <v>0</v>
      </c>
      <c r="AD41">
        <f t="shared" si="7"/>
        <v>0</v>
      </c>
      <c r="AE41">
        <f t="shared" si="7"/>
        <v>0</v>
      </c>
      <c r="AF41">
        <f t="shared" si="7"/>
        <v>0</v>
      </c>
      <c r="AG41" t="e">
        <f t="shared" si="7"/>
        <v>#VALUE!</v>
      </c>
      <c r="AI41">
        <v>0</v>
      </c>
      <c r="AJ41">
        <v>0</v>
      </c>
      <c r="AK41">
        <v>0</v>
      </c>
      <c r="AL41" s="9">
        <v>0.61185767787065537</v>
      </c>
      <c r="AM41">
        <v>-1.6862564508613829</v>
      </c>
      <c r="AN41">
        <v>-0.39331255882270999</v>
      </c>
      <c r="AO41">
        <v>1.027314449369916</v>
      </c>
      <c r="AP41" s="10">
        <v>1.3115002107703582</v>
      </c>
      <c r="AQ41">
        <v>0</v>
      </c>
      <c r="AR41">
        <v>0</v>
      </c>
      <c r="AS41">
        <v>0</v>
      </c>
    </row>
    <row r="42" spans="8:45" ht="15.75" thickBot="1" x14ac:dyDescent="0.3">
      <c r="H42">
        <v>1</v>
      </c>
      <c r="I42" s="20">
        <f>AVERAGE(I26:I31)</f>
        <v>2.0283400176616162</v>
      </c>
      <c r="J42" s="20">
        <f>AVERAGE(J26:J31)</f>
        <v>2.0931660549585884</v>
      </c>
      <c r="T42">
        <v>1</v>
      </c>
      <c r="U42" s="17" cm="1">
        <f t="array" ref="U42">SUM(MMULT(TRANSPOSE($U$14:$U$16),TRANSPOSE(P7:R7)))</f>
        <v>0.23063446869625401</v>
      </c>
      <c r="AI42">
        <v>0</v>
      </c>
      <c r="AJ42">
        <v>0</v>
      </c>
      <c r="AK42">
        <v>0</v>
      </c>
      <c r="AL42" s="11">
        <v>-0.45094970136476858</v>
      </c>
      <c r="AM42" s="13">
        <v>9.8350911682930572E-2</v>
      </c>
      <c r="AN42" s="13">
        <v>1.3402386975402607</v>
      </c>
      <c r="AO42" s="13">
        <v>0.52920667781247754</v>
      </c>
      <c r="AP42" s="12">
        <v>0.78585618911594302</v>
      </c>
      <c r="AQ42">
        <v>0</v>
      </c>
      <c r="AR42">
        <v>0</v>
      </c>
      <c r="AS42">
        <v>0</v>
      </c>
    </row>
    <row r="43" spans="8:45" x14ac:dyDescent="0.25">
      <c r="T43">
        <v>2</v>
      </c>
      <c r="U43" s="17" cm="1">
        <f t="array" ref="U43">SUM(MMULT(TRANSPOSE($U$14:$U$16),TRANSPOSE(P8:R8)))</f>
        <v>0.34793230012627363</v>
      </c>
      <c r="AA43" t="s">
        <v>43</v>
      </c>
      <c r="AB43" t="s">
        <v>77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8:45" ht="15.75" thickBot="1" x14ac:dyDescent="0.3">
      <c r="T44">
        <v>3</v>
      </c>
      <c r="U44" s="17" cm="1">
        <f t="array" ref="U44">SUM(MMULT(TRANSPOSE($U$14:$U$16),TRANSPOSE(P9:R9)))</f>
        <v>0.39148740737319732</v>
      </c>
      <c r="AA44">
        <v>1</v>
      </c>
      <c r="AB44">
        <v>2</v>
      </c>
      <c r="AC44">
        <v>3</v>
      </c>
      <c r="AD44">
        <v>4</v>
      </c>
      <c r="AE44">
        <v>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8:45" x14ac:dyDescent="0.25">
      <c r="H45" s="5"/>
      <c r="I45" s="16" t="s">
        <v>35</v>
      </c>
      <c r="J45" s="7" t="s">
        <v>67</v>
      </c>
      <c r="T45">
        <v>4</v>
      </c>
      <c r="U45" s="17" cm="1">
        <f t="array" ref="U45">SUM(MMULT(TRANSPOSE($U$14:$U$16),TRANSPOSE(P10:R10)))</f>
        <v>0.12939418854910875</v>
      </c>
      <c r="Z45">
        <v>1</v>
      </c>
      <c r="AA45">
        <f t="shared" ref="AA45:AE50" si="8">AC36*IF(AC36&gt;0,1,0)</f>
        <v>0</v>
      </c>
      <c r="AB45">
        <f t="shared" si="8"/>
        <v>0</v>
      </c>
      <c r="AC45">
        <f t="shared" si="8"/>
        <v>0</v>
      </c>
      <c r="AD45" t="e">
        <f t="shared" si="8"/>
        <v>#VALUE!</v>
      </c>
      <c r="AE45">
        <f t="shared" si="8"/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8:45" x14ac:dyDescent="0.25">
      <c r="H46" s="9"/>
      <c r="I46" s="90">
        <v>1</v>
      </c>
      <c r="J46" s="10"/>
      <c r="T46">
        <v>5</v>
      </c>
      <c r="U46" s="17" t="e" cm="1">
        <f t="array" ref="U46">SUM(MMULT(TRANSPOSE($U$14:$U$16),TRANSPOSE(P11:R11)))</f>
        <v>#VALUE!</v>
      </c>
      <c r="Z46">
        <v>2</v>
      </c>
      <c r="AA46">
        <f t="shared" si="8"/>
        <v>0</v>
      </c>
      <c r="AB46" t="e">
        <f t="shared" si="8"/>
        <v>#VALUE!</v>
      </c>
      <c r="AC46">
        <f t="shared" si="8"/>
        <v>0</v>
      </c>
      <c r="AD46">
        <f t="shared" si="8"/>
        <v>0</v>
      </c>
      <c r="AE46">
        <f t="shared" si="8"/>
        <v>0</v>
      </c>
    </row>
    <row r="47" spans="8:45" x14ac:dyDescent="0.25">
      <c r="H47" s="9">
        <v>1</v>
      </c>
      <c r="I47" s="91" cm="1">
        <f t="array" ref="I47:I48">TRANSPOSE(I36:J36)</f>
        <v>3.9314647214855474</v>
      </c>
      <c r="J47" s="10"/>
      <c r="T47">
        <v>6</v>
      </c>
      <c r="U47" s="17" t="e" cm="1">
        <f t="array" ref="U47">SUM(MMULT(TRANSPOSE($U$14:$U$16),TRANSPOSE(P12:R12)))</f>
        <v>#VALUE!</v>
      </c>
      <c r="Z47">
        <v>3</v>
      </c>
      <c r="AA47">
        <f t="shared" si="8"/>
        <v>0</v>
      </c>
      <c r="AB47">
        <f t="shared" si="8"/>
        <v>0</v>
      </c>
      <c r="AC47" t="e">
        <f t="shared" si="8"/>
        <v>#VALUE!</v>
      </c>
      <c r="AD47">
        <f t="shared" si="8"/>
        <v>0</v>
      </c>
      <c r="AE47">
        <f t="shared" si="8"/>
        <v>0</v>
      </c>
    </row>
    <row r="48" spans="8:45" x14ac:dyDescent="0.25">
      <c r="H48" s="9">
        <v>2</v>
      </c>
      <c r="I48" s="91">
        <v>2.578660515266967</v>
      </c>
      <c r="J48" s="10"/>
      <c r="T48">
        <v>7</v>
      </c>
      <c r="U48" s="20" t="e" cm="1">
        <f t="array" ref="U48">SUM(MMULT(TRANSPOSE($U$14:$U$16),TRANSPOSE(Q13:R13)))</f>
        <v>#VALUE!</v>
      </c>
      <c r="Z48">
        <v>4</v>
      </c>
      <c r="AA48">
        <f t="shared" si="8"/>
        <v>0</v>
      </c>
      <c r="AB48">
        <f t="shared" si="8"/>
        <v>0</v>
      </c>
      <c r="AC48">
        <f t="shared" si="8"/>
        <v>0</v>
      </c>
      <c r="AD48" t="e">
        <f t="shared" si="8"/>
        <v>#VALUE!</v>
      </c>
      <c r="AE48">
        <f t="shared" si="8"/>
        <v>0</v>
      </c>
    </row>
    <row r="49" spans="8:37" x14ac:dyDescent="0.25">
      <c r="H49" s="9">
        <v>3</v>
      </c>
      <c r="I49" s="92" cm="1">
        <f t="array" ref="I49:I50">TRANSPOSE(I42:J42)</f>
        <v>2.0283400176616162</v>
      </c>
      <c r="J49" s="10"/>
      <c r="T49">
        <v>8</v>
      </c>
      <c r="U49" s="20" t="e" cm="1">
        <f t="array" ref="U49">SUM(MMULT(TRANSPOSE($U$14:$U$16),TRANSPOSE(Q14:R14)))</f>
        <v>#VALUE!</v>
      </c>
      <c r="Z49">
        <v>5</v>
      </c>
      <c r="AA49" t="e">
        <f t="shared" si="8"/>
        <v>#VALUE!</v>
      </c>
      <c r="AB49">
        <f t="shared" si="8"/>
        <v>0</v>
      </c>
      <c r="AC49">
        <f t="shared" si="8"/>
        <v>0</v>
      </c>
      <c r="AD49">
        <f t="shared" si="8"/>
        <v>0</v>
      </c>
      <c r="AE49">
        <f t="shared" si="8"/>
        <v>0</v>
      </c>
    </row>
    <row r="50" spans="8:37" ht="15.75" thickBot="1" x14ac:dyDescent="0.3">
      <c r="H50" s="11">
        <v>4</v>
      </c>
      <c r="I50" s="27">
        <v>2.0931660549585884</v>
      </c>
      <c r="J50" s="12"/>
      <c r="T50">
        <v>9</v>
      </c>
      <c r="U50" s="20" t="e" cm="1">
        <f t="array" ref="U50">SUM(MMULT(TRANSPOSE($U$14:$U$16),TRANSPOSE(Q15:R15)))</f>
        <v>#VALUE!</v>
      </c>
      <c r="Z50">
        <v>6</v>
      </c>
      <c r="AA50">
        <f t="shared" si="8"/>
        <v>0</v>
      </c>
      <c r="AB50">
        <f t="shared" si="8"/>
        <v>0</v>
      </c>
      <c r="AC50">
        <f t="shared" si="8"/>
        <v>0</v>
      </c>
      <c r="AD50">
        <f t="shared" si="8"/>
        <v>0</v>
      </c>
      <c r="AE50" t="e">
        <f t="shared" si="8"/>
        <v>#VALUE!</v>
      </c>
    </row>
    <row r="51" spans="8:37" ht="15.75" thickBot="1" x14ac:dyDescent="0.3">
      <c r="T51">
        <v>10</v>
      </c>
      <c r="U51" s="20" t="e" cm="1">
        <f t="array" ref="U51">SUM(MMULT(TRANSPOSE($U$14:$U$16),TRANSPOSE(Q16:R16)))</f>
        <v>#VALUE!</v>
      </c>
    </row>
    <row r="52" spans="8:37" x14ac:dyDescent="0.25">
      <c r="T52">
        <v>11</v>
      </c>
      <c r="U52" s="20" t="e" cm="1">
        <f t="array" ref="U52">SUM(MMULT(TRANSPOSE($U$14:$U$16),TRANSPOSE(Q17:R17)))</f>
        <v>#VALUE!</v>
      </c>
      <c r="Z52" s="5"/>
      <c r="AA52" s="16" t="s">
        <v>22</v>
      </c>
      <c r="AB52" s="6" t="s">
        <v>78</v>
      </c>
      <c r="AC52" s="7"/>
      <c r="AE52" s="5"/>
      <c r="AF52" s="8" t="s">
        <v>23</v>
      </c>
      <c r="AG52" t="s">
        <v>79</v>
      </c>
    </row>
    <row r="53" spans="8:37" x14ac:dyDescent="0.25">
      <c r="T53">
        <v>12</v>
      </c>
      <c r="U53" s="20" t="e" cm="1">
        <f t="array" ref="U53">SUM(MMULT(TRANSPOSE($U$14:$U$16),TRANSPOSE(Q18:R18)))</f>
        <v>#VALUE!</v>
      </c>
      <c r="Z53" s="9"/>
      <c r="AA53">
        <v>1</v>
      </c>
      <c r="AB53">
        <v>2</v>
      </c>
      <c r="AC53" s="10">
        <v>3</v>
      </c>
      <c r="AE53" s="9"/>
      <c r="AF53" s="10">
        <v>1</v>
      </c>
    </row>
    <row r="54" spans="8:37" ht="15.75" thickBot="1" x14ac:dyDescent="0.3">
      <c r="Z54" s="9">
        <v>1</v>
      </c>
      <c r="AA54" t="e" cm="1">
        <f t="array" ref="AA54">FRONTEND!$M7-$M$32*SUM($AA$45:$AE$50*AK35:AO40)</f>
        <v>#VALUE!</v>
      </c>
      <c r="AB54" t="e" cm="1">
        <f t="array" ref="AB54">FRONTEND!$N7-$M$32*SUM($AA$45:$AE$50*AL35:AP40)</f>
        <v>#VALUE!</v>
      </c>
      <c r="AC54" s="10" t="e" cm="1">
        <f t="array" ref="AC54">FRONTEND!$O7-$M$32*SUM($AA$45:$AE$50*AM35:AQ40)</f>
        <v>#VALUE!</v>
      </c>
      <c r="AE54" s="11">
        <v>1</v>
      </c>
      <c r="AF54" s="12" t="e">
        <f>FRONTEND!$W$7-$M$32*SUM(AA22:AA27)</f>
        <v>#VALUE!</v>
      </c>
    </row>
    <row r="55" spans="8:37" x14ac:dyDescent="0.25">
      <c r="T55" t="s">
        <v>80</v>
      </c>
      <c r="U55" s="17" t="s">
        <v>33</v>
      </c>
      <c r="W55" s="2" t="s">
        <v>25</v>
      </c>
      <c r="Z55" s="9">
        <v>2</v>
      </c>
      <c r="AA55" t="e" cm="1">
        <f t="array" ref="AA55">FRONTEND!$M8-$M$32*SUM($AA$45:$AE$50*AK36:AO41)</f>
        <v>#VALUE!</v>
      </c>
      <c r="AB55" t="e" cm="1">
        <f t="array" ref="AB55">FRONTEND!$N8-$M$32*SUM($AA$45:$AE$50*AL36:AP41)</f>
        <v>#VALUE!</v>
      </c>
      <c r="AC55" s="10" t="e" cm="1">
        <f t="array" ref="AC55">FRONTEND!$O8-$M$32*SUM($AA$45:$AE$50*AM36:AQ41)</f>
        <v>#VALUE!</v>
      </c>
    </row>
    <row r="56" spans="8:37" x14ac:dyDescent="0.25">
      <c r="U56">
        <v>1</v>
      </c>
      <c r="V56" s="2" t="s">
        <v>72</v>
      </c>
      <c r="W56">
        <v>1</v>
      </c>
      <c r="X56">
        <v>2</v>
      </c>
      <c r="Z56" s="9">
        <v>3</v>
      </c>
      <c r="AA56" t="e" cm="1">
        <f t="array" ref="AA56">FRONTEND!$M9-$M$32*SUM($AA$45:$AE$50*AK37:AO42)</f>
        <v>#VALUE!</v>
      </c>
      <c r="AB56" t="e" cm="1">
        <f t="array" ref="AB56">FRONTEND!$N9-$M$32*SUM($AA$45:$AE$50*AL37:AP42)</f>
        <v>#VALUE!</v>
      </c>
      <c r="AC56" s="10" t="e" cm="1">
        <f t="array" ref="AC56">FRONTEND!$O9-$M$32*SUM($AA$45:$AE$50*AM37:AQ42)</f>
        <v>#VALUE!</v>
      </c>
    </row>
    <row r="57" spans="8:37" x14ac:dyDescent="0.25">
      <c r="T57">
        <v>1</v>
      </c>
      <c r="U57" s="1">
        <f t="shared" ref="U57:U62" si="9">U42</f>
        <v>0.23063446869625401</v>
      </c>
      <c r="V57">
        <f t="shared" ref="V57:V62" si="10">MATCH(MAX(I26:J26),I26:J26,0)</f>
        <v>1</v>
      </c>
      <c r="W57">
        <f t="shared" ref="W57:X62" si="11">IF($V57=W$56,$U57,0)</f>
        <v>0.23063446869625401</v>
      </c>
      <c r="X57">
        <f t="shared" si="11"/>
        <v>0</v>
      </c>
      <c r="Z57" s="9">
        <v>4</v>
      </c>
      <c r="AA57" t="e" cm="1">
        <f t="array" ref="AA57">FRONTEND!$M10-$M$32*SUM($AA$45:$AE$50*AK38:AO43)</f>
        <v>#VALUE!</v>
      </c>
      <c r="AB57" t="e" cm="1">
        <f t="array" ref="AB57">FRONTEND!$N10-$M$32*SUM($AA$45:$AE$50*AL38:AP43)</f>
        <v>#VALUE!</v>
      </c>
      <c r="AC57" s="10" t="e" cm="1">
        <f t="array" ref="AC57">FRONTEND!$O10-$M$32*SUM($AA$45:$AE$50*AM38:AQ43)</f>
        <v>#VALUE!</v>
      </c>
    </row>
    <row r="58" spans="8:37" ht="15.75" thickBot="1" x14ac:dyDescent="0.3">
      <c r="T58">
        <v>2</v>
      </c>
      <c r="U58" s="1">
        <f t="shared" si="9"/>
        <v>0.34793230012627363</v>
      </c>
      <c r="V58">
        <f t="shared" si="10"/>
        <v>2</v>
      </c>
      <c r="W58">
        <f t="shared" si="11"/>
        <v>0</v>
      </c>
      <c r="X58">
        <f t="shared" si="11"/>
        <v>0.34793230012627363</v>
      </c>
      <c r="Z58" s="11">
        <v>5</v>
      </c>
      <c r="AA58" s="13" t="e" cm="1">
        <f t="array" ref="AA58">FRONTEND!$M11-$M$32*SUM($AA$45:$AE$50*AK39:AO44)</f>
        <v>#VALUE!</v>
      </c>
      <c r="AB58" s="13" t="e" cm="1">
        <f t="array" ref="AB58">FRONTEND!$N11-$M$32*SUM($AA$45:$AE$50*AL39:AP44)</f>
        <v>#VALUE!</v>
      </c>
      <c r="AC58" s="12" t="e" cm="1">
        <f t="array" ref="AC58">FRONTEND!$O11-$M$32*SUM($AA$45:$AE$50*AM39:AQ44)</f>
        <v>#VALUE!</v>
      </c>
    </row>
    <row r="59" spans="8:37" x14ac:dyDescent="0.25">
      <c r="T59">
        <v>3</v>
      </c>
      <c r="U59" s="1">
        <f t="shared" si="9"/>
        <v>0.39148740737319732</v>
      </c>
      <c r="V59">
        <f t="shared" si="10"/>
        <v>2</v>
      </c>
      <c r="W59">
        <f t="shared" si="11"/>
        <v>0</v>
      </c>
      <c r="X59">
        <f t="shared" si="11"/>
        <v>0.39148740737319732</v>
      </c>
    </row>
    <row r="60" spans="8:37" x14ac:dyDescent="0.25">
      <c r="T60">
        <v>4</v>
      </c>
      <c r="U60" s="1">
        <f t="shared" si="9"/>
        <v>0.12939418854910875</v>
      </c>
      <c r="V60">
        <f t="shared" si="10"/>
        <v>1</v>
      </c>
      <c r="W60">
        <f t="shared" si="11"/>
        <v>0.12939418854910875</v>
      </c>
      <c r="X60">
        <f t="shared" si="11"/>
        <v>0</v>
      </c>
    </row>
    <row r="61" spans="8:37" ht="26.25" x14ac:dyDescent="0.4">
      <c r="T61">
        <v>5</v>
      </c>
      <c r="U61" s="1" t="e">
        <f t="shared" si="9"/>
        <v>#VALUE!</v>
      </c>
      <c r="V61">
        <f t="shared" si="10"/>
        <v>1</v>
      </c>
      <c r="W61" t="e">
        <f t="shared" si="11"/>
        <v>#VALUE!</v>
      </c>
      <c r="X61">
        <f t="shared" si="11"/>
        <v>0</v>
      </c>
      <c r="AA61" s="4" t="s">
        <v>64</v>
      </c>
    </row>
    <row r="62" spans="8:37" ht="27" thickBot="1" x14ac:dyDescent="0.45">
      <c r="T62">
        <v>6</v>
      </c>
      <c r="U62" s="1" t="e">
        <f t="shared" si="9"/>
        <v>#VALUE!</v>
      </c>
      <c r="V62">
        <f t="shared" si="10"/>
        <v>2</v>
      </c>
      <c r="W62">
        <f t="shared" si="11"/>
        <v>0</v>
      </c>
      <c r="X62" t="e">
        <f t="shared" si="11"/>
        <v>#VALUE!</v>
      </c>
      <c r="AA62" s="4" t="s">
        <v>21</v>
      </c>
      <c r="AI62">
        <v>0</v>
      </c>
      <c r="AJ62">
        <v>0</v>
      </c>
      <c r="AK62">
        <v>0</v>
      </c>
    </row>
    <row r="63" spans="8:37" x14ac:dyDescent="0.25">
      <c r="AA63" t="s">
        <v>43</v>
      </c>
      <c r="AB63" t="s">
        <v>81</v>
      </c>
      <c r="AI63">
        <v>0</v>
      </c>
      <c r="AJ63" s="25" cm="1">
        <f t="array" ref="AJ63:AJ68">FRONTEND!B26:B31</f>
        <v>0.36548104119790437</v>
      </c>
      <c r="AK63">
        <v>0</v>
      </c>
    </row>
    <row r="64" spans="8:37" x14ac:dyDescent="0.25">
      <c r="T64" t="s">
        <v>80</v>
      </c>
      <c r="U64" s="20" t="s">
        <v>76</v>
      </c>
      <c r="W64" s="2" t="s">
        <v>82</v>
      </c>
      <c r="AA64">
        <v>1</v>
      </c>
      <c r="AI64">
        <v>0</v>
      </c>
      <c r="AJ64" s="26">
        <v>-0.24318936518565337</v>
      </c>
      <c r="AK64">
        <v>0</v>
      </c>
    </row>
    <row r="65" spans="20:37" x14ac:dyDescent="0.25">
      <c r="U65">
        <v>1</v>
      </c>
      <c r="V65">
        <v>2</v>
      </c>
      <c r="W65" s="2">
        <v>2</v>
      </c>
      <c r="Z65">
        <v>1</v>
      </c>
      <c r="AA65" s="20" t="e">
        <f t="shared" ref="AA65:AA70" si="12">AB22*IF(AB22&gt;0,1,0)</f>
        <v>#VALUE!</v>
      </c>
      <c r="AI65">
        <v>0</v>
      </c>
      <c r="AJ65" s="26">
        <v>8.6633902217030781E-2</v>
      </c>
      <c r="AK65">
        <v>0</v>
      </c>
    </row>
    <row r="66" spans="20:37" x14ac:dyDescent="0.25">
      <c r="T66">
        <v>1</v>
      </c>
      <c r="U66" t="e">
        <f t="shared" ref="U66:V71" si="13">$U48*1/$W$65</f>
        <v>#VALUE!</v>
      </c>
      <c r="V66" t="e">
        <f t="shared" si="13"/>
        <v>#VALUE!</v>
      </c>
      <c r="Z66">
        <v>2</v>
      </c>
      <c r="AA66" s="20" t="e">
        <f t="shared" si="12"/>
        <v>#VALUE!</v>
      </c>
      <c r="AI66">
        <v>0</v>
      </c>
      <c r="AJ66" s="26">
        <v>-0.84368679885201792</v>
      </c>
      <c r="AK66">
        <v>0</v>
      </c>
    </row>
    <row r="67" spans="20:37" x14ac:dyDescent="0.25">
      <c r="T67">
        <v>2</v>
      </c>
      <c r="U67" t="e">
        <f t="shared" si="13"/>
        <v>#VALUE!</v>
      </c>
      <c r="V67" t="e">
        <f t="shared" si="13"/>
        <v>#VALUE!</v>
      </c>
      <c r="Z67">
        <v>3</v>
      </c>
      <c r="AA67" s="20" t="e">
        <f t="shared" si="12"/>
        <v>#VALUE!</v>
      </c>
      <c r="AI67">
        <v>0</v>
      </c>
      <c r="AJ67" s="26">
        <v>0.17422066566536737</v>
      </c>
      <c r="AK67">
        <v>0</v>
      </c>
    </row>
    <row r="68" spans="20:37" ht="15.75" thickBot="1" x14ac:dyDescent="0.3">
      <c r="T68">
        <v>3</v>
      </c>
      <c r="U68" t="e">
        <f t="shared" si="13"/>
        <v>#VALUE!</v>
      </c>
      <c r="V68" t="e">
        <f t="shared" si="13"/>
        <v>#VALUE!</v>
      </c>
      <c r="Z68">
        <v>4</v>
      </c>
      <c r="AA68" s="20" t="e">
        <f t="shared" si="12"/>
        <v>#VALUE!</v>
      </c>
      <c r="AI68">
        <v>0</v>
      </c>
      <c r="AJ68" s="28">
        <v>0.46054055495736873</v>
      </c>
      <c r="AK68">
        <v>0</v>
      </c>
    </row>
    <row r="69" spans="20:37" x14ac:dyDescent="0.25">
      <c r="T69">
        <v>4</v>
      </c>
      <c r="U69" t="e">
        <f t="shared" si="13"/>
        <v>#VALUE!</v>
      </c>
      <c r="V69" t="e">
        <f t="shared" si="13"/>
        <v>#VALUE!</v>
      </c>
      <c r="Z69">
        <v>5</v>
      </c>
      <c r="AA69" s="20" t="e">
        <f t="shared" si="12"/>
        <v>#VALUE!</v>
      </c>
      <c r="AI69">
        <v>0</v>
      </c>
      <c r="AJ69">
        <v>0</v>
      </c>
      <c r="AK69">
        <v>0</v>
      </c>
    </row>
    <row r="70" spans="20:37" x14ac:dyDescent="0.25">
      <c r="T70">
        <v>5</v>
      </c>
      <c r="U70" t="e">
        <f t="shared" si="13"/>
        <v>#VALUE!</v>
      </c>
      <c r="V70" t="e">
        <f t="shared" si="13"/>
        <v>#VALUE!</v>
      </c>
      <c r="Z70">
        <v>6</v>
      </c>
      <c r="AA70" s="20" t="e">
        <f t="shared" si="12"/>
        <v>#VALUE!</v>
      </c>
    </row>
    <row r="71" spans="20:37" ht="15.75" thickBot="1" x14ac:dyDescent="0.3">
      <c r="T71">
        <v>6</v>
      </c>
      <c r="U71" t="e">
        <f t="shared" si="13"/>
        <v>#VALUE!</v>
      </c>
      <c r="V71" t="e">
        <f t="shared" si="13"/>
        <v>#VALUE!</v>
      </c>
    </row>
    <row r="72" spans="20:37" ht="15.75" thickBot="1" x14ac:dyDescent="0.3">
      <c r="Z72" s="5"/>
      <c r="AA72" s="8" t="s">
        <v>22</v>
      </c>
      <c r="AB72" t="s">
        <v>83</v>
      </c>
      <c r="AC72" s="5"/>
      <c r="AD72" s="8" t="s">
        <v>23</v>
      </c>
      <c r="AE72" t="s">
        <v>84</v>
      </c>
    </row>
    <row r="73" spans="20:37" x14ac:dyDescent="0.25">
      <c r="T73" s="5"/>
      <c r="U73" s="16" t="s">
        <v>85</v>
      </c>
      <c r="V73" s="7"/>
      <c r="W73" t="s">
        <v>80</v>
      </c>
      <c r="Z73" s="9"/>
      <c r="AA73" s="10">
        <v>1</v>
      </c>
      <c r="AC73" s="9"/>
      <c r="AD73" s="10">
        <v>1</v>
      </c>
    </row>
    <row r="74" spans="20:37" ht="15.75" thickBot="1" x14ac:dyDescent="0.3">
      <c r="T74" s="9"/>
      <c r="U74">
        <v>1</v>
      </c>
      <c r="V74" s="10">
        <v>2</v>
      </c>
      <c r="Z74" s="9">
        <v>1</v>
      </c>
      <c r="AA74" s="10" t="e" cm="1">
        <f t="array" ref="AA74">FRONTEND!T7-$M32*SUM($AA$65:$AA$70*AJ62:AJ67)</f>
        <v>#VALUE!</v>
      </c>
      <c r="AC74" s="11">
        <v>1</v>
      </c>
      <c r="AD74" s="12" t="e">
        <f>FRONTEND!$W$7-$M$32*SUM(AB22:AB27)</f>
        <v>#VALUE!</v>
      </c>
    </row>
    <row r="75" spans="20:37" x14ac:dyDescent="0.25">
      <c r="T75" s="9">
        <v>1</v>
      </c>
      <c r="U75" s="17" t="e">
        <f t="shared" ref="U75:V80" si="14">W57+U66</f>
        <v>#VALUE!</v>
      </c>
      <c r="V75" s="14" t="e">
        <f>X57+V66</f>
        <v>#VALUE!</v>
      </c>
      <c r="Z75" s="9">
        <v>2</v>
      </c>
      <c r="AA75" s="10" t="e" cm="1">
        <f t="array" ref="AA75">FRONTEND!T8-$M40*SUM($AA$65:$AA$70*AJ63:AJ68)</f>
        <v>#VALUE!</v>
      </c>
    </row>
    <row r="76" spans="20:37" ht="15.75" thickBot="1" x14ac:dyDescent="0.3">
      <c r="T76" s="9">
        <v>2</v>
      </c>
      <c r="U76" s="17" t="e">
        <f t="shared" si="14"/>
        <v>#VALUE!</v>
      </c>
      <c r="V76" s="14" t="e">
        <f t="shared" si="14"/>
        <v>#VALUE!</v>
      </c>
      <c r="Z76" s="11">
        <v>3</v>
      </c>
      <c r="AA76" s="12" t="e" cm="1">
        <f t="array" ref="AA76">FRONTEND!T9-$M41*SUM($AA$65:$AA$70*AJ64:AJ69)</f>
        <v>#VALUE!</v>
      </c>
    </row>
    <row r="77" spans="20:37" x14ac:dyDescent="0.25">
      <c r="T77" s="9">
        <v>3</v>
      </c>
      <c r="U77" s="17" t="e">
        <f t="shared" si="14"/>
        <v>#VALUE!</v>
      </c>
      <c r="V77" s="14" t="e">
        <f t="shared" si="14"/>
        <v>#VALUE!</v>
      </c>
    </row>
    <row r="78" spans="20:37" x14ac:dyDescent="0.25">
      <c r="T78" s="9">
        <v>4</v>
      </c>
      <c r="U78" s="17" t="e">
        <f t="shared" si="14"/>
        <v>#VALUE!</v>
      </c>
      <c r="V78" s="14" t="e">
        <f t="shared" si="14"/>
        <v>#VALUE!</v>
      </c>
    </row>
    <row r="79" spans="20:37" x14ac:dyDescent="0.25">
      <c r="T79" s="9">
        <v>5</v>
      </c>
      <c r="U79" s="17" t="e">
        <f t="shared" si="14"/>
        <v>#VALUE!</v>
      </c>
      <c r="V79" s="14" t="e">
        <f t="shared" si="14"/>
        <v>#VALUE!</v>
      </c>
    </row>
    <row r="80" spans="20:37" ht="15.75" thickBot="1" x14ac:dyDescent="0.3">
      <c r="T80" s="11">
        <v>6</v>
      </c>
      <c r="U80" s="18" t="e">
        <f t="shared" si="14"/>
        <v>#VALUE!</v>
      </c>
      <c r="V80" s="15" t="e">
        <f t="shared" si="14"/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D95"/>
  <sheetViews>
    <sheetView topLeftCell="H1" workbookViewId="0">
      <selection activeCell="AG22" sqref="AG22"/>
    </sheetView>
  </sheetViews>
  <sheetFormatPr defaultRowHeight="15" x14ac:dyDescent="0.25"/>
  <cols>
    <col min="37" max="37" width="9.140625" customWidth="1"/>
    <col min="38" max="38" width="1.85546875" customWidth="1"/>
    <col min="39" max="39" width="9.5703125" customWidth="1"/>
    <col min="40" max="40" width="13.140625" bestFit="1" customWidth="1"/>
    <col min="42" max="42" width="12" customWidth="1"/>
    <col min="43" max="44" width="13.85546875" bestFit="1" customWidth="1"/>
    <col min="45" max="45" width="10.85546875" customWidth="1"/>
    <col min="46" max="46" width="1.85546875" customWidth="1"/>
    <col min="47" max="47" width="13.140625" bestFit="1" customWidth="1"/>
    <col min="49" max="49" width="13.140625" bestFit="1" customWidth="1"/>
    <col min="51" max="51" width="13.140625" bestFit="1" customWidth="1"/>
    <col min="54" max="54" width="13.85546875" bestFit="1" customWidth="1"/>
    <col min="57" max="57" width="13.85546875" bestFit="1" customWidth="1"/>
    <col min="59" max="59" width="13.85546875" bestFit="1" customWidth="1"/>
    <col min="61" max="61" width="13.85546875" bestFit="1" customWidth="1"/>
  </cols>
  <sheetData>
    <row r="2" spans="2:82" ht="26.25" x14ac:dyDescent="0.4">
      <c r="B2" s="5"/>
      <c r="C2" s="16" t="s">
        <v>35</v>
      </c>
      <c r="D2" s="7"/>
      <c r="L2" s="4" t="s">
        <v>19</v>
      </c>
      <c r="W2" s="4" t="s">
        <v>19</v>
      </c>
      <c r="AE2" s="4" t="s">
        <v>37</v>
      </c>
      <c r="AK2" s="4" t="s">
        <v>37</v>
      </c>
      <c r="BL2" s="4" t="s">
        <v>64</v>
      </c>
    </row>
    <row r="3" spans="2:82" ht="26.25" x14ac:dyDescent="0.4">
      <c r="B3" s="9"/>
      <c r="C3">
        <v>1</v>
      </c>
      <c r="D3" s="10">
        <v>2</v>
      </c>
      <c r="L3" s="4" t="s">
        <v>86</v>
      </c>
      <c r="W3" s="4" t="s">
        <v>38</v>
      </c>
      <c r="AE3" s="4" t="s">
        <v>38</v>
      </c>
      <c r="AK3" s="4" t="s">
        <v>86</v>
      </c>
      <c r="BL3" s="4" t="s">
        <v>20</v>
      </c>
    </row>
    <row r="4" spans="2:82" x14ac:dyDescent="0.25">
      <c r="B4" s="9">
        <v>1</v>
      </c>
      <c r="C4" s="17" cm="1">
        <f t="array" ref="C4:D9">FRONTEND!M49:N54</f>
        <v>4.0296676785617889</v>
      </c>
      <c r="D4" s="14">
        <v>1.426184227044502</v>
      </c>
      <c r="K4" t="s">
        <v>87</v>
      </c>
      <c r="BL4" t="s">
        <v>70</v>
      </c>
      <c r="BN4" t="s">
        <v>25</v>
      </c>
      <c r="BO4" t="s">
        <v>71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2:82" ht="21" x14ac:dyDescent="0.35">
      <c r="B5" s="9">
        <v>2</v>
      </c>
      <c r="C5" s="17">
        <v>3.1757752467270279</v>
      </c>
      <c r="D5" s="14">
        <v>0.83446165212430812</v>
      </c>
      <c r="K5" s="5"/>
      <c r="L5" s="7" t="s">
        <v>88</v>
      </c>
      <c r="N5" s="2" t="s">
        <v>89</v>
      </c>
      <c r="O5">
        <v>2</v>
      </c>
      <c r="P5" t="s">
        <v>90</v>
      </c>
      <c r="W5" t="s">
        <v>3</v>
      </c>
      <c r="Y5" s="5"/>
      <c r="Z5" s="16" t="s">
        <v>40</v>
      </c>
      <c r="AA5" s="6"/>
      <c r="AB5" s="7"/>
      <c r="AD5" s="5"/>
      <c r="AE5" s="6" t="s">
        <v>41</v>
      </c>
      <c r="AF5" s="7" t="s">
        <v>42</v>
      </c>
      <c r="AK5" s="29" t="s">
        <v>91</v>
      </c>
      <c r="AM5" t="s">
        <v>92</v>
      </c>
      <c r="AN5" t="s">
        <v>93</v>
      </c>
      <c r="AO5" t="s">
        <v>94</v>
      </c>
      <c r="AP5" t="s">
        <v>95</v>
      </c>
      <c r="AQ5" t="s">
        <v>96</v>
      </c>
      <c r="AR5" t="s">
        <v>97</v>
      </c>
      <c r="AS5" t="s">
        <v>98</v>
      </c>
      <c r="AU5" s="29" t="s">
        <v>91</v>
      </c>
      <c r="AY5" t="s">
        <v>99</v>
      </c>
      <c r="BD5" t="s">
        <v>100</v>
      </c>
      <c r="BI5" t="s">
        <v>101</v>
      </c>
      <c r="BL5">
        <v>1</v>
      </c>
      <c r="BM5" s="2" t="s">
        <v>72</v>
      </c>
      <c r="BN5">
        <v>1</v>
      </c>
      <c r="BO5">
        <v>2</v>
      </c>
      <c r="BP5">
        <v>3</v>
      </c>
      <c r="BQ5">
        <v>4</v>
      </c>
      <c r="BR5">
        <v>5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2:82" x14ac:dyDescent="0.25">
      <c r="B6" s="9">
        <v>3</v>
      </c>
      <c r="C6" s="17">
        <v>3.3789276309323317</v>
      </c>
      <c r="D6" s="14">
        <v>1.8393159934697598</v>
      </c>
      <c r="K6" s="9"/>
      <c r="L6" s="10">
        <v>1</v>
      </c>
      <c r="N6" s="2" t="s">
        <v>102</v>
      </c>
      <c r="O6">
        <v>2</v>
      </c>
      <c r="P6" t="s">
        <v>103</v>
      </c>
      <c r="W6">
        <v>1</v>
      </c>
      <c r="Y6" s="9"/>
      <c r="Z6">
        <v>1</v>
      </c>
      <c r="AA6">
        <v>2</v>
      </c>
      <c r="AB6" s="10">
        <v>3</v>
      </c>
      <c r="AD6" s="9"/>
      <c r="AE6">
        <v>1</v>
      </c>
      <c r="AF6" s="10"/>
      <c r="AJ6" t="s">
        <v>104</v>
      </c>
      <c r="AK6" s="30" t="s">
        <v>105</v>
      </c>
      <c r="AL6" s="30"/>
      <c r="AM6" t="s">
        <v>106</v>
      </c>
      <c r="AN6" s="31" t="s">
        <v>107</v>
      </c>
      <c r="AO6" s="31" t="s">
        <v>108</v>
      </c>
      <c r="AP6" s="31" t="s">
        <v>109</v>
      </c>
      <c r="AQ6" s="31" t="s">
        <v>110</v>
      </c>
      <c r="AR6" s="31" t="s">
        <v>111</v>
      </c>
      <c r="AS6" s="31" t="s">
        <v>112</v>
      </c>
      <c r="AT6" s="30"/>
      <c r="AU6" t="s">
        <v>113</v>
      </c>
      <c r="AV6" t="s">
        <v>114</v>
      </c>
      <c r="AW6" s="32" t="s">
        <v>115</v>
      </c>
      <c r="AX6" s="33" t="s">
        <v>116</v>
      </c>
      <c r="AY6" t="s">
        <v>117</v>
      </c>
      <c r="AZ6" s="34" t="s">
        <v>118</v>
      </c>
      <c r="BA6" t="s">
        <v>119</v>
      </c>
      <c r="BB6" s="32" t="s">
        <v>120</v>
      </c>
      <c r="BC6" s="33" t="s">
        <v>121</v>
      </c>
      <c r="BD6" t="s">
        <v>122</v>
      </c>
      <c r="BE6" s="34" t="s">
        <v>123</v>
      </c>
      <c r="BF6" t="s">
        <v>124</v>
      </c>
      <c r="BG6" s="32" t="s">
        <v>125</v>
      </c>
      <c r="BH6" s="33" t="s">
        <v>126</v>
      </c>
      <c r="BI6" t="s">
        <v>127</v>
      </c>
      <c r="BK6">
        <v>1</v>
      </c>
      <c r="BL6" s="17" cm="1">
        <f t="array" ref="BL6:BL11">AU56:AU61</f>
        <v>5.0890062870490319E-2</v>
      </c>
      <c r="BM6">
        <f>MATCH(MAX(FRONTEND!$M28:$Q28),FRONTEND!$M28:$Q28,0)</f>
        <v>4</v>
      </c>
      <c r="BN6">
        <f t="shared" ref="BN6:BN11" si="0">IF($BM6=BN$5,$BL6,0)</f>
        <v>0</v>
      </c>
      <c r="BO6">
        <f t="shared" ref="BO6:BR11" si="1">IF($BM6=BO$5,$BL6,0)</f>
        <v>0</v>
      </c>
      <c r="BP6">
        <f t="shared" si="1"/>
        <v>0</v>
      </c>
      <c r="BQ6">
        <f t="shared" si="1"/>
        <v>5.0890062870490319E-2</v>
      </c>
      <c r="BR6">
        <f t="shared" si="1"/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2:82" x14ac:dyDescent="0.25">
      <c r="B7" s="9">
        <v>4</v>
      </c>
      <c r="C7" s="17">
        <v>1.5094131886761968</v>
      </c>
      <c r="D7" s="14">
        <v>0.40501335750777256</v>
      </c>
      <c r="K7" s="9">
        <v>1</v>
      </c>
      <c r="L7" s="10">
        <v>0.80500000000000005</v>
      </c>
      <c r="V7">
        <v>1</v>
      </c>
      <c r="W7" s="17">
        <f t="shared" ref="W7:W18" si="2">K74</f>
        <v>0.60856989533920758</v>
      </c>
      <c r="Y7" s="9">
        <v>1</v>
      </c>
      <c r="Z7" s="35">
        <v>-0.13400000000000001</v>
      </c>
      <c r="AA7" s="35">
        <v>-0.67100000000000004</v>
      </c>
      <c r="AB7" s="36">
        <v>-0.77800000000000002</v>
      </c>
      <c r="AD7" s="9">
        <v>1</v>
      </c>
      <c r="AE7" s="1">
        <f>-1/3*((2/(1+DATA!$I$16))*X34/W28-((2*DATA!$I$16)/(1+DATA!$I$16))*(1-X34)*(1-W28))</f>
        <v>-1.3425747080782457</v>
      </c>
      <c r="AF7" s="10"/>
      <c r="AK7" s="30">
        <v>1</v>
      </c>
      <c r="AL7" s="30"/>
      <c r="AM7">
        <v>1</v>
      </c>
      <c r="AN7" s="31">
        <v>1</v>
      </c>
      <c r="AO7" s="31">
        <v>1</v>
      </c>
      <c r="AP7" s="31">
        <v>1</v>
      </c>
      <c r="AQ7" s="31">
        <v>1</v>
      </c>
      <c r="AR7" s="31">
        <v>1</v>
      </c>
      <c r="AS7" s="31">
        <v>1</v>
      </c>
      <c r="AT7" s="30"/>
      <c r="AU7">
        <v>1</v>
      </c>
      <c r="AV7">
        <v>2</v>
      </c>
      <c r="AW7" s="32">
        <v>1</v>
      </c>
      <c r="AX7" s="33">
        <v>2</v>
      </c>
      <c r="AY7">
        <v>1</v>
      </c>
      <c r="AZ7" s="34">
        <v>1</v>
      </c>
      <c r="BA7">
        <v>2</v>
      </c>
      <c r="BB7" s="32">
        <v>1</v>
      </c>
      <c r="BC7" s="33">
        <v>2</v>
      </c>
      <c r="BD7">
        <v>1</v>
      </c>
      <c r="BE7" s="34">
        <v>1</v>
      </c>
      <c r="BF7">
        <v>2</v>
      </c>
      <c r="BG7" s="32">
        <v>1</v>
      </c>
      <c r="BH7" s="33">
        <v>2</v>
      </c>
      <c r="BI7">
        <v>1</v>
      </c>
      <c r="BK7">
        <v>2</v>
      </c>
      <c r="BL7" s="17">
        <v>4.0980476017124352E-2</v>
      </c>
      <c r="BM7">
        <f>MATCH(MAX(FRONTEND!$M29:$Q29),FRONTEND!$M29:$Q29,0)</f>
        <v>2</v>
      </c>
      <c r="BN7">
        <f t="shared" si="0"/>
        <v>0</v>
      </c>
      <c r="BO7">
        <f t="shared" si="1"/>
        <v>4.0980476017124352E-2</v>
      </c>
      <c r="BP7">
        <f t="shared" si="1"/>
        <v>0</v>
      </c>
      <c r="BQ7">
        <f t="shared" si="1"/>
        <v>0</v>
      </c>
      <c r="BR7">
        <f t="shared" si="1"/>
        <v>0</v>
      </c>
      <c r="BT7">
        <v>0</v>
      </c>
      <c r="BU7">
        <v>0</v>
      </c>
      <c r="BV7">
        <v>0</v>
      </c>
      <c r="BW7" s="5" cm="1">
        <f t="array" ref="BW7:CA12">FRONTEND!$B$4:$F$9</f>
        <v>9.8070127981472688E-2</v>
      </c>
      <c r="BX7" s="6">
        <v>0.76989837351610546</v>
      </c>
      <c r="BY7" s="6">
        <v>1.0888675284528564</v>
      </c>
      <c r="BZ7" s="6">
        <v>0.41864132753818439</v>
      </c>
      <c r="CA7" s="7">
        <v>-0.54807215149909738</v>
      </c>
      <c r="CB7">
        <v>0</v>
      </c>
      <c r="CC7">
        <v>0</v>
      </c>
      <c r="CD7">
        <v>0</v>
      </c>
    </row>
    <row r="8" spans="2:82" x14ac:dyDescent="0.25">
      <c r="B8" s="9">
        <v>5</v>
      </c>
      <c r="C8" s="17">
        <v>4.5198656803290973</v>
      </c>
      <c r="D8" s="14">
        <v>0.53701995183003415</v>
      </c>
      <c r="K8" s="11">
        <v>2</v>
      </c>
      <c r="L8" s="12">
        <v>-0.97699999999999998</v>
      </c>
      <c r="V8">
        <v>2</v>
      </c>
      <c r="W8" s="17">
        <f t="shared" si="2"/>
        <v>0.94880195131128564</v>
      </c>
      <c r="Y8" s="9">
        <v>2</v>
      </c>
      <c r="Z8" s="35">
        <v>-0.94499999999999995</v>
      </c>
      <c r="AA8" s="35">
        <v>-0.04</v>
      </c>
      <c r="AB8" s="36">
        <v>0.99099999999999999</v>
      </c>
      <c r="AD8" s="9">
        <v>2</v>
      </c>
      <c r="AE8" s="1">
        <f>-1/3*((2/(1+DATA!$I$16))*X35/W29-((2*DATA!$I$16)/(1+DATA!$I$16))*(1-X35)*(1-W29))</f>
        <v>1.7385605626435603E-2</v>
      </c>
      <c r="AF8" s="10"/>
      <c r="AJ8">
        <v>1</v>
      </c>
      <c r="AK8" s="37" cm="1">
        <f t="array" ref="AK8:AK9">AE94:AE95</f>
        <v>1.5918469712969587E-2</v>
      </c>
      <c r="AL8" s="30"/>
      <c r="AM8" cm="1">
        <f t="array" ref="AM8:AM9">_xlfn.ANCHORARRAY(AK8)*(1-$O$59:$O$60)</f>
        <v>5.4090946280509408E-3</v>
      </c>
      <c r="AN8" s="31" cm="1">
        <f t="array" ref="AN8:AN9">_xlfn.ANCHORARRAY(AM8)*(1-$R$59:$R$60*$R$59:$R$60)</f>
        <v>5.3470125081467061E-3</v>
      </c>
      <c r="AO8" s="31" cm="1">
        <f t="array" ref="AO8:AO9">_xlfn.ANCHORARRAY(AK8)*(_xlfn.ANCHORARRAY(T53)-$R$59:$R$60)</f>
        <v>-6.3837759630260898E-3</v>
      </c>
      <c r="AP8" s="31" cm="1">
        <f t="array" ref="AP8:AP9">_xlfn.ANCHORARRAY(AO8)*($O$59:$O$60*(1-$O$59:$O$60))</f>
        <v>-1.4321103317208707E-3</v>
      </c>
      <c r="AQ8" s="31" cm="1">
        <f t="array" ref="AQ8:AQ9">MMULT(TRANSPOSE($P$23:$Q$24),_xlfn.ANCHORARRAY($AN$8))*_xlfn.ANCHORARRAY($T$53)</f>
        <v>-1.8919812699227517E-3</v>
      </c>
      <c r="AR8" s="31" cm="1">
        <f t="array" ref="AR8:AR9">_xlfn.ANCHORARRAY($AQ$8)*($L$59:$L$60*(1-$L$59:$L$60))</f>
        <v>-2.3583814680679254E-4</v>
      </c>
      <c r="AS8" s="31" cm="1">
        <f t="array" ref="AS8:AS9">_xlfn.ANCHORARRAY(AK8)*$O$59:$O$60+MMULT(TRANSPOSE($P$23:$Q$24),_xlfn.ANCHORARRAY(AN8))*$L$59:$L$60+MMULT(TRANSPOSE($P$18:$Q$19),_xlfn.ANCHORARRAY(AP8))+MMULT(TRANSPOSE($P$13:$Q$14),_xlfn.ANCHORARRAY(AR8))</f>
        <v>1.3695299119954367E-2</v>
      </c>
      <c r="AT8" s="30"/>
      <c r="AU8" cm="1">
        <f t="array" ref="AU8:AV9">MMULT(_xlfn.ANCHORARRAY(AN8),TRANSPOSE($H$14:$H$15))</f>
        <v>1.6330154360940784E-2</v>
      </c>
      <c r="AV8">
        <v>6.7313211493813226E-3</v>
      </c>
      <c r="AW8" s="32" cm="1">
        <f t="array" ref="AW8:AX9">MMULT(_xlfn.ANCHORARRAY(AN8),TRANSPOSE($L$59:$L$60*_xlfn.ANCHORARRAY($T$53)))</f>
        <v>-2.3205696269484196E-3</v>
      </c>
      <c r="AX8" s="33">
        <v>4.4077714672523804E-3</v>
      </c>
      <c r="AY8" cm="1">
        <f t="array" ref="AY8:AY9">_xlfn.ANCHORARRAY(AN8)</f>
        <v>5.3470125081467061E-3</v>
      </c>
      <c r="AZ8" s="34" cm="1">
        <f t="array" ref="AZ8:BA9">MMULT(_xlfn.ANCHORARRAY(AP8),TRANSPOSE(H14:H15))</f>
        <v>-4.3737662373649101E-3</v>
      </c>
      <c r="BA8">
        <v>-1.8028748856436575E-3</v>
      </c>
      <c r="BB8" s="32" cm="1">
        <f t="array" ref="BB8:BC9">MMULT(_xlfn.ANCHORARRAY(AP8),TRANSPOSE(_xlfn.ANCHORARRAY($T$53)))</f>
        <v>7.2774395972983997E-4</v>
      </c>
      <c r="BC8" s="33">
        <v>-1.4261308197730347E-3</v>
      </c>
      <c r="BD8" cm="1">
        <f t="array" ref="BD8:BD9">_xlfn.ANCHORARRAY(AP8)</f>
        <v>-1.4321103317208707E-3</v>
      </c>
      <c r="BE8" s="34" cm="1">
        <f t="array" ref="BE8:BF9">MMULT(_xlfn.ANCHORARRAY(AR8),TRANSPOSE($H$14:$H$15))</f>
        <v>-7.2026637971864434E-4</v>
      </c>
      <c r="BF8">
        <v>-2.9689519203718751E-4</v>
      </c>
      <c r="BG8" s="32" cm="1">
        <f t="array" ref="BG8:BH9">MMULT(_xlfn.ANCHORARRAY(AR8),TRANSPOSE(_xlfn.ANCHORARRAY($T$53)))</f>
        <v>1.1984396942817005E-4</v>
      </c>
      <c r="BH8" s="33">
        <v>-2.3485344822222736E-4</v>
      </c>
      <c r="BI8" cm="1">
        <f t="array" ref="BI8:BI9">_xlfn.ANCHORARRAY(AR8)</f>
        <v>-2.3583814680679254E-4</v>
      </c>
      <c r="BK8">
        <v>3</v>
      </c>
      <c r="BL8" s="17">
        <v>2.6940477659322011E-2</v>
      </c>
      <c r="BM8">
        <f>MATCH(MAX(FRONTEND!$M30:$Q30),FRONTEND!$M30:$Q30,0)</f>
        <v>3</v>
      </c>
      <c r="BN8">
        <f t="shared" si="0"/>
        <v>0</v>
      </c>
      <c r="BO8">
        <f t="shared" si="1"/>
        <v>0</v>
      </c>
      <c r="BP8">
        <f t="shared" si="1"/>
        <v>2.6940477659322011E-2</v>
      </c>
      <c r="BQ8">
        <f t="shared" si="1"/>
        <v>0</v>
      </c>
      <c r="BR8">
        <f t="shared" si="1"/>
        <v>0</v>
      </c>
      <c r="BT8">
        <v>0</v>
      </c>
      <c r="BU8">
        <v>0</v>
      </c>
      <c r="BV8">
        <v>0</v>
      </c>
      <c r="BW8" s="9">
        <v>0.3947945813296071</v>
      </c>
      <c r="BX8">
        <v>0.76298402984034686</v>
      </c>
      <c r="BY8">
        <v>-1.5092547447204521</v>
      </c>
      <c r="BZ8">
        <v>0.78695236170270555</v>
      </c>
      <c r="CA8" s="10">
        <v>-1.6514230540804744</v>
      </c>
      <c r="CB8">
        <v>0</v>
      </c>
      <c r="CC8">
        <v>0</v>
      </c>
      <c r="CD8">
        <v>0</v>
      </c>
    </row>
    <row r="9" spans="2:82" x14ac:dyDescent="0.25">
      <c r="B9" s="11">
        <v>6</v>
      </c>
      <c r="C9" s="18">
        <v>3.0540707238032767</v>
      </c>
      <c r="D9" s="15">
        <v>1.2588938475691771</v>
      </c>
      <c r="V9">
        <v>3</v>
      </c>
      <c r="W9" s="17">
        <f t="shared" si="2"/>
        <v>0.99745141029449336</v>
      </c>
      <c r="Y9" s="9">
        <v>3</v>
      </c>
      <c r="Z9" s="35">
        <v>-0.62</v>
      </c>
      <c r="AA9" s="35">
        <v>0.312</v>
      </c>
      <c r="AB9" s="36">
        <v>-0.121</v>
      </c>
      <c r="AD9" s="11">
        <v>3</v>
      </c>
      <c r="AE9" s="21">
        <f>-1/3*((2/(1+DATA!$I$16))*X36/W30-((2*DATA!$I$16)/(1+DATA!$I$16))*(1-X36)*(1-W30))</f>
        <v>-0.68263746291027205</v>
      </c>
      <c r="AF9" s="12"/>
      <c r="AJ9">
        <v>2</v>
      </c>
      <c r="AK9" s="38">
        <v>-0.18405015923934487</v>
      </c>
      <c r="AL9" s="30"/>
      <c r="AM9">
        <v>-0.16949691974839218</v>
      </c>
      <c r="AN9" s="31">
        <v>-2.5639708469544668E-4</v>
      </c>
      <c r="AO9" s="31">
        <v>6.2920888610017395E-4</v>
      </c>
      <c r="AP9" s="31">
        <v>4.5818824054582567E-5</v>
      </c>
      <c r="AQ9" s="31">
        <v>3.7180971484493813E-3</v>
      </c>
      <c r="AR9" s="31">
        <v>5.3000623512148399E-4</v>
      </c>
      <c r="AS9" s="31">
        <v>-1.2559587375184471E-2</v>
      </c>
      <c r="AT9" s="30"/>
      <c r="AU9">
        <v>-7.8305483003687283E-4</v>
      </c>
      <c r="AV9">
        <v>-3.2277671245777104E-4</v>
      </c>
      <c r="AW9" s="32">
        <v>1.1127471392218601E-4</v>
      </c>
      <c r="AX9" s="33">
        <v>-2.1135910052303062E-4</v>
      </c>
      <c r="AY9">
        <v>-2.5639708469544668E-4</v>
      </c>
      <c r="AZ9" s="34">
        <v>1.3993392914419397E-4</v>
      </c>
      <c r="BA9">
        <v>5.7681035705168611E-5</v>
      </c>
      <c r="BB9" s="32">
        <v>-2.3283382368716707E-5</v>
      </c>
      <c r="BC9" s="33">
        <v>4.5627516024885611E-5</v>
      </c>
      <c r="BD9">
        <v>4.5818824054582567E-5</v>
      </c>
      <c r="BE9" s="34">
        <v>1.6186765261177202E-3</v>
      </c>
      <c r="BF9">
        <v>6.6722158856773889E-4</v>
      </c>
      <c r="BG9" s="32">
        <v>-2.69328994900367E-4</v>
      </c>
      <c r="BH9" s="33">
        <v>5.2779329206455606E-4</v>
      </c>
      <c r="BI9">
        <v>5.3000623512148399E-4</v>
      </c>
      <c r="BK9">
        <v>4</v>
      </c>
      <c r="BL9" s="17">
        <v>1.186686443658775E-2</v>
      </c>
      <c r="BM9">
        <f>MATCH(MAX(FRONTEND!$M31:$Q31),FRONTEND!$M31:$Q31,0)</f>
        <v>4</v>
      </c>
      <c r="BN9">
        <f t="shared" si="0"/>
        <v>0</v>
      </c>
      <c r="BO9">
        <f t="shared" si="1"/>
        <v>0</v>
      </c>
      <c r="BP9">
        <f t="shared" si="1"/>
        <v>0</v>
      </c>
      <c r="BQ9">
        <f t="shared" si="1"/>
        <v>1.186686443658775E-2</v>
      </c>
      <c r="BR9">
        <f t="shared" si="1"/>
        <v>0</v>
      </c>
      <c r="BT9">
        <v>0</v>
      </c>
      <c r="BU9">
        <v>0</v>
      </c>
      <c r="BV9">
        <v>0</v>
      </c>
      <c r="BW9" s="9">
        <v>1.2610501600821225</v>
      </c>
      <c r="BX9">
        <v>1.0201001967063095</v>
      </c>
      <c r="BY9">
        <v>0.20946802791688546</v>
      </c>
      <c r="BZ9">
        <v>-1.5474479187727208</v>
      </c>
      <c r="CA9" s="10">
        <v>-0.51000095484744268</v>
      </c>
      <c r="CB9">
        <v>0</v>
      </c>
      <c r="CC9">
        <v>0</v>
      </c>
      <c r="CD9">
        <v>0</v>
      </c>
    </row>
    <row r="10" spans="2:82" x14ac:dyDescent="0.25">
      <c r="B10" t="s">
        <v>45</v>
      </c>
      <c r="K10" t="s">
        <v>128</v>
      </c>
      <c r="O10" t="s">
        <v>129</v>
      </c>
      <c r="S10" t="s">
        <v>87</v>
      </c>
      <c r="V10">
        <v>4</v>
      </c>
      <c r="W10" s="17">
        <f t="shared" si="2"/>
        <v>0.9714887658606689</v>
      </c>
      <c r="Y10" s="9">
        <v>4</v>
      </c>
      <c r="Z10" s="35">
        <v>-0.29099999999999998</v>
      </c>
      <c r="AA10" s="35">
        <v>-0.20200000000000001</v>
      </c>
      <c r="AB10" s="36">
        <v>0.186</v>
      </c>
      <c r="AK10" s="30"/>
      <c r="AL10" s="30"/>
      <c r="AN10" s="31"/>
      <c r="AO10" s="31"/>
      <c r="AP10" s="31"/>
      <c r="AQ10" s="31"/>
      <c r="AR10" s="31"/>
      <c r="AS10" s="31"/>
      <c r="AT10" s="30"/>
      <c r="AW10" s="32"/>
      <c r="AX10" s="33"/>
      <c r="AZ10" s="34"/>
      <c r="BB10" s="32"/>
      <c r="BC10" s="33"/>
      <c r="BE10" s="34"/>
      <c r="BG10" s="32"/>
      <c r="BH10" s="33"/>
      <c r="BK10">
        <v>5</v>
      </c>
      <c r="BL10" s="17">
        <v>1.0550624522317365E-3</v>
      </c>
      <c r="BM10">
        <f>MATCH(MAX(FRONTEND!$M32:$Q32),FRONTEND!$M32:$Q32,0)</f>
        <v>1</v>
      </c>
      <c r="BN10">
        <f t="shared" si="0"/>
        <v>1.0550624522317365E-3</v>
      </c>
      <c r="BO10">
        <f t="shared" si="1"/>
        <v>0</v>
      </c>
      <c r="BP10">
        <f t="shared" si="1"/>
        <v>0</v>
      </c>
      <c r="BQ10">
        <f t="shared" si="1"/>
        <v>0</v>
      </c>
      <c r="BR10">
        <f t="shared" si="1"/>
        <v>0</v>
      </c>
      <c r="BT10">
        <v>0</v>
      </c>
      <c r="BU10">
        <v>0</v>
      </c>
      <c r="BV10">
        <v>0</v>
      </c>
      <c r="BW10" s="9">
        <v>-1.914822845899089</v>
      </c>
      <c r="BX10">
        <v>-0.96507706088431011</v>
      </c>
      <c r="BY10">
        <v>-0.73600695036684105</v>
      </c>
      <c r="BZ10">
        <v>-1.2146668976505628</v>
      </c>
      <c r="CA10" s="10">
        <v>0.61213976054071273</v>
      </c>
      <c r="CB10">
        <v>0</v>
      </c>
      <c r="CC10">
        <v>0</v>
      </c>
      <c r="CD10">
        <v>0</v>
      </c>
    </row>
    <row r="11" spans="2:82" ht="21" x14ac:dyDescent="0.35">
      <c r="K11" s="5"/>
      <c r="L11" s="6" t="s">
        <v>130</v>
      </c>
      <c r="M11" s="7"/>
      <c r="O11" s="5"/>
      <c r="P11" s="6" t="s">
        <v>131</v>
      </c>
      <c r="Q11" s="7"/>
      <c r="S11" s="5"/>
      <c r="T11" s="7" t="s">
        <v>132</v>
      </c>
      <c r="V11">
        <v>5</v>
      </c>
      <c r="W11" s="17">
        <f t="shared" si="2"/>
        <v>0.99582468486163989</v>
      </c>
      <c r="Y11" s="9">
        <v>5</v>
      </c>
      <c r="Z11" s="35">
        <v>-0.57699999999999996</v>
      </c>
      <c r="AA11" s="35">
        <v>-0.185</v>
      </c>
      <c r="AB11" s="36">
        <v>0.17299999999999999</v>
      </c>
      <c r="AK11" s="39" t="s">
        <v>133</v>
      </c>
      <c r="AL11" s="30"/>
      <c r="AN11" s="31"/>
      <c r="AO11" s="31"/>
      <c r="AP11" s="31"/>
      <c r="AQ11" s="31"/>
      <c r="AR11" s="31"/>
      <c r="AS11" s="31"/>
      <c r="AT11" s="30"/>
      <c r="AU11" s="29" t="s">
        <v>133</v>
      </c>
      <c r="AW11" s="32"/>
      <c r="AX11" s="33"/>
      <c r="AZ11" s="34"/>
      <c r="BB11" s="32"/>
      <c r="BC11" s="33"/>
      <c r="BE11" s="34"/>
      <c r="BG11" s="32"/>
      <c r="BH11" s="33"/>
      <c r="BK11">
        <v>6</v>
      </c>
      <c r="BL11" s="17">
        <v>-2.687843311090714E-3</v>
      </c>
      <c r="BM11">
        <f>MATCH(MAX(FRONTEND!$M33:$Q33),FRONTEND!$M33:$Q33,0)</f>
        <v>5</v>
      </c>
      <c r="BN11">
        <f t="shared" si="0"/>
        <v>0</v>
      </c>
      <c r="BO11">
        <f t="shared" si="1"/>
        <v>0</v>
      </c>
      <c r="BP11">
        <f t="shared" si="1"/>
        <v>0</v>
      </c>
      <c r="BQ11">
        <f t="shared" si="1"/>
        <v>0</v>
      </c>
      <c r="BR11">
        <f t="shared" si="1"/>
        <v>-2.687843311090714E-3</v>
      </c>
      <c r="BT11">
        <v>0</v>
      </c>
      <c r="BU11">
        <v>0</v>
      </c>
      <c r="BV11">
        <v>0</v>
      </c>
      <c r="BW11" s="9">
        <v>0.61185767787065537</v>
      </c>
      <c r="BX11">
        <v>-1.6862564508613829</v>
      </c>
      <c r="BY11">
        <v>-0.39331255882270999</v>
      </c>
      <c r="BZ11">
        <v>1.027314449369916</v>
      </c>
      <c r="CA11" s="10">
        <v>1.3115002107703582</v>
      </c>
      <c r="CB11">
        <v>0</v>
      </c>
      <c r="CC11">
        <v>0</v>
      </c>
      <c r="CD11">
        <v>0</v>
      </c>
    </row>
    <row r="12" spans="2:82" x14ac:dyDescent="0.25">
      <c r="C12" t="s">
        <v>134</v>
      </c>
      <c r="K12" s="9"/>
      <c r="L12">
        <v>1</v>
      </c>
      <c r="M12" s="10">
        <v>2</v>
      </c>
      <c r="O12" s="9"/>
      <c r="P12">
        <v>1</v>
      </c>
      <c r="Q12" s="10">
        <v>2</v>
      </c>
      <c r="S12" s="9"/>
      <c r="T12" s="10">
        <v>1</v>
      </c>
      <c r="V12">
        <v>6</v>
      </c>
      <c r="W12" s="17">
        <f t="shared" si="2"/>
        <v>0.99897304396636466</v>
      </c>
      <c r="Y12" s="9">
        <v>6</v>
      </c>
      <c r="Z12" s="35">
        <v>0.57199999999999995</v>
      </c>
      <c r="AA12" s="35">
        <v>0.89200000000000002</v>
      </c>
      <c r="AB12" s="36">
        <v>0.75700000000000001</v>
      </c>
      <c r="AD12" s="5" t="s">
        <v>47</v>
      </c>
      <c r="AE12" s="6" t="s">
        <v>48</v>
      </c>
      <c r="AF12" s="7"/>
      <c r="AJ12" t="s">
        <v>104</v>
      </c>
      <c r="AK12" s="30" t="s">
        <v>105</v>
      </c>
      <c r="AL12" s="30"/>
      <c r="AM12" t="s">
        <v>106</v>
      </c>
      <c r="AN12" s="31" t="s">
        <v>107</v>
      </c>
      <c r="AO12" s="31" t="s">
        <v>108</v>
      </c>
      <c r="AP12" s="31" t="s">
        <v>109</v>
      </c>
      <c r="AQ12" s="31" t="s">
        <v>110</v>
      </c>
      <c r="AR12" s="31" t="s">
        <v>111</v>
      </c>
      <c r="AS12" s="31" t="s">
        <v>112</v>
      </c>
      <c r="AT12" s="30"/>
      <c r="AU12" t="s">
        <v>113</v>
      </c>
      <c r="AW12" s="32" t="s">
        <v>115</v>
      </c>
      <c r="AX12" s="33"/>
      <c r="AY12" t="s">
        <v>117</v>
      </c>
      <c r="AZ12" s="34" t="s">
        <v>118</v>
      </c>
      <c r="BB12" s="32" t="s">
        <v>120</v>
      </c>
      <c r="BC12" s="33"/>
      <c r="BD12" t="s">
        <v>122</v>
      </c>
      <c r="BE12" s="34" t="s">
        <v>123</v>
      </c>
      <c r="BG12" s="32" t="s">
        <v>125</v>
      </c>
      <c r="BH12" s="33"/>
      <c r="BI12" t="s">
        <v>127</v>
      </c>
      <c r="BT12">
        <v>0</v>
      </c>
      <c r="BU12">
        <v>0</v>
      </c>
      <c r="BV12">
        <v>0</v>
      </c>
      <c r="BW12" s="11">
        <v>-0.45094970136476858</v>
      </c>
      <c r="BX12" s="13">
        <v>9.8350911682930572E-2</v>
      </c>
      <c r="BY12" s="13">
        <v>1.3402386975402607</v>
      </c>
      <c r="BZ12" s="13">
        <v>0.52920667781247754</v>
      </c>
      <c r="CA12" s="12">
        <v>0.78585618911594302</v>
      </c>
      <c r="CB12">
        <v>0</v>
      </c>
      <c r="CC12">
        <v>0</v>
      </c>
      <c r="CD12">
        <v>0</v>
      </c>
    </row>
    <row r="13" spans="2:82" x14ac:dyDescent="0.25">
      <c r="C13" s="2" t="s">
        <v>135</v>
      </c>
      <c r="D13">
        <v>2</v>
      </c>
      <c r="E13">
        <v>3</v>
      </c>
      <c r="F13">
        <v>4</v>
      </c>
      <c r="G13">
        <v>5</v>
      </c>
      <c r="H13">
        <v>6</v>
      </c>
      <c r="K13" s="9">
        <v>1</v>
      </c>
      <c r="L13">
        <v>0.878</v>
      </c>
      <c r="M13" s="10">
        <v>-0.13900000000000001</v>
      </c>
      <c r="O13" s="9">
        <v>1</v>
      </c>
      <c r="P13">
        <v>-0.253</v>
      </c>
      <c r="Q13" s="10">
        <v>-0.872</v>
      </c>
      <c r="S13" s="9">
        <v>1</v>
      </c>
      <c r="T13" s="10">
        <v>0</v>
      </c>
      <c r="V13">
        <v>7</v>
      </c>
      <c r="W13" s="20">
        <f t="shared" si="2"/>
        <v>0.1162509603413962</v>
      </c>
      <c r="Y13" s="9">
        <v>7</v>
      </c>
      <c r="Z13" s="35">
        <v>-0.21</v>
      </c>
      <c r="AA13" s="35">
        <v>-0.86299999999999999</v>
      </c>
      <c r="AB13" s="36">
        <v>0.252</v>
      </c>
      <c r="AD13" s="9"/>
      <c r="AE13">
        <v>1</v>
      </c>
      <c r="AF13" s="10"/>
      <c r="AK13" s="30">
        <v>1</v>
      </c>
      <c r="AL13" s="30"/>
      <c r="AM13">
        <v>1</v>
      </c>
      <c r="AN13" s="31">
        <v>1</v>
      </c>
      <c r="AO13" s="31">
        <v>1</v>
      </c>
      <c r="AP13" s="31">
        <v>1</v>
      </c>
      <c r="AQ13" s="31">
        <v>1</v>
      </c>
      <c r="AR13" s="31">
        <v>1</v>
      </c>
      <c r="AS13" s="31">
        <v>1</v>
      </c>
      <c r="AT13" s="30"/>
      <c r="AU13">
        <v>1</v>
      </c>
      <c r="AV13">
        <v>2</v>
      </c>
      <c r="AW13" s="32">
        <v>1</v>
      </c>
      <c r="AX13" s="33">
        <v>2</v>
      </c>
      <c r="AY13">
        <v>1</v>
      </c>
      <c r="AZ13" s="34">
        <v>1</v>
      </c>
      <c r="BA13">
        <v>2</v>
      </c>
      <c r="BB13" s="32">
        <v>1</v>
      </c>
      <c r="BC13" s="33">
        <v>2</v>
      </c>
      <c r="BD13">
        <v>1</v>
      </c>
      <c r="BE13" s="34">
        <v>1</v>
      </c>
      <c r="BF13">
        <v>2</v>
      </c>
      <c r="BG13" s="32">
        <v>1</v>
      </c>
      <c r="BH13" s="33">
        <v>2</v>
      </c>
      <c r="BI13">
        <v>1</v>
      </c>
      <c r="BL13" t="s">
        <v>43</v>
      </c>
      <c r="BM13" t="s">
        <v>77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2:82" x14ac:dyDescent="0.25">
      <c r="B14">
        <v>1</v>
      </c>
      <c r="C14" s="17" cm="1">
        <f t="array" ref="C14:H15">TRANSPOSE(_xlfn.ANCHORARRAY(C4))</f>
        <v>4.0296676785617889</v>
      </c>
      <c r="D14" s="17">
        <v>3.1757752467270279</v>
      </c>
      <c r="E14" s="17">
        <v>3.3789276309323317</v>
      </c>
      <c r="F14" s="17">
        <v>1.5094131886761968</v>
      </c>
      <c r="G14" s="17">
        <v>4.5198656803290973</v>
      </c>
      <c r="H14" s="17">
        <v>3.0540707238032767</v>
      </c>
      <c r="K14" s="11">
        <v>2</v>
      </c>
      <c r="L14" s="13">
        <v>-1.2999999999999999E-2</v>
      </c>
      <c r="M14" s="12">
        <v>0.997</v>
      </c>
      <c r="O14" s="11">
        <v>2</v>
      </c>
      <c r="P14" s="13">
        <v>-0.21199999999999999</v>
      </c>
      <c r="Q14" s="12">
        <v>0.248</v>
      </c>
      <c r="S14" s="11">
        <v>2</v>
      </c>
      <c r="T14" s="12">
        <v>0</v>
      </c>
      <c r="V14">
        <v>8</v>
      </c>
      <c r="W14" s="20">
        <f t="shared" si="2"/>
        <v>0.22445770386338093</v>
      </c>
      <c r="Y14" s="9">
        <v>8</v>
      </c>
      <c r="Z14" s="35">
        <v>0.54900000000000004</v>
      </c>
      <c r="AA14" s="35">
        <v>0.185</v>
      </c>
      <c r="AB14" s="36">
        <v>-0.50800000000000001</v>
      </c>
      <c r="AD14" s="9">
        <v>1</v>
      </c>
      <c r="AE14">
        <f>-1/3*((2/(1+DATA!$I$16))*X34*(1-W28)-((2*DATA!$I$16)/(1+DATA!$I$16))*(1-X34)*W28)</f>
        <v>-0.33161043441720361</v>
      </c>
      <c r="AF14" s="10"/>
      <c r="AJ14">
        <v>1</v>
      </c>
      <c r="AK14" s="37" cm="1">
        <f t="array" ref="AK14:AK15">AF94:AF95+_xlfn.ANCHORARRAY(AS8)</f>
        <v>-1.3506735048508734E-2</v>
      </c>
      <c r="AL14" s="30"/>
      <c r="AM14" cm="1">
        <f t="array" ref="AM14:AM15">_xlfn.ANCHORARRAY(AK14)*(1-$O$53:$O$54)</f>
        <v>-6.261828657836724E-3</v>
      </c>
      <c r="AN14" s="31" cm="1">
        <f t="array" ref="AN14:AN15">_xlfn.ANCHORARRAY(AM14)*(1-$R$53:$R$54*$R$53:$R$54)</f>
        <v>-1.2689437826601982E-3</v>
      </c>
      <c r="AO14" s="31" cm="1">
        <f t="array" ref="AO14:AO15">_xlfn.ANCHORARRAY(AK14)*(_xlfn.ANCHORARRAY(T53)-$R$53:$R$54)</f>
        <v>-5.1971761177792208E-3</v>
      </c>
      <c r="AP14" s="31" cm="1">
        <f t="array" ref="AP14:AP15">_xlfn.ANCHORARRAY(AO14)*($O$53:$O$54*(1-$O$53:$O$54))</f>
        <v>-1.2924109560607487E-3</v>
      </c>
      <c r="AQ14" s="31" cm="1">
        <f t="array" ref="AQ14:AQ15">MMULT(TRANSPOSE($P$23:$Q$24),_xlfn.ANCHORARRAY(AN14))*_xlfn.ANCHORARRAY(T47)</f>
        <v>1.6051499605116288E-4</v>
      </c>
      <c r="AR14" s="31" cm="1">
        <f t="array" ref="AR14:AR15">_xlfn.ANCHORARRAY(AQ14)*($L$53:$L$54*(1-$L$53:$L$54))</f>
        <v>6.67523847809918E-6</v>
      </c>
      <c r="AS14" s="31" cm="1">
        <f t="array" ref="AS14:AS15">_xlfn.ANCHORARRAY(AK14)*$O$53:$O$54+MMULT(TRANSPOSE($P$23:$Q$24),_xlfn.ANCHORARRAY(AN14))*$L$53:$L$54+MMULT(TRANSPOSE($P$18:$Q$19),_xlfn.ANCHORARRAY(AP14))+MMULT(TRANSPOSE($P$13:$Q$14),_xlfn.ANCHORARRAY(AR14))</f>
        <v>-8.1135459484704478E-3</v>
      </c>
      <c r="AT14" s="30"/>
      <c r="AU14" cm="1">
        <f t="array" ref="AU14:AV15">MMULT(_xlfn.ANCHORARRAY(AN14),TRANSPOSE($G$14:$G$15))</f>
        <v>-5.7354554535128145E-3</v>
      </c>
      <c r="AV14">
        <v>-6.8144812903920095E-4</v>
      </c>
      <c r="AW14" s="32" cm="1">
        <f t="array" ref="AW14:AX15">MMULT(_xlfn.ANCHORARRAY(AN14),TRANSPOSE($L$53:$L$54*_xlfn.ANCHORARRAY(T47)))</f>
        <v>2.131267851433816E-4</v>
      </c>
      <c r="AX14" s="33">
        <v>-8.3855703932265643E-4</v>
      </c>
      <c r="AY14" cm="1">
        <f t="array" ref="AY14:AY15">_xlfn.ANCHORARRAY(AN14)</f>
        <v>-1.2689437826601982E-3</v>
      </c>
      <c r="AZ14" s="34" cm="1">
        <f t="array" ref="AZ14:BA15">MMULT(_xlfn.ANCHORARRAY(AP14),TRANSPOSE($G$14:$G$15))</f>
        <v>-5.8415239251802947E-3</v>
      </c>
      <c r="BA14">
        <v>-6.9405046936835168E-4</v>
      </c>
      <c r="BB14" s="32" cm="1">
        <f t="array" ref="BB14:BC15">MMULT(_xlfn.ANCHORARRAY(AP14),TRANSPOSE(_xlfn.ANCHORARRAY(T47)))</f>
        <v>2.2693458299969757E-4</v>
      </c>
      <c r="BC14" s="33">
        <v>-1.255562724688264E-3</v>
      </c>
      <c r="BD14" cm="1">
        <f t="array" ref="BD14:BD15">_xlfn.ANCHORARRAY(AP14)</f>
        <v>-1.2924109560607487E-3</v>
      </c>
      <c r="BE14" s="34" cm="1">
        <f t="array" ref="BE14:BF15">MMULT(_xlfn.ANCHORARRAY(AR14),TRANSPOSE($G$14:$G$15))</f>
        <v>3.0171181305172718E-5</v>
      </c>
      <c r="BF14">
        <v>3.584736245962812E-6</v>
      </c>
      <c r="BG14" s="32" cm="1">
        <f t="array" ref="BG14:BH15">MMULT(_xlfn.ANCHORARRAY(AR14),TRANSPOSE(_xlfn.ANCHORARRAY(T47)))</f>
        <v>-1.1721058641194074E-6</v>
      </c>
      <c r="BH14" s="33">
        <v>6.484919190914222E-6</v>
      </c>
      <c r="BI14" cm="1">
        <f t="array" ref="BI14:BI15">_xlfn.ANCHORARRAY(AR14)</f>
        <v>6.67523847809918E-6</v>
      </c>
      <c r="BL14">
        <v>1</v>
      </c>
      <c r="BM14">
        <v>2</v>
      </c>
      <c r="BN14">
        <v>3</v>
      </c>
      <c r="BO14">
        <v>4</v>
      </c>
      <c r="BP14">
        <v>5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2:82" x14ac:dyDescent="0.25">
      <c r="B15">
        <v>2</v>
      </c>
      <c r="C15" s="20">
        <v>1.426184227044502</v>
      </c>
      <c r="D15" s="20">
        <v>0.83446165212430812</v>
      </c>
      <c r="E15" s="20">
        <v>1.8393159934697598</v>
      </c>
      <c r="F15" s="20">
        <v>0.40501335750777256</v>
      </c>
      <c r="G15" s="20">
        <v>0.53701995183003415</v>
      </c>
      <c r="H15" s="20">
        <v>1.2588938475691771</v>
      </c>
      <c r="V15">
        <v>9</v>
      </c>
      <c r="W15" s="20">
        <f t="shared" si="2"/>
        <v>0.3742313671418277</v>
      </c>
      <c r="Y15" s="9">
        <v>9</v>
      </c>
      <c r="Z15" s="35">
        <v>0.99</v>
      </c>
      <c r="AA15" s="35">
        <v>-0.94699999999999995</v>
      </c>
      <c r="AB15" s="36">
        <v>-0.90500000000000003</v>
      </c>
      <c r="AD15" s="9">
        <v>2</v>
      </c>
      <c r="AE15">
        <f>-1/3*((2/(1+DATA!$I$16))*X35*(1-W29)-((2*DATA!$I$16)/(1+DATA!$I$16))*(1-X35)*W29)</f>
        <v>5.1579911614943699E-2</v>
      </c>
      <c r="AF15" s="10"/>
      <c r="AJ15">
        <v>2</v>
      </c>
      <c r="AK15" s="38">
        <v>0.12916961361514753</v>
      </c>
      <c r="AL15" s="30"/>
      <c r="AM15">
        <v>0.11237834847878342</v>
      </c>
      <c r="AN15" s="31">
        <v>1.211356412436669E-4</v>
      </c>
      <c r="AO15" s="31">
        <v>-4.696873737846689E-4</v>
      </c>
      <c r="AP15" s="31">
        <v>-5.311953067131887E-5</v>
      </c>
      <c r="AQ15" s="31">
        <v>-8.0862400443740181E-4</v>
      </c>
      <c r="AR15" s="31">
        <v>-1.7589111024851037E-4</v>
      </c>
      <c r="AS15" s="31">
        <v>1.4894484403283205E-2</v>
      </c>
      <c r="AT15" s="30"/>
      <c r="AU15">
        <v>5.4751682752190794E-4</v>
      </c>
      <c r="AV15">
        <v>6.50522562255743E-5</v>
      </c>
      <c r="AW15" s="32">
        <v>-2.0345463792274377E-5</v>
      </c>
      <c r="AX15" s="33">
        <v>8.0050153573227276E-5</v>
      </c>
      <c r="AY15">
        <v>1.211356412436669E-4</v>
      </c>
      <c r="AZ15" s="34">
        <v>-2.40093143636483E-4</v>
      </c>
      <c r="BA15">
        <v>-2.8526247802345681E-5</v>
      </c>
      <c r="BB15" s="32">
        <v>9.3272642772836209E-6</v>
      </c>
      <c r="BC15" s="33">
        <v>-5.1605027294977515E-5</v>
      </c>
      <c r="BD15">
        <v>-5.311953067131887E-5</v>
      </c>
      <c r="BE15" s="34">
        <v>-7.9500419268722358E-4</v>
      </c>
      <c r="BF15">
        <v>-9.4457035552986262E-5</v>
      </c>
      <c r="BG15" s="32">
        <v>3.0884739540789939E-5</v>
      </c>
      <c r="BH15" s="33">
        <v>-1.708762376211882E-4</v>
      </c>
      <c r="BI15">
        <v>-1.7589111024851037E-4</v>
      </c>
      <c r="BK15">
        <v>1</v>
      </c>
      <c r="BL15">
        <f t="shared" ref="BL15:BL20" si="3">BN6*IF(BN6&gt;0,1,0)</f>
        <v>0</v>
      </c>
      <c r="BM15">
        <f t="shared" ref="BM15:BP20" si="4">BO6*IF(BO6&gt;0,1,0)</f>
        <v>0</v>
      </c>
      <c r="BN15">
        <f t="shared" si="4"/>
        <v>0</v>
      </c>
      <c r="BO15">
        <f t="shared" si="4"/>
        <v>5.0890062870490319E-2</v>
      </c>
      <c r="BP15">
        <f t="shared" si="4"/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2:82" x14ac:dyDescent="0.25">
      <c r="K16" s="5"/>
      <c r="L16" s="6" t="s">
        <v>136</v>
      </c>
      <c r="M16" s="7"/>
      <c r="O16" s="5"/>
      <c r="P16" s="6" t="s">
        <v>137</v>
      </c>
      <c r="Q16" s="7"/>
      <c r="S16" s="5"/>
      <c r="T16" s="7" t="s">
        <v>138</v>
      </c>
      <c r="V16">
        <v>10</v>
      </c>
      <c r="W16" s="20">
        <f t="shared" si="2"/>
        <v>0.39794932752033113</v>
      </c>
      <c r="Y16" s="9">
        <v>10</v>
      </c>
      <c r="Z16" s="35">
        <v>0.46899999999999997</v>
      </c>
      <c r="AA16" s="35">
        <v>0.36499999999999999</v>
      </c>
      <c r="AB16" s="36">
        <v>-0.20699999999999999</v>
      </c>
      <c r="AD16" s="11">
        <v>3</v>
      </c>
      <c r="AE16" s="13">
        <f>-1/3*((2/(1+DATA!$I$16))*X36*(1-W30)-((2*DATA!$I$16)/(1+DATA!$I$16))*(1-X36)*W30)</f>
        <v>-7.436821879287156E-2</v>
      </c>
      <c r="AF16" s="12"/>
      <c r="AK16" s="30"/>
      <c r="AL16" s="30"/>
      <c r="AN16" s="31"/>
      <c r="AO16" s="31"/>
      <c r="AP16" s="31"/>
      <c r="AQ16" s="31"/>
      <c r="AR16" s="31"/>
      <c r="AS16" s="31"/>
      <c r="AT16" s="30"/>
      <c r="AW16" s="32"/>
      <c r="AX16" s="33"/>
      <c r="AZ16" s="34"/>
      <c r="BB16" s="32"/>
      <c r="BC16" s="33"/>
      <c r="BE16" s="34"/>
      <c r="BG16" s="32"/>
      <c r="BH16" s="33"/>
      <c r="BK16">
        <v>2</v>
      </c>
      <c r="BL16">
        <f t="shared" si="3"/>
        <v>0</v>
      </c>
      <c r="BM16">
        <f t="shared" si="4"/>
        <v>4.0980476017124352E-2</v>
      </c>
      <c r="BN16">
        <f t="shared" si="4"/>
        <v>0</v>
      </c>
      <c r="BO16">
        <f t="shared" si="4"/>
        <v>0</v>
      </c>
      <c r="BP16">
        <f t="shared" si="4"/>
        <v>0</v>
      </c>
    </row>
    <row r="17" spans="3:74" ht="21" x14ac:dyDescent="0.35">
      <c r="K17" s="9"/>
      <c r="L17">
        <v>1</v>
      </c>
      <c r="M17" s="10">
        <v>2</v>
      </c>
      <c r="O17" s="9"/>
      <c r="P17">
        <v>1</v>
      </c>
      <c r="Q17" s="10">
        <v>2</v>
      </c>
      <c r="S17" s="9"/>
      <c r="T17" s="10">
        <v>1</v>
      </c>
      <c r="V17">
        <v>11</v>
      </c>
      <c r="W17" s="20">
        <f t="shared" si="2"/>
        <v>0.24383137408274619</v>
      </c>
      <c r="Y17" s="9">
        <v>11</v>
      </c>
      <c r="Z17" s="35">
        <v>0.24099999999999999</v>
      </c>
      <c r="AA17" s="35">
        <v>0.48599999999999999</v>
      </c>
      <c r="AB17" s="36">
        <v>-6.0000000000000001E-3</v>
      </c>
      <c r="AK17" s="39" t="s">
        <v>139</v>
      </c>
      <c r="AL17" s="30"/>
      <c r="AN17" s="31"/>
      <c r="AO17" s="31"/>
      <c r="AP17" s="31"/>
      <c r="AQ17" s="31"/>
      <c r="AR17" s="31"/>
      <c r="AS17" s="31"/>
      <c r="AT17" s="30"/>
      <c r="AU17" s="29" t="s">
        <v>139</v>
      </c>
      <c r="AW17" s="32"/>
      <c r="AX17" s="33"/>
      <c r="AZ17" s="34"/>
      <c r="BB17" s="32"/>
      <c r="BC17" s="33"/>
      <c r="BE17" s="34"/>
      <c r="BG17" s="32"/>
      <c r="BH17" s="33"/>
      <c r="BK17">
        <v>3</v>
      </c>
      <c r="BL17">
        <f t="shared" si="3"/>
        <v>0</v>
      </c>
      <c r="BM17">
        <f t="shared" si="4"/>
        <v>0</v>
      </c>
      <c r="BN17">
        <f t="shared" si="4"/>
        <v>2.6940477659322011E-2</v>
      </c>
      <c r="BO17">
        <f t="shared" si="4"/>
        <v>0</v>
      </c>
      <c r="BP17">
        <f t="shared" si="4"/>
        <v>0</v>
      </c>
    </row>
    <row r="18" spans="3:74" x14ac:dyDescent="0.25">
      <c r="K18" s="9">
        <v>1</v>
      </c>
      <c r="L18">
        <v>-0.21199999999999999</v>
      </c>
      <c r="M18" s="10">
        <v>0.248</v>
      </c>
      <c r="O18" s="9">
        <v>1</v>
      </c>
      <c r="P18">
        <v>-1.2999999999999999E-2</v>
      </c>
      <c r="Q18" s="10">
        <v>0.997</v>
      </c>
      <c r="S18" s="9">
        <v>1</v>
      </c>
      <c r="T18" s="10">
        <v>0</v>
      </c>
      <c r="V18">
        <v>12</v>
      </c>
      <c r="W18" s="20">
        <f t="shared" si="2"/>
        <v>0.31354044843851148</v>
      </c>
      <c r="Y18" s="11">
        <v>12</v>
      </c>
      <c r="Z18" s="40">
        <v>-0.16700000000000001</v>
      </c>
      <c r="AA18" s="40">
        <v>-0.442</v>
      </c>
      <c r="AB18" s="41">
        <v>0.01</v>
      </c>
      <c r="AJ18" t="s">
        <v>104</v>
      </c>
      <c r="AK18" s="30" t="s">
        <v>105</v>
      </c>
      <c r="AL18" s="30"/>
      <c r="AM18" t="s">
        <v>106</v>
      </c>
      <c r="AN18" s="31" t="s">
        <v>107</v>
      </c>
      <c r="AO18" s="31" t="s">
        <v>108</v>
      </c>
      <c r="AP18" s="31" t="s">
        <v>109</v>
      </c>
      <c r="AQ18" s="31" t="s">
        <v>110</v>
      </c>
      <c r="AR18" s="31" t="s">
        <v>111</v>
      </c>
      <c r="AS18" s="31" t="s">
        <v>112</v>
      </c>
      <c r="AT18" s="30"/>
      <c r="AU18" t="s">
        <v>113</v>
      </c>
      <c r="AW18" s="32" t="s">
        <v>115</v>
      </c>
      <c r="AX18" s="33"/>
      <c r="AY18" t="s">
        <v>117</v>
      </c>
      <c r="AZ18" s="34" t="s">
        <v>118</v>
      </c>
      <c r="BB18" s="32" t="s">
        <v>120</v>
      </c>
      <c r="BC18" s="33"/>
      <c r="BD18" t="s">
        <v>122</v>
      </c>
      <c r="BE18" s="34" t="s">
        <v>123</v>
      </c>
      <c r="BG18" s="32" t="s">
        <v>125</v>
      </c>
      <c r="BH18" s="33"/>
      <c r="BI18" t="s">
        <v>127</v>
      </c>
      <c r="BK18">
        <v>4</v>
      </c>
      <c r="BL18">
        <f t="shared" si="3"/>
        <v>0</v>
      </c>
      <c r="BM18">
        <f t="shared" si="4"/>
        <v>0</v>
      </c>
      <c r="BN18">
        <f t="shared" si="4"/>
        <v>0</v>
      </c>
      <c r="BO18">
        <f t="shared" si="4"/>
        <v>1.186686443658775E-2</v>
      </c>
      <c r="BP18">
        <f t="shared" si="4"/>
        <v>0</v>
      </c>
    </row>
    <row r="19" spans="3:74" x14ac:dyDescent="0.25">
      <c r="K19" s="11">
        <v>2</v>
      </c>
      <c r="L19" s="13">
        <v>-0.253</v>
      </c>
      <c r="M19" s="12">
        <v>-0.872</v>
      </c>
      <c r="O19" s="11">
        <v>2</v>
      </c>
      <c r="P19" s="13">
        <v>0.878</v>
      </c>
      <c r="Q19" s="12">
        <v>-0.13900000000000001</v>
      </c>
      <c r="S19" s="11">
        <v>2</v>
      </c>
      <c r="T19" s="12">
        <v>0</v>
      </c>
      <c r="AD19" s="5"/>
      <c r="AE19" s="16" t="s">
        <v>40</v>
      </c>
      <c r="AF19" s="6" t="s">
        <v>53</v>
      </c>
      <c r="AG19" s="7"/>
      <c r="AK19" s="30">
        <v>1</v>
      </c>
      <c r="AL19" s="30"/>
      <c r="AM19">
        <v>1</v>
      </c>
      <c r="AN19" s="31">
        <v>1</v>
      </c>
      <c r="AO19" s="31">
        <v>1</v>
      </c>
      <c r="AP19" s="31">
        <v>1</v>
      </c>
      <c r="AQ19" s="31">
        <v>1</v>
      </c>
      <c r="AR19" s="31">
        <v>1</v>
      </c>
      <c r="AS19" s="31">
        <v>1</v>
      </c>
      <c r="AT19" s="30"/>
      <c r="AU19">
        <v>1</v>
      </c>
      <c r="AV19">
        <v>2</v>
      </c>
      <c r="AW19" s="32">
        <v>1</v>
      </c>
      <c r="AX19" s="33">
        <v>2</v>
      </c>
      <c r="AY19">
        <v>1</v>
      </c>
      <c r="AZ19" s="34">
        <v>1</v>
      </c>
      <c r="BA19">
        <v>2</v>
      </c>
      <c r="BB19" s="32">
        <v>1</v>
      </c>
      <c r="BC19" s="33">
        <v>2</v>
      </c>
      <c r="BD19">
        <v>1</v>
      </c>
      <c r="BE19" s="34">
        <v>1</v>
      </c>
      <c r="BF19">
        <v>2</v>
      </c>
      <c r="BG19" s="32">
        <v>1</v>
      </c>
      <c r="BH19" s="33">
        <v>2</v>
      </c>
      <c r="BI19">
        <v>1</v>
      </c>
      <c r="BK19">
        <v>5</v>
      </c>
      <c r="BL19">
        <f t="shared" si="3"/>
        <v>1.0550624522317365E-3</v>
      </c>
      <c r="BM19">
        <f t="shared" si="4"/>
        <v>0</v>
      </c>
      <c r="BN19">
        <f t="shared" si="4"/>
        <v>0</v>
      </c>
      <c r="BO19">
        <f t="shared" si="4"/>
        <v>0</v>
      </c>
      <c r="BP19">
        <f t="shared" si="4"/>
        <v>0</v>
      </c>
    </row>
    <row r="20" spans="3:74" x14ac:dyDescent="0.25">
      <c r="W20" t="s">
        <v>54</v>
      </c>
      <c r="X20" t="s">
        <v>55</v>
      </c>
      <c r="Y20" s="5"/>
      <c r="Z20" s="8" t="s">
        <v>23</v>
      </c>
      <c r="AD20" s="9"/>
      <c r="AE20">
        <v>1</v>
      </c>
      <c r="AF20">
        <v>2</v>
      </c>
      <c r="AG20" s="10">
        <v>3</v>
      </c>
      <c r="AJ20">
        <v>1</v>
      </c>
      <c r="AK20" s="37" cm="1">
        <f t="array" ref="AK20:AK21">AG94:AG95+_xlfn.ANCHORARRAY(AS14)</f>
        <v>-6.8765748304515262E-2</v>
      </c>
      <c r="AL20" s="30"/>
      <c r="AM20" cm="1">
        <f t="array" ref="AM20:AM21">_xlfn.ANCHORARRAY(AK20)*(1-$O$47:$O$48)</f>
        <v>-2.1641964221773474E-2</v>
      </c>
      <c r="AN20" s="31" cm="1">
        <f t="array" ref="AN20:AN21">_xlfn.ANCHORARRAY(AM20)*(1-$R$47:$R$48*$R$47:$R$48)</f>
        <v>-2.1636581924868867E-2</v>
      </c>
      <c r="AO20" s="31" cm="1">
        <f t="array" ref="AO20:AO21">_xlfn.ANCHORARRAY(AK20)*(_xlfn.ANCHORARRAY(T41)-$R$47:$R$48)</f>
        <v>1.6037447298591589E-2</v>
      </c>
      <c r="AP20" s="31" cm="1">
        <f t="array" ref="AP20:AP21">_xlfn.ANCHORARRAY(AO20)*($O$47:$O$48*(1-$O$47:$O$48))</f>
        <v>3.4588181380357853E-3</v>
      </c>
      <c r="AQ20" s="31" cm="1">
        <f t="array" ref="AQ20:AQ21">MMULT(TRANSPOSE($P$23:$Q$24),_xlfn.ANCHORARRAY(AN20))*_xlfn.ANCHORARRAY(T47)</f>
        <v>2.6820462244676858E-3</v>
      </c>
      <c r="AR20" s="31" cm="1">
        <f t="array" ref="AR20:AR21">_xlfn.ANCHORARRAY(AQ20)*($L$47:$L$48*(1-$L$47:$L$48))</f>
        <v>6.359411256405752E-4</v>
      </c>
      <c r="AS20" s="31" cm="1">
        <f t="array" ref="AS20:AS21">_xlfn.ANCHORARRAY(AK20)*$O$47:$O$48+MMULT(TRANSPOSE($P$23:$Q$24),_xlfn.ANCHORARRAY(AN20))*$L$47:$L$48+MMULT(TRANSPOSE($P$18:$Q$19),_xlfn.ANCHORARRAY(AP20))+MMULT(TRANSPOSE($P$13:$Q$14),_xlfn.ANCHORARRAY(AR20))</f>
        <v>-5.5872686247377415E-2</v>
      </c>
      <c r="AT20" s="30"/>
      <c r="AU20" cm="1">
        <f t="array" ref="AU20:AV21">MMULT(_xlfn.ANCHORARRAY(AN20),TRANSPOSE($F$14:$F$15))</f>
        <v>-3.2658542115270084E-2</v>
      </c>
      <c r="AV20">
        <v>-8.7631046903831247E-3</v>
      </c>
      <c r="AW20" s="32" cm="1">
        <f t="array" ref="AW20:AX21">MMULT(_xlfn.ANCHORARRAY(AN20),TRANSPOSE($L$47:$L$48*_xlfn.ANCHORARRAY($T$41)))</f>
        <v>3.3052601614728628E-3</v>
      </c>
      <c r="AX20" s="33">
        <v>-1.4345275618060833E-2</v>
      </c>
      <c r="AY20" cm="1">
        <f t="array" ref="AY20:AY21">_xlfn.ANCHORARRAY(AN20)</f>
        <v>-2.1636581924868867E-2</v>
      </c>
      <c r="AZ20" s="34" cm="1">
        <f t="array" ref="AZ20:BA21">MMULT(_xlfn.ANCHORARRAY(AP20),TRANSPOSE($F$14:$F$15))</f>
        <v>5.2207857147836606E-3</v>
      </c>
      <c r="BA20">
        <v>1.4008675470946557E-3</v>
      </c>
      <c r="BB20" s="32" cm="1">
        <f t="array" ref="BB20:BC21">MMULT(_xlfn.ANCHORARRAY(AP20),TRANSPOSE(_xlfn.ANCHORARRAY(T47)))</f>
        <v>-6.0733426016395251E-4</v>
      </c>
      <c r="BC20" s="33">
        <v>3.3602029642568819E-3</v>
      </c>
      <c r="BD20" cm="1">
        <f t="array" ref="BD20:BD21">_xlfn.ANCHORARRAY(AP20)</f>
        <v>3.4588181380357853E-3</v>
      </c>
      <c r="BE20" s="34" cm="1">
        <f t="array" ref="BE20:BF21">MMULT(_xlfn.ANCHORARRAY(AR20),TRANSPOSE($F$14:$F$15))</f>
        <v>9.5989792226347048E-4</v>
      </c>
      <c r="BF20">
        <v>2.5756465047296158E-4</v>
      </c>
      <c r="BG20" s="32" cm="1">
        <f t="array" ref="BG20:BH21">MMULT(_xlfn.ANCHORARRAY(AR20),TRANSPOSE(_xlfn.ANCHORARRAY(T41)))</f>
        <v>-1.5834213889408879E-4</v>
      </c>
      <c r="BH20" s="33">
        <v>6.3432037263445938E-4</v>
      </c>
      <c r="BI20" cm="1">
        <f t="array" ref="BI20:BI21">_xlfn.ANCHORARRAY(AR20)</f>
        <v>6.359411256405752E-4</v>
      </c>
      <c r="BK20">
        <v>6</v>
      </c>
      <c r="BL20">
        <f t="shared" si="3"/>
        <v>0</v>
      </c>
      <c r="BM20">
        <f t="shared" si="4"/>
        <v>0</v>
      </c>
      <c r="BN20">
        <f t="shared" si="4"/>
        <v>0</v>
      </c>
      <c r="BO20">
        <f t="shared" si="4"/>
        <v>0</v>
      </c>
      <c r="BP20">
        <f t="shared" si="4"/>
        <v>0</v>
      </c>
    </row>
    <row r="21" spans="3:74" x14ac:dyDescent="0.25">
      <c r="K21" s="5"/>
      <c r="L21" s="6" t="s">
        <v>140</v>
      </c>
      <c r="M21" s="7"/>
      <c r="O21" s="5"/>
      <c r="P21" s="6" t="s">
        <v>141</v>
      </c>
      <c r="Q21" s="7"/>
      <c r="S21" s="5"/>
      <c r="T21" s="7" t="s">
        <v>142</v>
      </c>
      <c r="W21">
        <v>1</v>
      </c>
      <c r="Y21" s="9"/>
      <c r="Z21" s="10">
        <v>1</v>
      </c>
      <c r="AD21" s="9">
        <v>1</v>
      </c>
      <c r="AE21" cm="1">
        <f t="array" ref="AE21:AE32">Z7:Z18-$W$39*$AE14*$W$7:$W$18</f>
        <v>-0.11381918726333333</v>
      </c>
      <c r="AF21" cm="1">
        <f t="array" ref="AF21:AF32">AA7:AA18-$W$39*$AE15*$W$7:$W$18</f>
        <v>-0.67413899814131117</v>
      </c>
      <c r="AG21" s="10" cm="1">
        <f t="array" ref="AG21:AG32">AB7:AB18-$W$39*$AE16*$W$7:$W$18</f>
        <v>-0.77347417408726593</v>
      </c>
      <c r="AJ21">
        <v>2</v>
      </c>
      <c r="AK21" s="38">
        <v>2.6489287620951908E-2</v>
      </c>
      <c r="AL21" s="30"/>
      <c r="AM21">
        <v>1.9835619508130373E-2</v>
      </c>
      <c r="AN21" s="31">
        <v>1.4490905486462056E-3</v>
      </c>
      <c r="AO21" s="31">
        <v>9.1842503714355435E-4</v>
      </c>
      <c r="AP21" s="31">
        <v>1.7274681939386105E-4</v>
      </c>
      <c r="AQ21" s="31">
        <v>-1.4321267244127201E-2</v>
      </c>
      <c r="AR21" s="31">
        <v>-3.1918164954047304E-3</v>
      </c>
      <c r="AS21" s="31">
        <v>-1.0667966326687963E-3</v>
      </c>
      <c r="AT21" s="30"/>
      <c r="AU21">
        <v>2.1872763857126087E-3</v>
      </c>
      <c r="AV21">
        <v>5.8690102843998E-4</v>
      </c>
      <c r="AW21" s="32">
        <v>-2.2136681650727905E-4</v>
      </c>
      <c r="AX21" s="33">
        <v>9.6076188873269993E-4</v>
      </c>
      <c r="AY21">
        <v>1.4490905486462056E-3</v>
      </c>
      <c r="AZ21" s="34">
        <v>2.607463274949589E-4</v>
      </c>
      <c r="BA21">
        <v>6.9964769321496464E-5</v>
      </c>
      <c r="BB21" s="32">
        <v>-3.033263316117173E-5</v>
      </c>
      <c r="BC21" s="33">
        <v>1.6782159437929794E-4</v>
      </c>
      <c r="BD21">
        <v>1.7274681939386105E-4</v>
      </c>
      <c r="BE21" s="34">
        <v>-4.8177699139981371E-3</v>
      </c>
      <c r="BF21">
        <v>-1.2927283153525617E-3</v>
      </c>
      <c r="BG21" s="32">
        <v>7.9472616326037673E-4</v>
      </c>
      <c r="BH21" s="33">
        <v>-3.1836818647426757E-3</v>
      </c>
      <c r="BI21">
        <v>-3.1918164954047304E-3</v>
      </c>
    </row>
    <row r="22" spans="3:74" x14ac:dyDescent="0.25">
      <c r="K22" s="9"/>
      <c r="L22">
        <v>1</v>
      </c>
      <c r="M22" s="10">
        <v>2</v>
      </c>
      <c r="O22" s="9"/>
      <c r="P22">
        <v>1</v>
      </c>
      <c r="Q22" s="10">
        <v>2</v>
      </c>
      <c r="S22" s="9"/>
      <c r="T22" s="10">
        <v>1</v>
      </c>
      <c r="V22">
        <v>1</v>
      </c>
      <c r="W22" cm="1">
        <f t="array" ref="W22:W24">TRANSPOSE(MMULT(TRANSPOSE(W7:W18),Z7:AB18)+TRANSPOSE(Z22:Z24))</f>
        <v>-0.22012360513760698</v>
      </c>
      <c r="Y22" s="9">
        <v>1</v>
      </c>
      <c r="Z22" s="10">
        <v>1</v>
      </c>
      <c r="AD22" s="9">
        <v>2</v>
      </c>
      <c r="AE22">
        <v>-0.91353673727497742</v>
      </c>
      <c r="AF22">
        <v>-4.4893912078872222E-2</v>
      </c>
      <c r="AG22" s="10">
        <v>0.99805607111062211</v>
      </c>
      <c r="AK22" s="30"/>
      <c r="AL22" s="30"/>
      <c r="AN22" s="31"/>
      <c r="AO22" s="31"/>
      <c r="AP22" s="31"/>
      <c r="AQ22" s="31"/>
      <c r="AR22" s="31"/>
      <c r="AS22" s="31"/>
      <c r="AT22" s="30"/>
      <c r="AW22" s="32"/>
      <c r="AX22" s="33"/>
      <c r="AZ22" s="34"/>
      <c r="BB22" s="32"/>
      <c r="BC22" s="33"/>
      <c r="BE22" s="34"/>
      <c r="BG22" s="32"/>
      <c r="BH22" s="33"/>
      <c r="BK22" s="5"/>
      <c r="BL22" s="16" t="s">
        <v>22</v>
      </c>
      <c r="BM22" s="6" t="s">
        <v>78</v>
      </c>
      <c r="BN22" s="7"/>
      <c r="BP22" s="5"/>
      <c r="BQ22" s="8" t="s">
        <v>23</v>
      </c>
      <c r="BR22" t="s">
        <v>79</v>
      </c>
    </row>
    <row r="23" spans="3:74" ht="21" x14ac:dyDescent="0.35">
      <c r="K23" s="9">
        <v>1</v>
      </c>
      <c r="L23">
        <v>-0.50700000000000001</v>
      </c>
      <c r="M23" s="10">
        <v>0.89100000000000001</v>
      </c>
      <c r="O23" s="9">
        <v>1</v>
      </c>
      <c r="P23">
        <v>0.67200000000000004</v>
      </c>
      <c r="Q23" s="10">
        <v>0.74099999999999999</v>
      </c>
      <c r="S23" s="9">
        <v>1</v>
      </c>
      <c r="T23" s="10">
        <v>0</v>
      </c>
      <c r="V23">
        <v>2</v>
      </c>
      <c r="W23">
        <v>1.0874896858976641</v>
      </c>
      <c r="Y23" s="9">
        <v>2</v>
      </c>
      <c r="Z23" s="10">
        <v>1</v>
      </c>
      <c r="AD23" s="9">
        <v>3</v>
      </c>
      <c r="AE23">
        <v>-0.58692347045221904</v>
      </c>
      <c r="AF23">
        <v>0.30685515444168093</v>
      </c>
      <c r="AG23" s="10">
        <v>-0.11358213152839608</v>
      </c>
      <c r="AK23" s="39" t="s">
        <v>143</v>
      </c>
      <c r="AL23" s="30"/>
      <c r="AN23" s="31"/>
      <c r="AO23" s="31"/>
      <c r="AP23" s="31"/>
      <c r="AQ23" s="31"/>
      <c r="AR23" s="31"/>
      <c r="AS23" s="31"/>
      <c r="AT23" s="30"/>
      <c r="AU23" s="29" t="s">
        <v>143</v>
      </c>
      <c r="AW23" s="32"/>
      <c r="AX23" s="33"/>
      <c r="AZ23" s="34"/>
      <c r="BB23" s="32"/>
      <c r="BC23" s="33"/>
      <c r="BE23" s="34"/>
      <c r="BG23" s="32"/>
      <c r="BH23" s="33"/>
      <c r="BK23" s="9"/>
      <c r="BL23">
        <v>1</v>
      </c>
      <c r="BM23">
        <v>2</v>
      </c>
      <c r="BN23" s="10">
        <v>3</v>
      </c>
      <c r="BP23" s="9"/>
      <c r="BQ23" s="10">
        <v>1</v>
      </c>
    </row>
    <row r="24" spans="3:74" x14ac:dyDescent="0.25">
      <c r="K24" s="11">
        <v>2</v>
      </c>
      <c r="L24" s="13">
        <v>0.67200000000000004</v>
      </c>
      <c r="M24" s="12">
        <v>0.74099999999999999</v>
      </c>
      <c r="O24" s="11">
        <v>2</v>
      </c>
      <c r="P24" s="13">
        <v>-0.50700000000000001</v>
      </c>
      <c r="Q24" s="12">
        <v>0.89100000000000001</v>
      </c>
      <c r="S24" s="11">
        <v>2</v>
      </c>
      <c r="T24" s="12">
        <v>0</v>
      </c>
      <c r="V24">
        <v>3</v>
      </c>
      <c r="W24">
        <v>1.9511891563668935</v>
      </c>
      <c r="Y24" s="11">
        <v>3</v>
      </c>
      <c r="Z24" s="12">
        <v>1</v>
      </c>
      <c r="AD24" s="9">
        <v>4</v>
      </c>
      <c r="AE24">
        <v>-0.25878441883215103</v>
      </c>
      <c r="AF24">
        <v>-0.20701093046780042</v>
      </c>
      <c r="AG24" s="10">
        <v>0.19322478890943429</v>
      </c>
      <c r="AJ24" t="s">
        <v>104</v>
      </c>
      <c r="AK24" s="30" t="s">
        <v>105</v>
      </c>
      <c r="AL24" s="30"/>
      <c r="AM24" t="s">
        <v>106</v>
      </c>
      <c r="AN24" s="31" t="s">
        <v>107</v>
      </c>
      <c r="AO24" s="31" t="s">
        <v>108</v>
      </c>
      <c r="AP24" s="31" t="s">
        <v>109</v>
      </c>
      <c r="AQ24" s="31" t="s">
        <v>110</v>
      </c>
      <c r="AR24" s="31" t="s">
        <v>111</v>
      </c>
      <c r="AS24" s="31" t="s">
        <v>112</v>
      </c>
      <c r="AT24" s="30"/>
      <c r="AU24" t="s">
        <v>113</v>
      </c>
      <c r="AW24" s="32" t="s">
        <v>115</v>
      </c>
      <c r="AX24" s="33"/>
      <c r="AY24" t="s">
        <v>117</v>
      </c>
      <c r="AZ24" s="34" t="s">
        <v>118</v>
      </c>
      <c r="BB24" s="32" t="s">
        <v>120</v>
      </c>
      <c r="BC24" s="33"/>
      <c r="BD24" t="s">
        <v>122</v>
      </c>
      <c r="BE24" s="34" t="s">
        <v>123</v>
      </c>
      <c r="BG24" s="32" t="s">
        <v>125</v>
      </c>
      <c r="BH24" s="33"/>
      <c r="BI24" t="s">
        <v>127</v>
      </c>
      <c r="BK24" s="9">
        <v>1</v>
      </c>
      <c r="BL24" cm="1">
        <f t="array" ref="BL24">FRONTEND!$M7-$W$39*SUM($BL$15:$BP$20*BV5:BZ10)</f>
        <v>-0.51228313084757848</v>
      </c>
      <c r="BM24" cm="1">
        <f t="array" ref="BM24">FRONTEND!$N7-$W$39*SUM($BL$15:$BP$20*BW5:CA10)</f>
        <v>0.89299962450070924</v>
      </c>
      <c r="BN24" s="10" cm="1">
        <f t="array" ref="BN24">FRONTEND!$O7-$W$39*SUM($BL$15:$BP$20*BX5:CB10)</f>
        <v>-0.52227574532366416</v>
      </c>
      <c r="BP24" s="11">
        <v>1</v>
      </c>
      <c r="BQ24" s="12">
        <f>FRONTEND!$W$7-$W$39*SUM(AU56:AU61)</f>
        <v>0.98709548998753349</v>
      </c>
    </row>
    <row r="25" spans="3:74" x14ac:dyDescent="0.25">
      <c r="AD25" s="9">
        <v>5</v>
      </c>
      <c r="AE25">
        <v>-0.54397741436496561</v>
      </c>
      <c r="AF25">
        <v>-0.19013645492291426</v>
      </c>
      <c r="AG25" s="10">
        <v>0.18040577080431328</v>
      </c>
      <c r="AK25" s="30">
        <v>1</v>
      </c>
      <c r="AL25" s="30"/>
      <c r="AM25">
        <v>1</v>
      </c>
      <c r="AN25" s="31">
        <v>1</v>
      </c>
      <c r="AO25" s="31">
        <v>1</v>
      </c>
      <c r="AP25" s="31">
        <v>1</v>
      </c>
      <c r="AQ25" s="31">
        <v>1</v>
      </c>
      <c r="AR25" s="31">
        <v>1</v>
      </c>
      <c r="AS25" s="31">
        <v>1</v>
      </c>
      <c r="AT25" s="30"/>
      <c r="AU25">
        <v>1</v>
      </c>
      <c r="AV25">
        <v>2</v>
      </c>
      <c r="AW25" s="32">
        <v>1</v>
      </c>
      <c r="AX25" s="33">
        <v>2</v>
      </c>
      <c r="AY25">
        <v>1</v>
      </c>
      <c r="AZ25" s="34">
        <v>1</v>
      </c>
      <c r="BA25">
        <v>2</v>
      </c>
      <c r="BB25" s="32">
        <v>1</v>
      </c>
      <c r="BC25" s="33">
        <v>2</v>
      </c>
      <c r="BD25">
        <v>1</v>
      </c>
      <c r="BE25" s="34">
        <v>1</v>
      </c>
      <c r="BF25">
        <v>2</v>
      </c>
      <c r="BG25" s="32">
        <v>1</v>
      </c>
      <c r="BH25" s="33">
        <v>2</v>
      </c>
      <c r="BI25">
        <v>1</v>
      </c>
      <c r="BK25" s="9">
        <v>2</v>
      </c>
      <c r="BL25" cm="1">
        <f t="array" ref="BL25">FRONTEND!$M8-$W$39*SUM($BL$15:$BP$20*BV6:BZ11)</f>
        <v>0.11929401565708365</v>
      </c>
      <c r="BM25" cm="1">
        <f t="array" ref="BM25">FRONTEND!$N8-$W$39*SUM($BL$15:$BP$20*BW6:CA11)</f>
        <v>-0.20105071457369933</v>
      </c>
      <c r="BN25" s="10" cm="1">
        <f t="array" ref="BN25">FRONTEND!$O8-$W$39*SUM($BL$15:$BP$20*BX6:CB11)</f>
        <v>-0.74587528533908365</v>
      </c>
    </row>
    <row r="26" spans="3:74" ht="21" x14ac:dyDescent="0.35">
      <c r="C26" s="86" t="s">
        <v>144</v>
      </c>
      <c r="D26" s="86"/>
      <c r="E26" s="86"/>
      <c r="F26" s="86"/>
      <c r="K26" s="29" t="s">
        <v>135</v>
      </c>
      <c r="V26" s="5"/>
      <c r="W26" s="16" t="s">
        <v>59</v>
      </c>
      <c r="X26" s="7"/>
      <c r="Y26" t="s">
        <v>60</v>
      </c>
      <c r="AD26" s="9">
        <v>6</v>
      </c>
      <c r="AE26">
        <v>0.60512698850807622</v>
      </c>
      <c r="AF26">
        <v>0.88684730586865035</v>
      </c>
      <c r="AG26" s="10">
        <v>0.76442918459018716</v>
      </c>
      <c r="AJ26">
        <v>1</v>
      </c>
      <c r="AK26" s="37" cm="1">
        <f t="array" ref="AK26:AK27">AH94:AH95+_xlfn.ANCHORARRAY(AS20)</f>
        <v>-0.21079132042979465</v>
      </c>
      <c r="AL26" s="30"/>
      <c r="AM26" cm="1">
        <f t="array" ref="AM26:AM27">_xlfn.ANCHORARRAY(AK26)*(1-$O$41:$O$42)</f>
        <v>-7.0304785462033864E-2</v>
      </c>
      <c r="AN26" s="31" cm="1">
        <f t="array" ref="AN26:AN27">_xlfn.ANCHORARRAY(AM26)*(1-$R$41:$R$42*$R$41:$R$42)</f>
        <v>-6.5827102033372123E-2</v>
      </c>
      <c r="AO26" s="31" cm="1">
        <f t="array" ref="AO26:AO27">_xlfn.ANCHORARRAY(AK26)*(_xlfn.ANCHORARRAY(T35)-$R$41:$R$42)</f>
        <v>0.15856872404210101</v>
      </c>
      <c r="AP26" s="31" cm="1">
        <f t="array" ref="AP26:AP27">_xlfn.ANCHORARRAY(AO26)*($O$41:$O$42*(1-$O$41:$O$42))</f>
        <v>3.524777204622722E-2</v>
      </c>
      <c r="AQ26" s="31" cm="1">
        <f t="array" ref="AQ26:AQ27">MMULT(TRANSPOSE($P$23:$Q$24),_xlfn.ANCHORARRAY(AN26))*_xlfn.ANCHORARRAY(T41)</f>
        <v>1.1017759793827601E-2</v>
      </c>
      <c r="AR26" s="31" cm="1">
        <f t="array" ref="AR26:AR27">_xlfn.ANCHORARRAY(AQ26)*($L$41:$L$42*(1-$L$41:$L$42))</f>
        <v>1.1478743770211141E-3</v>
      </c>
      <c r="AS26" s="31" cm="1">
        <f t="array" ref="AS26:AS27">_xlfn.ANCHORARRAY(AK26)*$O$41:$O$42+MMULT(TRANSPOSE($P$23:$Q$24),_xlfn.ANCHORARRAY(AN26))*$L$41:$L$42+MMULT(TRANSPOSE($P$18:$Q$19),_xlfn.ANCHORARRAY(AP26))+MMULT(TRANSPOSE($P$13:$Q$14),_xlfn.ANCHORARRAY(AR26))</f>
        <v>-0.17942677518717351</v>
      </c>
      <c r="AT26" s="30"/>
      <c r="AU26" cm="1">
        <f t="array" ref="AU26:AV27">MMULT(_xlfn.ANCHORARRAY(AN26),TRANSPOSE($E$14:$E$15))</f>
        <v>-0.22242501392476294</v>
      </c>
      <c r="AV26">
        <v>-0.1210768415737471</v>
      </c>
      <c r="AW26" s="32" cm="1">
        <f t="array" ref="AW26:AX27">MMULT(_xlfn.ANCHORARRAY(AN26),TRANSPOSE($L$41:$L$42*_xlfn.ANCHORARRAY(T35)))</f>
        <v>2.9018511912791273E-2</v>
      </c>
      <c r="AX26" s="33">
        <v>-5.5829845949385143E-2</v>
      </c>
      <c r="AY26" cm="1">
        <f t="array" ref="AY26:AY27">_xlfn.ANCHORARRAY(AN26)</f>
        <v>-6.5827102033372123E-2</v>
      </c>
      <c r="AZ26" s="34" cm="1">
        <f t="array" ref="AZ26:BA27">MMULT(_xlfn.ANCHORARRAY(AP26),TRANSPOSE($E$14:$E$15))</f>
        <v>0.11909967089580141</v>
      </c>
      <c r="BA26">
        <v>6.4831790858802044E-2</v>
      </c>
      <c r="BB26" s="32" cm="1">
        <f t="array" ref="BB26:BC27">MMULT(_xlfn.ANCHORARRAY(AP26),TRANSPOSE(_xlfn.ANCHORARRAY(T35)))</f>
        <v>-1.7619886937243721E-2</v>
      </c>
      <c r="BC26" s="33">
        <v>3.3443154896835775E-2</v>
      </c>
      <c r="BD26" cm="1">
        <f t="array" ref="BD26:BD27">_xlfn.ANCHORARRAY(AP26)</f>
        <v>3.524777204622722E-2</v>
      </c>
      <c r="BE26" s="34" cm="1">
        <f t="array" ref="BE26:BF27">MMULT(_xlfn.ANCHORARRAY(AR26),TRANSPOSE($E$14:$E$15))</f>
        <v>3.8785844493558794E-3</v>
      </c>
      <c r="BF26">
        <v>2.1113037001490721E-3</v>
      </c>
      <c r="BG26" s="32" cm="1">
        <f t="array" ref="BG26:BH27">MMULT(_xlfn.ANCHORARRAY(AR26),TRANSPOSE(_xlfn.ANCHORARRAY(T35)))</f>
        <v>-5.7380695479832325E-4</v>
      </c>
      <c r="BH26" s="33">
        <v>1.0891054487778594E-3</v>
      </c>
      <c r="BI26" cm="1">
        <f t="array" ref="BI26:BI27">_xlfn.ANCHORARRAY(AR26)</f>
        <v>1.1478743770211141E-3</v>
      </c>
      <c r="BK26" s="9">
        <v>3</v>
      </c>
      <c r="BL26" cm="1">
        <f t="array" ref="BL26">FRONTEND!$M9-$W$39*SUM($BL$15:$BP$20*BV7:BZ12)</f>
        <v>0.73296607012922832</v>
      </c>
      <c r="BM26" cm="1">
        <f t="array" ref="BM26">FRONTEND!$N9-$W$39*SUM($BL$15:$BP$20*BW7:CA12)</f>
        <v>0.80055534384066374</v>
      </c>
      <c r="BN26" s="10" cm="1">
        <f t="array" ref="BN26">FRONTEND!$O9-$W$39*SUM($BL$15:$BP$20*BX7:CB12)</f>
        <v>-0.96440546834866825</v>
      </c>
    </row>
    <row r="27" spans="3:74" x14ac:dyDescent="0.25">
      <c r="C27" t="s">
        <v>145</v>
      </c>
      <c r="D27" s="25" t="s">
        <v>146</v>
      </c>
      <c r="E27" s="25" t="s">
        <v>147</v>
      </c>
      <c r="H27" t="s">
        <v>148</v>
      </c>
      <c r="I27" t="s">
        <v>149</v>
      </c>
      <c r="K27" t="s">
        <v>148</v>
      </c>
      <c r="L27" s="25" t="s">
        <v>150</v>
      </c>
      <c r="N27" t="s">
        <v>151</v>
      </c>
      <c r="O27" s="25" t="s">
        <v>150</v>
      </c>
      <c r="Q27" t="s">
        <v>145</v>
      </c>
      <c r="R27" s="25" t="s">
        <v>146</v>
      </c>
      <c r="T27" s="25" t="s">
        <v>147</v>
      </c>
      <c r="V27" s="9"/>
      <c r="W27">
        <v>1</v>
      </c>
      <c r="X27" s="10"/>
      <c r="AD27" s="9">
        <v>7</v>
      </c>
      <c r="AE27">
        <v>-0.20614499685397725</v>
      </c>
      <c r="AF27">
        <v>-0.86359962142595614</v>
      </c>
      <c r="AG27" s="10">
        <v>0.25286453768535505</v>
      </c>
      <c r="AJ27">
        <v>2</v>
      </c>
      <c r="AK27" s="38">
        <v>7.4704525421380105E-2</v>
      </c>
      <c r="AL27" s="30"/>
      <c r="AM27">
        <v>7.1259957514161573E-2</v>
      </c>
      <c r="AN27" s="31">
        <v>2.8069293368857336E-5</v>
      </c>
      <c r="AO27" s="31">
        <v>-3.8100114263982868E-3</v>
      </c>
      <c r="AP27" s="31">
        <v>-1.6757636511710144E-4</v>
      </c>
      <c r="AQ27" s="31">
        <v>-4.8628621796436074E-2</v>
      </c>
      <c r="AR27" s="31">
        <v>-4.6122959837606239E-3</v>
      </c>
      <c r="AS27" s="31">
        <v>-7.1148168750712155E-3</v>
      </c>
      <c r="AT27" s="30"/>
      <c r="AU27">
        <v>9.4844110944777727E-5</v>
      </c>
      <c r="AV27">
        <v>5.1628300218733975E-5</v>
      </c>
      <c r="AW27" s="32">
        <v>-1.2373765498515807E-5</v>
      </c>
      <c r="AX27" s="33">
        <v>2.3806369660583477E-5</v>
      </c>
      <c r="AY27">
        <v>2.8069293368857336E-5</v>
      </c>
      <c r="AZ27" s="34">
        <v>-5.66228410385379E-4</v>
      </c>
      <c r="BA27">
        <v>-3.0822588848741263E-4</v>
      </c>
      <c r="BB27" s="32">
        <v>8.3769169944846001E-5</v>
      </c>
      <c r="BC27" s="33">
        <v>-1.5899678221675831E-4</v>
      </c>
      <c r="BD27">
        <v>-1.6757636511710144E-4</v>
      </c>
      <c r="BE27" s="34">
        <v>-1.5584614341566994E-2</v>
      </c>
      <c r="BF27">
        <v>-8.4834697695472545E-3</v>
      </c>
      <c r="BG27" s="32">
        <v>2.3056246973108792E-3</v>
      </c>
      <c r="BH27" s="33">
        <v>-4.3761554294172861E-3</v>
      </c>
      <c r="BI27">
        <v>-4.6122959837606239E-3</v>
      </c>
      <c r="BK27" s="9">
        <v>4</v>
      </c>
      <c r="BL27" cm="1">
        <f t="array" ref="BL27">FRONTEND!$M10-$W$39*SUM($BL$15:$BP$20*BV8:BZ13)</f>
        <v>0.78757946568198078</v>
      </c>
      <c r="BM27" cm="1">
        <f t="array" ref="BM27">FRONTEND!$N10-$W$39*SUM($BL$15:$BP$20*BW8:CA13)</f>
        <v>0.50862609107874801</v>
      </c>
      <c r="BN27" s="10" cm="1">
        <f t="array" ref="BN27">FRONTEND!$O10-$W$39*SUM($BL$15:$BP$20*BX8:CB13)</f>
        <v>-0.9047486531590625</v>
      </c>
    </row>
    <row r="28" spans="3:74" x14ac:dyDescent="0.25">
      <c r="C28">
        <v>1</v>
      </c>
      <c r="D28" s="26">
        <v>1</v>
      </c>
      <c r="E28" s="26">
        <v>1</v>
      </c>
      <c r="H28" t="s">
        <v>151</v>
      </c>
      <c r="I28" t="s">
        <v>152</v>
      </c>
      <c r="K28">
        <v>1</v>
      </c>
      <c r="L28" s="26">
        <v>1</v>
      </c>
      <c r="N28">
        <v>1</v>
      </c>
      <c r="O28" s="26">
        <v>1</v>
      </c>
      <c r="Q28">
        <v>1</v>
      </c>
      <c r="R28" s="26">
        <v>1</v>
      </c>
      <c r="T28" s="26">
        <v>1</v>
      </c>
      <c r="V28" s="9">
        <v>1</v>
      </c>
      <c r="W28">
        <f t="shared" ref="W28:W30" si="5">1/(1+EXP(-W22))</f>
        <v>0.44519023472506319</v>
      </c>
      <c r="X28" s="10" t="s">
        <v>10</v>
      </c>
      <c r="AD28" s="9">
        <v>8</v>
      </c>
      <c r="AE28">
        <v>0.55644325166864239</v>
      </c>
      <c r="AF28">
        <v>0.18384224914734335</v>
      </c>
      <c r="AG28" s="10">
        <v>-0.50633074803693423</v>
      </c>
      <c r="AK28" s="30"/>
      <c r="AL28" s="30"/>
      <c r="AN28" s="31"/>
      <c r="AO28" s="31"/>
      <c r="AP28" s="31"/>
      <c r="AQ28" s="31"/>
      <c r="AR28" s="31"/>
      <c r="AS28" s="31"/>
      <c r="AT28" s="30"/>
      <c r="AW28" s="32"/>
      <c r="AX28" s="33"/>
      <c r="AZ28" s="34"/>
      <c r="BB28" s="32"/>
      <c r="BC28" s="33"/>
      <c r="BE28" s="34"/>
      <c r="BG28" s="32"/>
      <c r="BH28" s="33"/>
      <c r="BK28" s="11">
        <v>5</v>
      </c>
      <c r="BL28" s="13" cm="1">
        <f t="array" ref="BL28">FRONTEND!$M11-$W$39*SUM($BL$15:$BP$20*BV9:BZ14)</f>
        <v>0.41873346339093009</v>
      </c>
      <c r="BM28" s="13" cm="1">
        <f t="array" ref="BM28">FRONTEND!$N11-$W$39*SUM($BL$15:$BP$20*BW9:CA14)</f>
        <v>-0.42573849564770444</v>
      </c>
      <c r="BN28" s="12" cm="1">
        <f t="array" ref="BN28">FRONTEND!$O11-$W$39*SUM($BL$15:$BP$20*BX9:CB14)</f>
        <v>0.29491139049989001</v>
      </c>
    </row>
    <row r="29" spans="3:74" ht="21" x14ac:dyDescent="0.35">
      <c r="C29" cm="1">
        <f t="array" ref="C29:C30">MMULT($L$23:$M$24,$C$14:$C$15)+$L$29:$L$30*MMULT($P$23:$Q$24,$L$7:$L$8)+$T$23:$T$24</f>
        <v>-0.95197821889074408</v>
      </c>
      <c r="D29" s="26">
        <f t="shared" ref="D29:D60" si="6">(EXP(C29)-EXP(-C29))/(EXP(C29)+EXP(-C29))</f>
        <v>-0.74067732269118158</v>
      </c>
      <c r="E29" s="26" cm="1">
        <f t="array" ref="E29:E30">O29:O30*L7:L8+(1-O29:O30)*D29:D30</f>
        <v>-0.4552620783747916</v>
      </c>
      <c r="H29" t="s">
        <v>145</v>
      </c>
      <c r="I29" t="s">
        <v>153</v>
      </c>
      <c r="J29">
        <v>1</v>
      </c>
      <c r="K29" cm="1">
        <f t="array" ref="K29:K30">MMULT($L$13:$M$14,$C$14:$C$15)+MMULT($P$13:$Q$14,$L$7:$L$8)+$T$13:$T$14</f>
        <v>3.988087614218065</v>
      </c>
      <c r="L29" s="26">
        <f t="shared" ref="L29:L60" si="7">1/(1+EXP(-K29))</f>
        <v>0.98180217247588075</v>
      </c>
      <c r="N29" cm="1">
        <f t="array" ref="N29:N30">MMULT($L$18:$M$19,$C$14:$C$15)+MMULT($P$18:$Q$19,$L$7:$L$8)+$T$18:$T$19</f>
        <v>-1.4851298595480626</v>
      </c>
      <c r="O29" s="26">
        <f t="shared" ref="O29:O60" si="8">1/(1+EXP(-N29))</f>
        <v>0.18465383435881236</v>
      </c>
      <c r="Q29" cm="1">
        <f t="array" ref="Q29:Q30">MMULT($L$23:$M$24,$C$14:$C$15)+MMULT($P$23:$Q$24,$L$29:$L$30*$L$7:$L$8)+$T$23:$T$24</f>
        <v>-0.76420633157134665</v>
      </c>
      <c r="R29" s="26">
        <f t="shared" ref="R29:R60" si="9">(EXP(Q29)-EXP(-Q29))/(EXP(Q29)+EXP(-Q29))</f>
        <v>-0.64354789833668269</v>
      </c>
      <c r="T29" s="42" cm="1">
        <f t="array" ref="T29:T30">O29:O30*L7:L8+(1-O29:O30)*R29:R30</f>
        <v>-0.37606797465641517</v>
      </c>
      <c r="V29" s="9">
        <v>2</v>
      </c>
      <c r="W29">
        <f t="shared" si="5"/>
        <v>0.74790871841668372</v>
      </c>
      <c r="X29" s="10" t="s">
        <v>11</v>
      </c>
      <c r="AD29" s="9">
        <v>9</v>
      </c>
      <c r="AE29">
        <v>1.0024099026230446</v>
      </c>
      <c r="AF29">
        <v>-0.94893028208407149</v>
      </c>
      <c r="AG29" s="10">
        <v>-0.90221690798092413</v>
      </c>
      <c r="AK29" s="39" t="s">
        <v>154</v>
      </c>
      <c r="AL29" s="30"/>
      <c r="AN29" s="31"/>
      <c r="AO29" s="31"/>
      <c r="AP29" s="31"/>
      <c r="AQ29" s="31"/>
      <c r="AR29" s="31"/>
      <c r="AS29" s="31"/>
      <c r="AT29" s="30"/>
      <c r="AU29" s="29" t="s">
        <v>154</v>
      </c>
      <c r="AW29" s="32"/>
      <c r="AX29" s="33"/>
      <c r="AZ29" s="34"/>
      <c r="BB29" s="32"/>
      <c r="BC29" s="33"/>
      <c r="BE29" s="34"/>
      <c r="BG29" s="32"/>
      <c r="BH29" s="33"/>
    </row>
    <row r="30" spans="3:74" x14ac:dyDescent="0.25">
      <c r="C30">
        <v>2.8410055911643446</v>
      </c>
      <c r="D30" s="28">
        <f t="shared" si="6"/>
        <v>0.99320973229730214</v>
      </c>
      <c r="E30" s="28">
        <v>0.60985406573770518</v>
      </c>
      <c r="H30" t="s">
        <v>155</v>
      </c>
      <c r="I30" t="s">
        <v>156</v>
      </c>
      <c r="J30">
        <v>2</v>
      </c>
      <c r="K30">
        <v>0.95656399454206531</v>
      </c>
      <c r="L30" s="28">
        <f t="shared" si="7"/>
        <v>0.72243333244892138</v>
      </c>
      <c r="N30">
        <v>-1.4205455686589383</v>
      </c>
      <c r="O30" s="28">
        <f t="shared" si="8"/>
        <v>0.19457606988500506</v>
      </c>
      <c r="Q30">
        <v>2.7351480896399418</v>
      </c>
      <c r="R30" s="28">
        <f t="shared" si="9"/>
        <v>0.99161532921281192</v>
      </c>
      <c r="T30" s="43">
        <v>0.60856989533920758</v>
      </c>
      <c r="V30" s="11">
        <v>3</v>
      </c>
      <c r="W30" s="13">
        <f t="shared" si="5"/>
        <v>0.87557624932731104</v>
      </c>
      <c r="X30" s="12" t="s">
        <v>12</v>
      </c>
      <c r="AD30" s="9">
        <v>10</v>
      </c>
      <c r="AE30">
        <v>0.48219641493750509</v>
      </c>
      <c r="AF30">
        <v>0.36294738088592748</v>
      </c>
      <c r="AG30" s="10">
        <v>-0.20404052173424919</v>
      </c>
      <c r="AJ30" t="s">
        <v>104</v>
      </c>
      <c r="AK30" s="30" t="s">
        <v>105</v>
      </c>
      <c r="AL30" s="30"/>
      <c r="AM30" t="s">
        <v>106</v>
      </c>
      <c r="AN30" s="31" t="s">
        <v>107</v>
      </c>
      <c r="AO30" s="31" t="s">
        <v>108</v>
      </c>
      <c r="AP30" s="31" t="s">
        <v>109</v>
      </c>
      <c r="AQ30" s="31" t="s">
        <v>110</v>
      </c>
      <c r="AR30" s="31" t="s">
        <v>111</v>
      </c>
      <c r="AS30" s="31" t="s">
        <v>112</v>
      </c>
      <c r="AT30" s="30"/>
      <c r="AU30" t="s">
        <v>113</v>
      </c>
      <c r="AW30" s="32" t="s">
        <v>115</v>
      </c>
      <c r="AX30" s="33"/>
      <c r="AY30" t="s">
        <v>117</v>
      </c>
      <c r="AZ30" s="34" t="s">
        <v>118</v>
      </c>
      <c r="BB30" s="32" t="s">
        <v>120</v>
      </c>
      <c r="BC30" s="33"/>
      <c r="BD30" t="s">
        <v>122</v>
      </c>
      <c r="BE30" s="34" t="s">
        <v>123</v>
      </c>
      <c r="BG30" s="32" t="s">
        <v>125</v>
      </c>
      <c r="BH30" s="33"/>
      <c r="BI30" t="s">
        <v>127</v>
      </c>
    </row>
    <row r="31" spans="3:74" ht="26.25" x14ac:dyDescent="0.4">
      <c r="C31" s="85" t="s">
        <v>157</v>
      </c>
      <c r="D31" s="85"/>
      <c r="E31" s="85"/>
      <c r="F31" s="85"/>
      <c r="AD31" s="9">
        <v>11</v>
      </c>
      <c r="AE31">
        <v>0.2490857027884123</v>
      </c>
      <c r="AF31">
        <v>0.48474231992758615</v>
      </c>
      <c r="AG31" s="10">
        <v>-4.1866695023647822E-3</v>
      </c>
      <c r="AK31" s="30">
        <v>1</v>
      </c>
      <c r="AL31" s="30"/>
      <c r="AM31">
        <v>1</v>
      </c>
      <c r="AN31" s="31">
        <v>1</v>
      </c>
      <c r="AO31" s="31">
        <v>1</v>
      </c>
      <c r="AP31" s="31">
        <v>1</v>
      </c>
      <c r="AQ31" s="31">
        <v>1</v>
      </c>
      <c r="AR31" s="31">
        <v>1</v>
      </c>
      <c r="AS31" s="31">
        <v>1</v>
      </c>
      <c r="AT31" s="30"/>
      <c r="AU31">
        <v>1</v>
      </c>
      <c r="AV31">
        <v>2</v>
      </c>
      <c r="AW31" s="32">
        <v>1</v>
      </c>
      <c r="AX31" s="33">
        <v>2</v>
      </c>
      <c r="AY31">
        <v>1</v>
      </c>
      <c r="AZ31" s="34">
        <v>1</v>
      </c>
      <c r="BA31">
        <v>2</v>
      </c>
      <c r="BB31" s="32">
        <v>1</v>
      </c>
      <c r="BC31" s="33">
        <v>2</v>
      </c>
      <c r="BD31">
        <v>1</v>
      </c>
      <c r="BE31" s="34">
        <v>1</v>
      </c>
      <c r="BF31">
        <v>2</v>
      </c>
      <c r="BG31" s="32">
        <v>1</v>
      </c>
      <c r="BH31" s="33">
        <v>2</v>
      </c>
      <c r="BI31">
        <v>1</v>
      </c>
      <c r="BL31" s="4" t="s">
        <v>64</v>
      </c>
    </row>
    <row r="32" spans="3:74" ht="26.25" x14ac:dyDescent="0.4">
      <c r="K32" s="29" t="s">
        <v>154</v>
      </c>
      <c r="V32" s="5"/>
      <c r="W32" s="16" t="s">
        <v>62</v>
      </c>
      <c r="X32" s="7"/>
      <c r="Y32" t="s">
        <v>63</v>
      </c>
      <c r="AD32" s="11">
        <v>12</v>
      </c>
      <c r="AE32" s="13">
        <v>-0.15660267156859406</v>
      </c>
      <c r="AF32" s="13">
        <v>-0.44361723886181681</v>
      </c>
      <c r="AG32" s="12">
        <v>1.2331744466989029E-2</v>
      </c>
      <c r="AJ32">
        <v>1</v>
      </c>
      <c r="AK32" s="37" cm="1">
        <f t="array" ref="AK32:AK33">AI94:AI95+_xlfn.ANCHORARRAY(AS26)</f>
        <v>-0.24679317003692425</v>
      </c>
      <c r="AL32" s="30"/>
      <c r="AM32" cm="1">
        <f t="array" ref="AM32:AM33">_xlfn.ANCHORARRAY(AK32)*(1-$O$35:$O$36)</f>
        <v>-0.11444662866636675</v>
      </c>
      <c r="AN32" s="31" cm="1">
        <f t="array" ref="AN32:AN33">_xlfn.ANCHORARRAY(AM32)*(1-$R$35:$R$36*$R$35:$R$36)</f>
        <v>-6.7118358634162947E-2</v>
      </c>
      <c r="AO32" s="31" cm="1">
        <f t="array" ref="AO32:AO33">_xlfn.ANCHORARRAY(AK32)*(_xlfn.ANCHORARRAY(T29)-$R$35:$R$36)</f>
        <v>-6.5894482150533729E-2</v>
      </c>
      <c r="AP32" s="31" cm="1">
        <f t="array" ref="AP32:AP33">_xlfn.ANCHORARRAY(AO32)*($O$35:$O$36*(1-$O$35:$O$36))</f>
        <v>-1.6386959355087154E-2</v>
      </c>
      <c r="AQ32" s="31" cm="1">
        <f t="array" ref="AQ32:AQ33">MMULT(TRANSPOSE($P$23:$Q$24),_xlfn.ANCHORARRAY(AN32))*_xlfn.ANCHORARRAY(T29)</f>
        <v>1.7102951210400549E-2</v>
      </c>
      <c r="AR32" s="31" cm="1">
        <f t="array" ref="AR32:AR33">_xlfn.ANCHORARRAY(AQ32)*($L$35:$L$36*(1-$L$35:$L$36))</f>
        <v>1.4910719950794399E-3</v>
      </c>
      <c r="AS32" s="31" cm="1">
        <f t="array" ref="AS32:AS33">_xlfn.ANCHORARRAY(AK32)*$O$35:$O$36+MMULT(TRANSPOSE($P$23:$Q$24),_xlfn.ANCHORARRAY(AN32))*$L$35:$L$36+MMULT(TRANSPOSE($P$18:$Q$19),_xlfn.ANCHORARRAY(AP32))+MMULT(TRANSPOSE($P$13:$Q$14),_xlfn.ANCHORARRAY(AR32))</f>
        <v>-0.17845954822079366</v>
      </c>
      <c r="AT32" s="30"/>
      <c r="AU32" cm="1">
        <f t="array" ref="AU32:AV33">MMULT(_xlfn.ANCHORARRAY(AN32),TRANSPOSE($D$14:$D$15))</f>
        <v>-0.21315282195132199</v>
      </c>
      <c r="AV32">
        <v>-5.6007696433735432E-2</v>
      </c>
      <c r="AW32" s="32" cm="1">
        <f t="array" ref="AW32:AX33">MMULT(_xlfn.ANCHORARRAY(AN32),TRANSPOSE($L$35:$L$36*_xlfn.ANCHORARRAY(T29)))</f>
        <v>2.2805477670779551E-2</v>
      </c>
      <c r="AX32" s="33">
        <v>-3.0031385321045156E-2</v>
      </c>
      <c r="AY32" cm="1">
        <f t="array" ref="AY32:AY33">_xlfn.ANCHORARRAY(AN32)</f>
        <v>-6.7118358634162947E-2</v>
      </c>
      <c r="AZ32" s="34" cm="1">
        <f t="array" ref="AZ32:BA33">MMULT(_xlfn.ANCHORARRAY(AP32),TRANSPOSE($D$14:$D$15))</f>
        <v>-5.2041299889007686E-2</v>
      </c>
      <c r="BA32">
        <v>-1.3674289176739914E-2</v>
      </c>
      <c r="BB32" s="32" cm="1">
        <f t="array" ref="BB32:BC33">MMULT(_xlfn.ANCHORARRAY(AP32),TRANSPOSE(_xlfn.ANCHORARRAY(T29)))</f>
        <v>6.1626106154446213E-3</v>
      </c>
      <c r="BC32" s="33">
        <v>-9.9726101396532384E-3</v>
      </c>
      <c r="BD32" cm="1">
        <f t="array" ref="BD32:BD33">_xlfn.ANCHORARRAY(AP32)</f>
        <v>-1.6386959355087154E-2</v>
      </c>
      <c r="BE32" s="34" cm="1">
        <f t="array" ref="BE32:BF33">MMULT(_xlfn.ANCHORARRAY(AR32),TRANSPOSE($D$14:$D$15))</f>
        <v>4.7353095330611699E-3</v>
      </c>
      <c r="BF32">
        <v>1.2442424004502778E-3</v>
      </c>
      <c r="BG32" s="32" cm="1">
        <f t="array" ref="BG32:BH33">MMULT(_xlfn.ANCHORARRAY(AR32),TRANSPOSE(_xlfn.ANCHORARRAY(T29)))</f>
        <v>-5.6074442525642519E-4</v>
      </c>
      <c r="BH32" s="33">
        <v>9.0742152798871823E-4</v>
      </c>
      <c r="BI32" cm="1">
        <f t="array" ref="BI32:BI33">_xlfn.ANCHORARRAY(AR32)</f>
        <v>1.4910719950794399E-3</v>
      </c>
      <c r="BL32" s="4" t="s">
        <v>21</v>
      </c>
      <c r="BT32">
        <v>0</v>
      </c>
      <c r="BU32">
        <v>0</v>
      </c>
      <c r="BV32">
        <v>0</v>
      </c>
    </row>
    <row r="33" spans="3:74" x14ac:dyDescent="0.25">
      <c r="C33" t="s">
        <v>145</v>
      </c>
      <c r="D33" s="25" t="s">
        <v>146</v>
      </c>
      <c r="E33" s="25" t="s">
        <v>147</v>
      </c>
      <c r="K33" t="s">
        <v>148</v>
      </c>
      <c r="L33" s="25" t="s">
        <v>150</v>
      </c>
      <c r="N33" t="s">
        <v>151</v>
      </c>
      <c r="O33" s="25" t="s">
        <v>150</v>
      </c>
      <c r="Q33" t="s">
        <v>145</v>
      </c>
      <c r="R33" s="25" t="s">
        <v>146</v>
      </c>
      <c r="T33" s="25" t="s">
        <v>147</v>
      </c>
      <c r="V33" s="9"/>
      <c r="W33">
        <v>1</v>
      </c>
      <c r="X33" s="22" t="s">
        <v>65</v>
      </c>
      <c r="AJ33">
        <v>2</v>
      </c>
      <c r="AK33" s="38">
        <v>0.16312854751110206</v>
      </c>
      <c r="AL33" s="30"/>
      <c r="AM33">
        <v>0.14273730861128564</v>
      </c>
      <c r="AN33" s="31">
        <v>7.3927736335579238E-4</v>
      </c>
      <c r="AO33" s="31">
        <v>-6.3430431301684825E-2</v>
      </c>
      <c r="AP33" s="31">
        <v>-6.9377531347023574E-3</v>
      </c>
      <c r="AQ33" s="31">
        <v>-2.9866180819244095E-2</v>
      </c>
      <c r="AR33" s="31">
        <v>-5.8139468228375285E-3</v>
      </c>
      <c r="AS33" s="31">
        <v>-3.3806468014977886E-2</v>
      </c>
      <c r="AT33" s="30"/>
      <c r="AU33">
        <v>2.3477787510109483E-3</v>
      </c>
      <c r="AV33">
        <v>6.1689861000397697E-4</v>
      </c>
      <c r="AW33" s="32">
        <v>-2.5119168206151361E-4</v>
      </c>
      <c r="AX33" s="33">
        <v>3.3078167896024251E-4</v>
      </c>
      <c r="AY33">
        <v>7.3927736335579238E-4</v>
      </c>
      <c r="AZ33" s="34">
        <v>-2.203274467309059E-2</v>
      </c>
      <c r="BA33">
        <v>-5.7892889428143267E-3</v>
      </c>
      <c r="BB33" s="32">
        <v>2.609066770033711E-3</v>
      </c>
      <c r="BC33" s="33">
        <v>-4.2221076990750731E-3</v>
      </c>
      <c r="BD33">
        <v>-6.9377531347023574E-3</v>
      </c>
      <c r="BE33" s="34">
        <v>-1.8463788405754671E-2</v>
      </c>
      <c r="BF33">
        <v>-4.8515156711478758E-3</v>
      </c>
      <c r="BG33" s="32">
        <v>2.1864392064246093E-3</v>
      </c>
      <c r="BH33" s="33">
        <v>-3.5381930094819532E-3</v>
      </c>
      <c r="BI33">
        <v>-5.8139468228375285E-3</v>
      </c>
      <c r="BL33" t="s">
        <v>43</v>
      </c>
      <c r="BM33" t="s">
        <v>81</v>
      </c>
      <c r="BT33">
        <v>0</v>
      </c>
      <c r="BU33" s="25" cm="1">
        <f t="array" ref="BU33:BU38">FRONTEND!$B$26:$B$31</f>
        <v>0.36548104119790437</v>
      </c>
      <c r="BV33">
        <v>0</v>
      </c>
    </row>
    <row r="34" spans="3:74" x14ac:dyDescent="0.25">
      <c r="C34">
        <v>1</v>
      </c>
      <c r="D34" s="26">
        <v>1</v>
      </c>
      <c r="E34" s="26">
        <v>1</v>
      </c>
      <c r="K34">
        <v>1</v>
      </c>
      <c r="L34" s="26">
        <v>1</v>
      </c>
      <c r="N34">
        <v>1</v>
      </c>
      <c r="O34" s="26">
        <v>1</v>
      </c>
      <c r="Q34">
        <v>1</v>
      </c>
      <c r="R34" s="26">
        <v>1</v>
      </c>
      <c r="T34" s="26">
        <v>1</v>
      </c>
      <c r="V34" s="23" t="s">
        <v>68</v>
      </c>
      <c r="W34" s="1">
        <f>((2/(1+DATA!$I$16))*X34*LN(W28)+((2*DATA!$I$16)/(1+DATA!$I$16))*(1-X34)*LN(1-W28))</f>
        <v>-1.4510754106503125</v>
      </c>
      <c r="X34" s="10">
        <v>1</v>
      </c>
      <c r="AD34" s="5"/>
      <c r="AE34" s="8" t="s">
        <v>23</v>
      </c>
      <c r="AF34" t="s">
        <v>69</v>
      </c>
      <c r="AK34" s="30"/>
      <c r="AL34" s="30"/>
      <c r="AN34" s="31"/>
      <c r="AO34" s="31"/>
      <c r="AP34" s="31"/>
      <c r="AQ34" s="31"/>
      <c r="AR34" s="31"/>
      <c r="AS34" s="31"/>
      <c r="AT34" s="30"/>
      <c r="AW34" s="32"/>
      <c r="AX34" s="33"/>
      <c r="AZ34" s="34"/>
      <c r="BB34" s="32"/>
      <c r="BC34" s="33"/>
      <c r="BE34" s="34"/>
      <c r="BG34" s="32"/>
      <c r="BH34" s="33"/>
      <c r="BL34">
        <v>1</v>
      </c>
      <c r="BT34">
        <v>0</v>
      </c>
      <c r="BU34" s="26">
        <v>-0.24318936518565337</v>
      </c>
      <c r="BV34">
        <v>0</v>
      </c>
    </row>
    <row r="35" spans="3:74" ht="21" x14ac:dyDescent="0.35">
      <c r="C35" cm="1">
        <f t="array" ref="C35:C36">MMULT($L$23:$M$24,$D$14:$D$15)+$L$35:$L$36*MMULT($P$23:$Q$24,_xlfn.ANCHORARRAY(T29))+$T$23:$T$24</f>
        <v>-0.68750817528933572</v>
      </c>
      <c r="D35" s="26">
        <f t="shared" si="6"/>
        <v>-0.59637882310790036</v>
      </c>
      <c r="E35" s="26" cm="1">
        <f t="array" ref="E35:E36">O35:O36*_xlfn.ANCHORARRAY(T29)+(1-O35:O36)*D35:D36</f>
        <v>-0.47823382414133786</v>
      </c>
      <c r="J35">
        <v>1</v>
      </c>
      <c r="K35" cm="1">
        <f t="array" ref="K35:K36">MMULT($L$13:$M$14,$D$14:$D$15)+MMULT($P$13:$Q$14,_xlfn.ANCHORARRAY(T29))+$T$13:$T$14</f>
        <v>2.2368127458333356</v>
      </c>
      <c r="L35" s="26">
        <f t="shared" si="7"/>
        <v>0.90350694377073815</v>
      </c>
      <c r="N35" cm="1">
        <f t="array" ref="N35:N36">MMULT($L$18:$M$19,$D$14:$D$15)+MMULT($P$18:$Q$19,_xlfn.ANCHORARRAY(T29))+$T$18:$T$19</f>
        <v>0.14531520674442189</v>
      </c>
      <c r="O35" s="26">
        <f t="shared" si="8"/>
        <v>0.53626500826889301</v>
      </c>
      <c r="Q35" cm="1">
        <f t="array" ref="Q35:Q36">MMULT($L$23:$M$24,$D$14:$D$15)+MMULT($P$23:$Q$24,$L$35:$L$36*_xlfn.ANCHORARRAY(T29))+$T$23:$T$24</f>
        <v>-0.76339244167171327</v>
      </c>
      <c r="R35" s="26">
        <f t="shared" si="9"/>
        <v>-0.64307083434120649</v>
      </c>
      <c r="T35" s="42" cm="1">
        <f t="array" ref="T35:T36">O35:O36*_xlfn.ANCHORARRAY(T29)+(1-O35:O36)*R35:R36</f>
        <v>-0.49988654358452378</v>
      </c>
      <c r="V35" s="9">
        <v>2</v>
      </c>
      <c r="W35" s="1">
        <f>((2/(1+DATA!$I$17))*X35*LN(W29)+((2*DATA!$I$17)/(1+DATA!$I$17))*(1-X35)*LN(1-W29))</f>
        <v>-1.0498773550890645</v>
      </c>
      <c r="X35" s="10">
        <v>0</v>
      </c>
      <c r="AD35" s="9"/>
      <c r="AE35" s="10">
        <v>1</v>
      </c>
      <c r="AK35" s="39" t="s">
        <v>135</v>
      </c>
      <c r="AL35" s="30"/>
      <c r="AN35" s="31"/>
      <c r="AO35" s="31"/>
      <c r="AP35" s="31"/>
      <c r="AQ35" s="31"/>
      <c r="AR35" s="31"/>
      <c r="AS35" s="31"/>
      <c r="AT35" s="30"/>
      <c r="AU35" s="29" t="s">
        <v>135</v>
      </c>
      <c r="AW35" s="32"/>
      <c r="AX35" s="33"/>
      <c r="AZ35" s="34"/>
      <c r="BB35" s="32"/>
      <c r="BC35" s="33"/>
      <c r="BE35" s="34"/>
      <c r="BG35" s="32"/>
      <c r="BH35" s="33"/>
      <c r="BK35">
        <v>1</v>
      </c>
      <c r="BL35" s="20">
        <f t="shared" ref="BL35:BL40" si="10">AV56*IF(AV56&gt;0,1,0)</f>
        <v>0</v>
      </c>
      <c r="BT35">
        <v>0</v>
      </c>
      <c r="BU35" s="26">
        <v>8.6633902217030781E-2</v>
      </c>
      <c r="BV35">
        <v>0</v>
      </c>
    </row>
    <row r="36" spans="3:74" x14ac:dyDescent="0.25">
      <c r="C36">
        <v>3.2913092036921299</v>
      </c>
      <c r="D36" s="28">
        <f t="shared" si="6"/>
        <v>0.99723538664649158</v>
      </c>
      <c r="E36" s="28">
        <v>0.94865179409766454</v>
      </c>
      <c r="J36">
        <v>2</v>
      </c>
      <c r="K36">
        <v>1.0213249336317674</v>
      </c>
      <c r="L36" s="28">
        <f t="shared" si="7"/>
        <v>0.73523060011717456</v>
      </c>
      <c r="N36">
        <v>-1.9459005952748172</v>
      </c>
      <c r="O36" s="28">
        <f t="shared" si="8"/>
        <v>0.12500104494848546</v>
      </c>
      <c r="Q36">
        <v>3.3233938589685037</v>
      </c>
      <c r="R36" s="28">
        <f t="shared" si="9"/>
        <v>0.99740699509556952</v>
      </c>
      <c r="T36" s="43">
        <v>0.94880195131128564</v>
      </c>
      <c r="V36" s="9">
        <v>3</v>
      </c>
      <c r="W36" s="1">
        <f>((2/(1+DATA!$I$18))*X36*LN(W30)+((2*DATA!$I$18)/(1+DATA!$I$18))*(1-X36)*LN(1-W30))</f>
        <v>-0.20937569738836534</v>
      </c>
      <c r="X36" s="10">
        <v>1</v>
      </c>
      <c r="AD36" s="9">
        <v>1</v>
      </c>
      <c r="AE36" s="10">
        <f t="shared" ref="AE36:AE38" si="11">Z22-$W$39*$AE14</f>
        <v>1.0331610434417204</v>
      </c>
      <c r="AJ36" t="s">
        <v>104</v>
      </c>
      <c r="AK36" s="30" t="s">
        <v>105</v>
      </c>
      <c r="AL36" s="30"/>
      <c r="AM36" t="s">
        <v>106</v>
      </c>
      <c r="AN36" s="31" t="s">
        <v>107</v>
      </c>
      <c r="AO36" s="31" t="s">
        <v>108</v>
      </c>
      <c r="AP36" s="31" t="s">
        <v>109</v>
      </c>
      <c r="AQ36" s="31" t="s">
        <v>110</v>
      </c>
      <c r="AR36" s="31" t="s">
        <v>111</v>
      </c>
      <c r="AS36" s="44" t="s">
        <v>112</v>
      </c>
      <c r="AT36" s="30"/>
      <c r="AU36" t="s">
        <v>113</v>
      </c>
      <c r="AW36" s="32" t="s">
        <v>115</v>
      </c>
      <c r="AX36" s="33"/>
      <c r="AY36" t="s">
        <v>117</v>
      </c>
      <c r="AZ36" s="34" t="s">
        <v>118</v>
      </c>
      <c r="BB36" s="32" t="s">
        <v>120</v>
      </c>
      <c r="BC36" s="33"/>
      <c r="BD36" t="s">
        <v>122</v>
      </c>
      <c r="BE36" s="34" t="s">
        <v>123</v>
      </c>
      <c r="BG36" s="32" t="s">
        <v>125</v>
      </c>
      <c r="BH36" s="33"/>
      <c r="BI36" t="s">
        <v>127</v>
      </c>
      <c r="BK36">
        <v>2</v>
      </c>
      <c r="BL36" s="20">
        <f t="shared" si="10"/>
        <v>0</v>
      </c>
      <c r="BT36">
        <v>0</v>
      </c>
      <c r="BU36" s="26">
        <v>-0.84368679885201792</v>
      </c>
      <c r="BV36">
        <v>0</v>
      </c>
    </row>
    <row r="37" spans="3:74" x14ac:dyDescent="0.25">
      <c r="V37" s="24" t="s">
        <v>6</v>
      </c>
      <c r="W37" s="13">
        <f>-1*SUM(W34:W36)/3</f>
        <v>0.90344282104258078</v>
      </c>
      <c r="X37" s="12"/>
      <c r="AD37" s="9">
        <v>2</v>
      </c>
      <c r="AE37" s="10">
        <f t="shared" si="11"/>
        <v>0.9948420088385056</v>
      </c>
      <c r="AK37" s="30">
        <v>1</v>
      </c>
      <c r="AL37" s="30"/>
      <c r="AM37">
        <v>1</v>
      </c>
      <c r="AN37" s="31">
        <v>1</v>
      </c>
      <c r="AO37" s="31">
        <v>1</v>
      </c>
      <c r="AP37" s="31">
        <v>1</v>
      </c>
      <c r="AQ37" s="31">
        <v>1</v>
      </c>
      <c r="AR37" s="31">
        <v>1</v>
      </c>
      <c r="AS37" s="44">
        <v>1</v>
      </c>
      <c r="AT37" s="30"/>
      <c r="AU37">
        <v>1</v>
      </c>
      <c r="AV37">
        <v>2</v>
      </c>
      <c r="AW37" s="32">
        <v>1</v>
      </c>
      <c r="AX37" s="33">
        <v>2</v>
      </c>
      <c r="AY37">
        <v>1</v>
      </c>
      <c r="AZ37" s="34">
        <v>1</v>
      </c>
      <c r="BA37">
        <v>2</v>
      </c>
      <c r="BB37" s="32">
        <v>1</v>
      </c>
      <c r="BC37" s="33">
        <v>2</v>
      </c>
      <c r="BD37">
        <v>1</v>
      </c>
      <c r="BE37" s="34">
        <v>1</v>
      </c>
      <c r="BF37">
        <v>2</v>
      </c>
      <c r="BG37" s="32">
        <v>1</v>
      </c>
      <c r="BH37" s="33">
        <v>2</v>
      </c>
      <c r="BI37">
        <v>1</v>
      </c>
      <c r="BK37">
        <v>3</v>
      </c>
      <c r="BL37" s="20">
        <f t="shared" si="10"/>
        <v>0</v>
      </c>
      <c r="BT37">
        <v>0</v>
      </c>
      <c r="BU37" s="26">
        <v>0.17422066566536737</v>
      </c>
      <c r="BV37">
        <v>0</v>
      </c>
    </row>
    <row r="38" spans="3:74" ht="21" x14ac:dyDescent="0.35">
      <c r="K38" s="29" t="s">
        <v>143</v>
      </c>
      <c r="AD38" s="11">
        <v>3</v>
      </c>
      <c r="AE38" s="12">
        <f t="shared" si="11"/>
        <v>1.0074368218792871</v>
      </c>
      <c r="AJ38">
        <v>1</v>
      </c>
      <c r="AK38" s="37" cm="1">
        <f t="array" ref="AK38:AK39">AJ94:AJ95+_xlfn.ANCHORARRAY(AS32)</f>
        <v>-0.17526758003673731</v>
      </c>
      <c r="AL38" s="30"/>
      <c r="AM38" cm="1">
        <f t="array" ref="AM38:AM39">_xlfn.ANCHORARRAY(AK38)*(1-$O$29:$O$30)</f>
        <v>-0.14290374934416375</v>
      </c>
      <c r="AN38" s="31" cm="1">
        <f t="array" ref="AN38:AN39">_xlfn.ANCHORARRAY(AM38)*(1-$R$29:$R$30*$R$29:$R$30)</f>
        <v>-8.3719604592551539E-2</v>
      </c>
      <c r="AO38" s="31" cm="1">
        <f t="array" ref="AO38:AO39">_xlfn.ANCHORARRAY(AK38)*(L7:L8-$R$29:$R$30)</f>
        <v>-0.2538834847087722</v>
      </c>
      <c r="AP38" s="31" cm="1">
        <f t="array" ref="AP38:AP39">_xlfn.ANCHORARRAY(AO38)*($O$29:$O$30*(1-$O$29:$O$30))</f>
        <v>-3.8223883968201013E-2</v>
      </c>
      <c r="AQ38" s="31" cm="1">
        <f t="array" ref="AQ38:AQ39">MMULT(TRANSPOSE($P$23:$Q$24),_xlfn.ANCHORARRAY(AN38))*$L$7:$L$8</f>
        <v>-4.5492445088987338E-2</v>
      </c>
      <c r="AR38" s="31" cm="1">
        <f t="array" ref="AR38:AR39">_xlfn.ANCHORARRAY(AQ38)*($L$29:$L$30*(1-$L$29:$L$30))</f>
        <v>-8.1279834911099824E-4</v>
      </c>
      <c r="AS38" s="44" cm="1">
        <f t="array" ref="AS38:AS39">_xlfn.ANCHORARRAY(AK38)*$O$29:$O$30+MMULT(TRANSPOSE($P$23:$Q$24),_xlfn.ANCHORARRAY(AN38))*$L$29:$L$30+MMULT(TRANSPOSE($P$18:$Q$19),_xlfn.ANCHORARRAY(AP38))+MMULT(TRANSPOSE($P$13:$Q$14),_xlfn.ANCHORARRAY(AR38))</f>
        <v>-9.9744598978308022E-2</v>
      </c>
      <c r="AT38" s="30"/>
      <c r="AU38" cm="1">
        <f t="array" ref="AU38:AV39">MMULT(_xlfn.ANCHORARRAY(AN38),TRANSPOSE($C$14:$C$15))</f>
        <v>-0.33736218468857804</v>
      </c>
      <c r="AV38">
        <v>-0.11939957956429946</v>
      </c>
      <c r="AW38" s="32" cm="1">
        <f t="array" ref="AW38:AX39">MMULT(_xlfn.ANCHORARRAY(AN38),TRANSPOSE($L$29:$L$30*L7:L8))</f>
        <v>-6.6167852182570014E-2</v>
      </c>
      <c r="AX38" s="33">
        <v>5.9090750779549658E-2</v>
      </c>
      <c r="AY38" cm="1">
        <f t="array" ref="AY38:AY39">_xlfn.ANCHORARRAY(AN38)</f>
        <v>-8.3719604592551539E-2</v>
      </c>
      <c r="AZ38" s="34" cm="1">
        <f t="array" ref="AZ38:BA39">MMULT(_xlfn.ANCHORARRAY(AP38),TRANSPOSE($C$14:$C$15))</f>
        <v>-0.15402954977575575</v>
      </c>
      <c r="BA38">
        <v>-5.451430041182749E-2</v>
      </c>
      <c r="BB38" s="32" cm="1">
        <f t="array" ref="BB38:BC39">MMULT(_xlfn.ANCHORARRAY(AP38),TRANSPOSE(L7:L8))</f>
        <v>-3.0770226594401817E-2</v>
      </c>
      <c r="BC38" s="33">
        <v>3.7344734636932386E-2</v>
      </c>
      <c r="BD38" cm="1">
        <f t="array" ref="BD38:BD39">_xlfn.ANCHORARRAY(AP38)</f>
        <v>-3.8223883968201013E-2</v>
      </c>
      <c r="BE38" s="34" cm="1">
        <f t="array" ref="BE38:BF39">MMULT(_xlfn.ANCHORARRAY(AR38),TRANSPOSE($C$14:$C$15))</f>
        <v>-3.2753072366009709E-3</v>
      </c>
      <c r="BF38">
        <v>-1.1592001852699164E-3</v>
      </c>
      <c r="BG38" s="32" cm="1">
        <f t="array" ref="BG38:BH39">MMULT(_xlfn.ANCHORARRAY(AR38),TRANSPOSE(L7:L8))</f>
        <v>-6.5430267103435368E-4</v>
      </c>
      <c r="BH38" s="33">
        <v>7.9410398708144522E-4</v>
      </c>
      <c r="BI38" cm="1">
        <f t="array" ref="BI38:BI39">_xlfn.ANCHORARRAY(AR38)</f>
        <v>-8.1279834911099824E-4</v>
      </c>
      <c r="BK38">
        <v>4</v>
      </c>
      <c r="BL38" s="20">
        <f t="shared" si="10"/>
        <v>0</v>
      </c>
      <c r="BT38">
        <v>0</v>
      </c>
      <c r="BU38" s="28">
        <v>0.46054055495736873</v>
      </c>
      <c r="BV38">
        <v>0</v>
      </c>
    </row>
    <row r="39" spans="3:74" x14ac:dyDescent="0.25">
      <c r="C39" t="s">
        <v>145</v>
      </c>
      <c r="D39" s="25" t="s">
        <v>146</v>
      </c>
      <c r="E39" s="25" t="s">
        <v>147</v>
      </c>
      <c r="K39" t="s">
        <v>148</v>
      </c>
      <c r="L39" s="25" t="s">
        <v>150</v>
      </c>
      <c r="N39" t="s">
        <v>151</v>
      </c>
      <c r="O39" s="25" t="s">
        <v>150</v>
      </c>
      <c r="Q39" t="s">
        <v>145</v>
      </c>
      <c r="R39" s="25" t="s">
        <v>146</v>
      </c>
      <c r="T39" s="25" t="s">
        <v>147</v>
      </c>
      <c r="V39" s="2" t="s">
        <v>73</v>
      </c>
      <c r="W39">
        <v>0.1</v>
      </c>
      <c r="AJ39">
        <v>2</v>
      </c>
      <c r="AK39" s="38">
        <v>3.7069651908210613E-2</v>
      </c>
      <c r="AL39" s="30"/>
      <c r="AM39">
        <v>2.9856784727905813E-2</v>
      </c>
      <c r="AN39" s="31">
        <v>4.9857960870949749E-4</v>
      </c>
      <c r="AO39" s="31">
        <v>-7.2975884995086379E-2</v>
      </c>
      <c r="AP39" s="31">
        <v>-1.1436505060171487E-2</v>
      </c>
      <c r="AQ39" s="31">
        <v>6.0175376742570952E-2</v>
      </c>
      <c r="AR39" s="31">
        <v>1.2066571899853804E-2</v>
      </c>
      <c r="AS39" s="44">
        <v>-7.0101509386796518E-2</v>
      </c>
      <c r="AT39" s="30"/>
      <c r="AU39">
        <v>2.0091101344066457E-3</v>
      </c>
      <c r="AV39">
        <v>7.1106637386750488E-4</v>
      </c>
      <c r="AW39" s="32">
        <v>3.9405276710144317E-4</v>
      </c>
      <c r="AX39" s="33">
        <v>-3.5190614606222663E-4</v>
      </c>
      <c r="AY39">
        <v>4.9857960870949749E-4</v>
      </c>
      <c r="AZ39" s="34">
        <v>-4.608531479668139E-2</v>
      </c>
      <c r="BA39">
        <v>-1.6310563129331209E-2</v>
      </c>
      <c r="BB39" s="32">
        <v>-9.2063865734380475E-3</v>
      </c>
      <c r="BC39" s="33">
        <v>1.1173465443787542E-2</v>
      </c>
      <c r="BD39">
        <v>-1.1436505060171487E-2</v>
      </c>
      <c r="BE39" s="34">
        <v>4.8624274775882791E-2</v>
      </c>
      <c r="BF39">
        <v>1.7209154518069907E-2</v>
      </c>
      <c r="BG39" s="32">
        <v>9.7135903793823131E-3</v>
      </c>
      <c r="BH39" s="33">
        <v>-1.1789040746157166E-2</v>
      </c>
      <c r="BI39">
        <v>1.2066571899853804E-2</v>
      </c>
      <c r="BK39">
        <v>5</v>
      </c>
      <c r="BL39" s="20">
        <f t="shared" si="10"/>
        <v>0</v>
      </c>
      <c r="BT39">
        <v>0</v>
      </c>
      <c r="BU39">
        <v>0</v>
      </c>
      <c r="BV39">
        <v>0</v>
      </c>
    </row>
    <row r="40" spans="3:74" x14ac:dyDescent="0.25">
      <c r="C40">
        <v>1</v>
      </c>
      <c r="D40" s="26">
        <v>1</v>
      </c>
      <c r="E40" s="26">
        <v>1</v>
      </c>
      <c r="K40">
        <v>1</v>
      </c>
      <c r="L40" s="26">
        <v>1</v>
      </c>
      <c r="N40">
        <v>1</v>
      </c>
      <c r="O40" s="26">
        <v>1</v>
      </c>
      <c r="Q40">
        <v>1</v>
      </c>
      <c r="R40" s="26">
        <v>1</v>
      </c>
      <c r="T40" s="26">
        <v>1</v>
      </c>
      <c r="AE40" t="s">
        <v>74</v>
      </c>
      <c r="BK40">
        <v>6</v>
      </c>
      <c r="BL40" s="20">
        <f t="shared" si="10"/>
        <v>3.6366550358036733E-3</v>
      </c>
    </row>
    <row r="41" spans="3:74" x14ac:dyDescent="0.25">
      <c r="C41" cm="1">
        <f t="array" ref="C41:C42">MMULT($L$23:$M$24,$E$14:$E$15)+$L$41:$L$42*MMULT($P$23:$Q$24,_xlfn.ANCHORARRAY(T35))+$T$23:$T$24</f>
        <v>0.24947847555291641</v>
      </c>
      <c r="D41" s="26">
        <f t="shared" si="6"/>
        <v>0.24442835909692123</v>
      </c>
      <c r="E41" s="26" cm="1">
        <f t="array" ref="E41:E42">O41:O42*_xlfn.ANCHORARRAY(T35)+(1-O41:O42)*D41:D42</f>
        <v>-0.25163676061187967</v>
      </c>
      <c r="J41">
        <v>1</v>
      </c>
      <c r="K41" cm="1">
        <f t="array" ref="K41:K42">MMULT($L$13:$M$14,$E$14:$E$15)+MMULT($P$13:$Q$14,_xlfn.ANCHORARRAY(T35))+$T$13:$T$14</f>
        <v>2.0101495308497341</v>
      </c>
      <c r="L41" s="26">
        <f t="shared" si="7"/>
        <v>0.8818586018035709</v>
      </c>
      <c r="N41" cm="1">
        <f t="array" ref="N41:N42">MMULT($L$18:$M$19,$E$14:$E$15)+MMULT($P$18:$Q$19,_xlfn.ANCHORARRAY(T35))+$T$18:$T$19</f>
        <v>0.69227177914679672</v>
      </c>
      <c r="O41" s="26">
        <f t="shared" si="8"/>
        <v>0.66647210464508044</v>
      </c>
      <c r="Q41" cm="1">
        <f t="array" ref="Q41:Q42">MMULT($L$23:$M$24,$E$14:$E$15)+MMULT($P$23:$Q$24,$L$41:$L$42*_xlfn.ANCHORARRAY(T35))+$T$23:$T$24</f>
        <v>0.25794025714278734</v>
      </c>
      <c r="R41" s="26">
        <f t="shared" si="9"/>
        <v>0.2523679786547508</v>
      </c>
      <c r="T41" s="42" cm="1">
        <f t="array" ref="T41:T42">O41:O42*_xlfn.ANCHORARRAY(T35)+(1-O41:O42)*R41:R42</f>
        <v>-0.24898867601083799</v>
      </c>
      <c r="AE41">
        <v>1</v>
      </c>
      <c r="AF41" t="s">
        <v>75</v>
      </c>
      <c r="AU41" t="s">
        <v>158</v>
      </c>
      <c r="AY41" t="s">
        <v>99</v>
      </c>
      <c r="BD41" t="s">
        <v>100</v>
      </c>
      <c r="BI41" t="s">
        <v>101</v>
      </c>
    </row>
    <row r="42" spans="3:74" x14ac:dyDescent="0.25">
      <c r="C42">
        <v>4.6158058387275904</v>
      </c>
      <c r="D42" s="28">
        <f t="shared" si="6"/>
        <v>0.99980422849848938</v>
      </c>
      <c r="E42" s="28">
        <v>0.997452552931271</v>
      </c>
      <c r="J42">
        <v>2</v>
      </c>
      <c r="K42">
        <v>2.1311508174523484</v>
      </c>
      <c r="L42" s="28">
        <f t="shared" si="7"/>
        <v>0.8938942098012358</v>
      </c>
      <c r="N42">
        <v>-3.0295360934309912</v>
      </c>
      <c r="O42" s="28">
        <f t="shared" si="8"/>
        <v>4.6109226821119835E-2</v>
      </c>
      <c r="Q42">
        <v>4.6127555044172714</v>
      </c>
      <c r="R42" s="28">
        <f t="shared" si="9"/>
        <v>0.99980303062886977</v>
      </c>
      <c r="T42" s="43">
        <v>0.99745141029449336</v>
      </c>
      <c r="AD42">
        <v>1</v>
      </c>
      <c r="AE42" s="17" cm="1">
        <f t="array" ref="AE42">SUM(MMULT(TRANSPOSE($AE$14:$AE$16),TRANSPOSE(Z7:AB7)))</f>
        <v>6.7684151739132142E-2</v>
      </c>
      <c r="AT42" s="5"/>
      <c r="AU42" s="6" t="s">
        <v>113</v>
      </c>
      <c r="AV42" s="7" t="s">
        <v>114</v>
      </c>
      <c r="AW42" s="5" t="s">
        <v>115</v>
      </c>
      <c r="AX42" s="7" t="s">
        <v>116</v>
      </c>
      <c r="AY42" s="25" t="s">
        <v>117</v>
      </c>
      <c r="AZ42" s="5" t="s">
        <v>118</v>
      </c>
      <c r="BA42" s="7" t="s">
        <v>119</v>
      </c>
      <c r="BB42" s="5" t="s">
        <v>120</v>
      </c>
      <c r="BC42" s="7" t="s">
        <v>121</v>
      </c>
      <c r="BD42" s="25" t="s">
        <v>122</v>
      </c>
      <c r="BE42" s="5" t="s">
        <v>123</v>
      </c>
      <c r="BF42" s="7" t="s">
        <v>124</v>
      </c>
      <c r="BG42" s="5" t="s">
        <v>125</v>
      </c>
      <c r="BH42" s="7" t="s">
        <v>126</v>
      </c>
      <c r="BI42" s="25" t="s">
        <v>127</v>
      </c>
      <c r="BK42" s="5"/>
      <c r="BL42" s="8" t="s">
        <v>22</v>
      </c>
      <c r="BM42" t="s">
        <v>83</v>
      </c>
      <c r="BN42" s="5"/>
      <c r="BO42" s="8" t="s">
        <v>23</v>
      </c>
      <c r="BP42" t="s">
        <v>84</v>
      </c>
    </row>
    <row r="43" spans="3:74" x14ac:dyDescent="0.25">
      <c r="AD43">
        <v>2</v>
      </c>
      <c r="AE43" s="17" cm="1">
        <f t="array" ref="AE43">SUM(MMULT(TRANSPOSE($AE$14:$AE$16),TRANSPOSE(Z8:AB8)))</f>
        <v>0.23760975923592398</v>
      </c>
      <c r="AT43" s="9"/>
      <c r="AU43">
        <v>1</v>
      </c>
      <c r="AV43" s="10">
        <v>2</v>
      </c>
      <c r="AW43" s="9">
        <v>1</v>
      </c>
      <c r="AX43" s="10">
        <v>2</v>
      </c>
      <c r="AY43" s="26">
        <v>1</v>
      </c>
      <c r="AZ43" s="9">
        <v>1</v>
      </c>
      <c r="BA43" s="10">
        <v>2</v>
      </c>
      <c r="BB43" s="9">
        <v>1</v>
      </c>
      <c r="BC43" s="10">
        <v>2</v>
      </c>
      <c r="BD43" s="26">
        <v>1</v>
      </c>
      <c r="BE43" s="9">
        <v>1</v>
      </c>
      <c r="BF43" s="10">
        <v>2</v>
      </c>
      <c r="BG43" s="9">
        <v>1</v>
      </c>
      <c r="BH43" s="10">
        <v>2</v>
      </c>
      <c r="BI43" s="26">
        <v>1</v>
      </c>
      <c r="BK43" s="9"/>
      <c r="BL43" s="10">
        <v>1</v>
      </c>
      <c r="BN43" s="9"/>
      <c r="BO43" s="10">
        <v>1</v>
      </c>
    </row>
    <row r="44" spans="3:74" ht="21" x14ac:dyDescent="0.35">
      <c r="K44" s="29" t="s">
        <v>139</v>
      </c>
      <c r="AD44">
        <v>3</v>
      </c>
      <c r="AE44" s="17" cm="1">
        <f t="array" ref="AE44">SUM(MMULT(TRANSPOSE($AE$14:$AE$16),TRANSPOSE(Z9:AB9)))</f>
        <v>0.23068995623646613</v>
      </c>
      <c r="AT44" s="9">
        <v>1</v>
      </c>
      <c r="AU44">
        <f t="shared" ref="AU44:AU45" si="12">L23-$W$39*SUM(AU8,AU14,AU20,AU26,AU32,AU38)</f>
        <v>-0.42749961362274946</v>
      </c>
      <c r="AV44" s="10">
        <f t="shared" ref="AV44:AV45" si="13">M23-$W$39*SUM(AV8,AV14,AV20,AV26,AV32,AV38)</f>
        <v>0.92091973492418233</v>
      </c>
      <c r="AW44" s="9">
        <f t="shared" ref="AW44:AW45" si="14">P23-$W$39*SUM(AW8,AW14,AW20,AW26,AW32,AW38)</f>
        <v>0.67331460452793312</v>
      </c>
      <c r="AX44" s="10">
        <f t="shared" ref="AX44:AX45" si="15">Q23-$W$39*SUM(AX8,AX14,AX20,AX26,AX32,AX38)</f>
        <v>0.74475465416810116</v>
      </c>
      <c r="AY44" s="26">
        <f t="shared" ref="AY44:AY45" si="16">T23-$W$39*SUM(AY8,AY14,AY20,AY26,AY32,AY38)</f>
        <v>2.3422357845946901E-2</v>
      </c>
      <c r="AZ44" s="9">
        <f t="shared" ref="AZ44:AZ45" si="17">L18-$W$39*SUM(AZ8,AZ14,AZ20,AZ26,AZ32,AZ38)</f>
        <v>-0.20280343167832765</v>
      </c>
      <c r="BA44" s="10">
        <f t="shared" ref="BA44:BA45" si="18">M18-$W$39*SUM(BA8,BA14,BA20,BA26,BA32,BA38)</f>
        <v>0.24844528565376828</v>
      </c>
      <c r="BB44" s="9">
        <f t="shared" ref="BB44:BB45" si="19">P18-$W$39*SUM(BB8,BB14,BB20,BB26,BB32,BB38)</f>
        <v>-8.8119841366364662E-3</v>
      </c>
      <c r="BC44" s="10">
        <f t="shared" ref="BC44:BC45" si="20">Q18-$W$39*SUM(BC8,BC14,BC20,BC26,BC32,BC38)</f>
        <v>0.990850621118609</v>
      </c>
      <c r="BD44" s="26">
        <f t="shared" ref="BD44:BD45" si="21">T18-$W$39*SUM(BD8,BD14,BD20,BD26,BD32,BD38)</f>
        <v>1.8628774426806779E-3</v>
      </c>
      <c r="BE44" s="9">
        <f t="shared" ref="BE44:BE45" si="22">L13-W39*SUM(BE8,BE14,BE20,BE26,BE32,BE38)</f>
        <v>0.87743916105303343</v>
      </c>
      <c r="BF44" s="10">
        <f t="shared" ref="BF44:BF45" si="23">M13-X39*SUM(BF8,BF14,BF20,BF26,BF32,BF38)</f>
        <v>-0.13900000000000001</v>
      </c>
      <c r="BG44" s="9">
        <f t="shared" ref="BG44:BG45" si="24">P13-$W$39*SUM(BG8,BG14,BG20,BG26,BG32,BG38)</f>
        <v>-0.25281714756735807</v>
      </c>
      <c r="BH44" s="10">
        <f t="shared" ref="BH44:BH45" si="25">Q13-$W$39*SUM(BH8,BH14,BH20,BH26,BH32,BH38)</f>
        <v>-0.87231965828074509</v>
      </c>
      <c r="BI44" s="26">
        <f t="shared" ref="BI44:BI45" si="26">T13-$W$39*SUM(BI8,BI14,BI20,BI26,BI32,BI38)</f>
        <v>-2.2329262403014379E-4</v>
      </c>
      <c r="BK44" s="9">
        <v>1</v>
      </c>
      <c r="BL44" s="10" cm="1">
        <f t="array" ref="BL44">FRONTEND!T7-$W39*SUM($BL$35:$BL$40*BU32:BU37)</f>
        <v>0.12193664195388669</v>
      </c>
      <c r="BN44" s="11">
        <v>1</v>
      </c>
      <c r="BO44" s="12">
        <f>FRONTEND!$W$7-$W$39*SUM(AV56:AV61)</f>
        <v>1.0193575643566497</v>
      </c>
    </row>
    <row r="45" spans="3:74" x14ac:dyDescent="0.25">
      <c r="C45" t="s">
        <v>145</v>
      </c>
      <c r="D45" s="25" t="s">
        <v>146</v>
      </c>
      <c r="E45" s="25" t="s">
        <v>147</v>
      </c>
      <c r="K45" t="s">
        <v>148</v>
      </c>
      <c r="L45" s="25" t="s">
        <v>150</v>
      </c>
      <c r="N45" t="s">
        <v>151</v>
      </c>
      <c r="O45" s="25" t="s">
        <v>150</v>
      </c>
      <c r="Q45" t="s">
        <v>145</v>
      </c>
      <c r="R45" s="25" t="s">
        <v>146</v>
      </c>
      <c r="T45" s="25" t="s">
        <v>147</v>
      </c>
      <c r="AD45">
        <v>4</v>
      </c>
      <c r="AE45" s="17" cm="1">
        <f t="array" ref="AE45">SUM(MMULT(TRANSPOSE($AE$14:$AE$16),TRANSPOSE(Z10:AB10)))</f>
        <v>7.224700557371351E-2</v>
      </c>
      <c r="AT45" s="11">
        <v>2</v>
      </c>
      <c r="AU45" s="13">
        <f t="shared" si="12"/>
        <v>0.67135965286204402</v>
      </c>
      <c r="AV45" s="12">
        <f t="shared" si="13"/>
        <v>0.74082912301437021</v>
      </c>
      <c r="AW45" s="11">
        <f t="shared" si="14"/>
        <v>-0.50700000497531639</v>
      </c>
      <c r="AX45" s="12">
        <f t="shared" si="15"/>
        <v>0.89091678651556583</v>
      </c>
      <c r="AY45" s="28">
        <f t="shared" si="16"/>
        <v>-2.5797553706285737E-4</v>
      </c>
      <c r="AZ45" s="11">
        <f t="shared" si="17"/>
        <v>-0.24614762992328454</v>
      </c>
      <c r="BA45" s="12">
        <f t="shared" si="18"/>
        <v>-0.86976910415965913</v>
      </c>
      <c r="BB45" s="11">
        <f t="shared" si="19"/>
        <v>0.87865578393847121</v>
      </c>
      <c r="BC45" s="12">
        <f t="shared" si="20"/>
        <v>-0.13969542050456049</v>
      </c>
      <c r="BD45" s="28">
        <f t="shared" si="21"/>
        <v>1.8376388447213822E-3</v>
      </c>
      <c r="BE45" s="11">
        <f t="shared" si="22"/>
        <v>-1.2999999999999999E-2</v>
      </c>
      <c r="BF45" s="12">
        <f t="shared" si="23"/>
        <v>0.997</v>
      </c>
      <c r="BG45" s="11">
        <f t="shared" si="24"/>
        <v>-0.21347619361910186</v>
      </c>
      <c r="BH45" s="12">
        <f t="shared" si="25"/>
        <v>0.25025301539953559</v>
      </c>
      <c r="BI45" s="28">
        <f t="shared" si="26"/>
        <v>1.1973722772761053E-4</v>
      </c>
      <c r="BK45" s="9">
        <v>2</v>
      </c>
      <c r="BL45" s="10" cm="1">
        <f t="array" ref="BL45">FRONTEND!T8-$W40*SUM($BL$35:$BL$40*BU33:BU38)</f>
        <v>0.51600000000000001</v>
      </c>
    </row>
    <row r="46" spans="3:74" x14ac:dyDescent="0.25">
      <c r="C46">
        <v>1</v>
      </c>
      <c r="D46" s="26">
        <v>1</v>
      </c>
      <c r="E46" s="26">
        <v>1</v>
      </c>
      <c r="K46">
        <v>1</v>
      </c>
      <c r="L46" s="26">
        <v>1</v>
      </c>
      <c r="N46">
        <v>1</v>
      </c>
      <c r="O46" s="26">
        <v>1</v>
      </c>
      <c r="Q46">
        <v>1</v>
      </c>
      <c r="R46" s="26">
        <v>1</v>
      </c>
      <c r="T46" s="26">
        <v>1</v>
      </c>
      <c r="AD46">
        <v>5</v>
      </c>
      <c r="AE46" s="17" cm="1">
        <f t="array" ref="AE46">SUM(MMULT(TRANSPOSE($AE$14:$AE$16),TRANSPOSE(Z11:AB11)))</f>
        <v>0.1689312351587951</v>
      </c>
      <c r="BK46" s="11">
        <v>3</v>
      </c>
      <c r="BL46" s="12" cm="1">
        <f t="array" ref="BL46">FRONTEND!T9-$W41*SUM($BL$35:$BL$40*BU34:BU39)</f>
        <v>-0.97699999999999998</v>
      </c>
    </row>
    <row r="47" spans="3:74" x14ac:dyDescent="0.25">
      <c r="C47" cm="1">
        <f t="array" ref="C47:C48">MMULT($L$23:$M$24,$F$14:$F$15)+$L$47:$L$48*MMULT($P$23:$Q$24,_xlfn.ANCHORARRAY(T41))+$T$23:$T$24</f>
        <v>-5.3593299161726782E-2</v>
      </c>
      <c r="D47" s="26">
        <f t="shared" si="6"/>
        <v>-5.3542047074441775E-2</v>
      </c>
      <c r="E47" s="26" cm="1">
        <f t="array" ref="E47:E48">O47:O48*_xlfn.ANCHORARRAY(T41)+(1-O47:O48)*D47:D48</f>
        <v>-0.18747769045482121</v>
      </c>
      <c r="J47">
        <v>1</v>
      </c>
      <c r="K47" cm="1">
        <f t="array" ref="K47:K48">MMULT($L$13:$M$14,$F$14:$F$15)+MMULT($P$13:$Q$14,_xlfn.ANCHORARRAY(T41))+$T$13:$T$14</f>
        <v>0.46218442821806427</v>
      </c>
      <c r="L47" s="26">
        <f t="shared" si="7"/>
        <v>0.61353225512613596</v>
      </c>
      <c r="N47" cm="1">
        <f t="array" ref="N47:N48">MMULT($L$18:$M$19,$F$14:$F$15)+MMULT($P$18:$Q$19,_xlfn.ANCHORARRAY(T41))+$T$18:$T$19</f>
        <v>0.77814362551432459</v>
      </c>
      <c r="O47" s="26">
        <f t="shared" si="8"/>
        <v>0.68527988489361891</v>
      </c>
      <c r="Q47" cm="1">
        <f t="array" ref="Q47:Q48">MMULT($L$23:$M$24,$F$14:$F$15)+MMULT($P$23:$Q$24,$L$47:$L$48*_xlfn.ANCHORARRAY(T41))+$T$23:$T$24</f>
        <v>-1.5771445324505473E-2</v>
      </c>
      <c r="R47" s="26">
        <f t="shared" si="9"/>
        <v>-1.5770137799445524E-2</v>
      </c>
      <c r="T47" s="42" cm="1">
        <f t="array" ref="T47:T48">O47:O48*_xlfn.ANCHORARRAY(T41)+(1-O47:O48)*R47:R48</f>
        <v>-0.17559011082000661</v>
      </c>
      <c r="AD47">
        <v>6</v>
      </c>
      <c r="AE47" s="17" cm="1">
        <f t="array" ref="AE47">SUM(MMULT(TRANSPOSE($AE$14:$AE$16),TRANSPOSE(Z12:AB12)))</f>
        <v>-0.19996862895231446</v>
      </c>
      <c r="AU47" t="s">
        <v>159</v>
      </c>
      <c r="AV47" t="s">
        <v>160</v>
      </c>
    </row>
    <row r="48" spans="3:74" x14ac:dyDescent="0.25">
      <c r="C48">
        <v>1.989093144502502</v>
      </c>
      <c r="D48" s="28">
        <f t="shared" si="6"/>
        <v>0.96324884459583526</v>
      </c>
      <c r="E48" s="28">
        <v>0.97183995976745829</v>
      </c>
      <c r="J48">
        <v>2</v>
      </c>
      <c r="K48">
        <v>0.68432949504979068</v>
      </c>
      <c r="L48" s="28">
        <f t="shared" si="7"/>
        <v>0.66470430980481099</v>
      </c>
      <c r="N48">
        <v>-1.0923109880503059</v>
      </c>
      <c r="O48" s="28">
        <f t="shared" si="8"/>
        <v>0.25118335411778925</v>
      </c>
      <c r="Q48">
        <v>1.9826333245959007</v>
      </c>
      <c r="R48" s="28">
        <f t="shared" si="9"/>
        <v>0.96277984606499256</v>
      </c>
      <c r="T48" s="43">
        <v>0.9714887658606689</v>
      </c>
      <c r="AD48">
        <v>7</v>
      </c>
      <c r="AE48" s="20" cm="1">
        <f t="array" ref="AE48">SUM(MMULT(TRANSPOSE($AE$14:$AE$16),TRANSPOSE(Z13:AB13)))</f>
        <v>6.3839363681127068E-3</v>
      </c>
      <c r="AU48" t="s">
        <v>135</v>
      </c>
      <c r="AV48" t="s">
        <v>154</v>
      </c>
      <c r="AW48" t="s">
        <v>143</v>
      </c>
      <c r="AX48" t="s">
        <v>139</v>
      </c>
      <c r="AY48" t="s">
        <v>133</v>
      </c>
      <c r="AZ48" t="s">
        <v>91</v>
      </c>
    </row>
    <row r="49" spans="3:52" x14ac:dyDescent="0.25">
      <c r="AD49">
        <v>8</v>
      </c>
      <c r="AE49" s="20" cm="1">
        <f t="array" ref="AE49">SUM(MMULT(TRANSPOSE($AE$14:$AE$16),TRANSPOSE(Z14:AB14)))</f>
        <v>-0.13473278969950145</v>
      </c>
      <c r="AU49">
        <v>1</v>
      </c>
      <c r="AV49">
        <v>2</v>
      </c>
      <c r="AW49">
        <v>3</v>
      </c>
      <c r="AX49">
        <v>4</v>
      </c>
      <c r="AY49">
        <v>5</v>
      </c>
      <c r="AZ49">
        <v>6</v>
      </c>
    </row>
    <row r="50" spans="3:52" ht="21" x14ac:dyDescent="0.35">
      <c r="K50" s="29" t="s">
        <v>133</v>
      </c>
      <c r="AD50">
        <v>9</v>
      </c>
      <c r="AE50" s="20" cm="1">
        <f t="array" ref="AE50">SUM(MMULT(TRANSPOSE($AE$14:$AE$16),TRANSPOSE(Z15:AB15)))</f>
        <v>-0.30983726836483444</v>
      </c>
      <c r="AT50">
        <v>1</v>
      </c>
      <c r="AU50" s="17" cm="1">
        <f t="array" ref="AU50:AU51">MMULT(TRANSPOSE($L$23:$M$24),_xlfn.ANCHORARRAY($AN$38))+MMULT(TRANSPOSE($L$18:$M$19),_xlfn.ANCHORARRAY($AP$38)+MMULT(TRANSPOSE($L$13:$M$14),_xlfn.ANCHORARRAY($AR$38)))</f>
        <v>5.0890062870490319E-2</v>
      </c>
      <c r="AV50" s="17" cm="1">
        <f t="array" ref="AV50:AV51">MMULT(TRANSPOSE($L$23:$M$24),_xlfn.ANCHORARRAY(AN32))+MMULT(TRANSPOSE($L$18:$M$19),_xlfn.ANCHORARRAY(AP32)+MMULT(TRANSPOSE($L$13:$M$14),_xlfn.ANCHORARRAY(AR32)))</f>
        <v>4.0980476017124352E-2</v>
      </c>
      <c r="AW50" s="17" cm="1">
        <f t="array" ref="AW50:AW51">MMULT(TRANSPOSE($L$23:$M$24),_xlfn.ANCHORARRAY(AN26))+MMULT(TRANSPOSE($L$18:$M$19),_xlfn.ANCHORARRAY(AP26)+MMULT(TRANSPOSE($L$13:$M$14),_xlfn.ANCHORARRAY(AR26)))</f>
        <v>2.6940477659322011E-2</v>
      </c>
      <c r="AX50" s="17" cm="1">
        <f t="array" ref="AX50:AX51">MMULT(TRANSPOSE($L$23:$M$24),_xlfn.ANCHORARRAY(AN20))+MMULT(TRANSPOSE($L$18:$M$19),_xlfn.ANCHORARRAY(AP20)+MMULT(TRANSPOSE($L$13:$M$14),_xlfn.ANCHORARRAY(AR20)))</f>
        <v>1.186686443658775E-2</v>
      </c>
      <c r="AY50" s="17" cm="1">
        <f t="array" ref="AY50:AY51">MMULT(TRANSPOSE($L$23:$M$24),_xlfn.ANCHORARRAY(AN14))+MMULT(TRANSPOSE($L$18:$M$19),_xlfn.ANCHORARRAY(AP14)+MMULT(TRANSPOSE($L$13:$M$14),_xlfn.ANCHORARRAY(AR14)))</f>
        <v>1.0550624522317365E-3</v>
      </c>
      <c r="AZ50" s="17" cm="1">
        <f t="array" ref="AZ50:AZ51">MMULT(TRANSPOSE($L$23:$M$24),_xlfn.ANCHORARRAY(AN8))+MMULT(TRANSPOSE($L$18:$M$19),_xlfn.ANCHORARRAY(AP8)+MMULT(TRANSPOSE($L$13:$M$14),_xlfn.ANCHORARRAY(AR8)))</f>
        <v>-2.687843311090714E-3</v>
      </c>
    </row>
    <row r="51" spans="3:52" x14ac:dyDescent="0.25">
      <c r="C51" t="s">
        <v>145</v>
      </c>
      <c r="D51" s="25" t="s">
        <v>146</v>
      </c>
      <c r="E51" s="25" t="s">
        <v>147</v>
      </c>
      <c r="K51" t="s">
        <v>148</v>
      </c>
      <c r="L51" s="25" t="s">
        <v>150</v>
      </c>
      <c r="N51" t="s">
        <v>151</v>
      </c>
      <c r="O51" s="25" t="s">
        <v>150</v>
      </c>
      <c r="Q51" t="s">
        <v>145</v>
      </c>
      <c r="R51" s="25" t="s">
        <v>146</v>
      </c>
      <c r="T51" s="25" t="s">
        <v>147</v>
      </c>
      <c r="AD51">
        <v>10</v>
      </c>
      <c r="AE51" s="20" cm="1">
        <f t="array" ref="AE51">SUM(MMULT(TRANSPOSE($AE$14:$AE$16),TRANSPOSE(Z16:AB16)))</f>
        <v>-0.12130440471208961</v>
      </c>
      <c r="AT51">
        <v>2</v>
      </c>
      <c r="AU51" s="20">
        <v>-8.4536497811969494E-2</v>
      </c>
      <c r="AV51" s="20">
        <v>-5.1690199859334929E-2</v>
      </c>
      <c r="AW51" s="20">
        <v>-4.5329773817864329E-2</v>
      </c>
      <c r="AX51" s="20">
        <v>-1.4496508601949638E-2</v>
      </c>
      <c r="AY51" s="20">
        <v>-1.1593185111819944E-3</v>
      </c>
      <c r="AZ51" s="20">
        <v>3.6366550358036733E-3</v>
      </c>
    </row>
    <row r="52" spans="3:52" x14ac:dyDescent="0.25">
      <c r="C52">
        <v>1</v>
      </c>
      <c r="D52" s="26">
        <v>1</v>
      </c>
      <c r="E52" s="26">
        <v>1</v>
      </c>
      <c r="K52">
        <v>1</v>
      </c>
      <c r="L52" s="26">
        <v>1</v>
      </c>
      <c r="N52">
        <v>1</v>
      </c>
      <c r="O52" s="26">
        <v>1</v>
      </c>
      <c r="Q52">
        <v>1</v>
      </c>
      <c r="R52" s="26">
        <v>1</v>
      </c>
      <c r="T52" s="26">
        <v>1</v>
      </c>
      <c r="AD52">
        <v>11</v>
      </c>
      <c r="AE52" s="20" cm="1">
        <f t="array" ref="AE52">SUM(MMULT(TRANSPOSE($AE$14:$AE$16),TRANSPOSE(Z17:AB17)))</f>
        <v>-5.4404068336926202E-2</v>
      </c>
    </row>
    <row r="53" spans="3:52" x14ac:dyDescent="0.25">
      <c r="C53" cm="1">
        <f t="array" ref="C53:C54">MMULT($L$23:$M$24,$G$14:$G$15)+$L$53:$L$54*MMULT($P$23:$Q$24,_xlfn.ANCHORARRAY(T47))+$T$23:$T$24</f>
        <v>-1.237378050972058</v>
      </c>
      <c r="D53" s="26">
        <f t="shared" si="6"/>
        <v>-0.84470614356076834</v>
      </c>
      <c r="E53" s="26" cm="1">
        <f t="array" ref="E53:E54">O53:O54*_xlfn.ANCHORARRAY(T47)+(1-O53:O54)*D53:D54</f>
        <v>-0.48579756911295052</v>
      </c>
      <c r="J53">
        <v>1</v>
      </c>
      <c r="K53" cm="1">
        <f t="array" ref="K53:K54">MMULT($L$13:$M$14,$G$14:$G$15)+MMULT($P$13:$Q$14,_xlfn.ANCHORARRAY(T47))+$T$13:$T$14</f>
        <v>3.091082388231531</v>
      </c>
      <c r="L53" s="26">
        <f t="shared" si="7"/>
        <v>0.95652339990773849</v>
      </c>
      <c r="N53" cm="1">
        <f t="array" ref="N53:N54">MMULT($L$18:$M$19,$G$14:$G$15)+MMULT($P$18:$Q$19,_xlfn.ANCHORARRAY(T47))+$T$18:$T$19</f>
        <v>0.14582639482782689</v>
      </c>
      <c r="O53" s="26">
        <f t="shared" si="8"/>
        <v>0.53639213064092151</v>
      </c>
      <c r="Q53" cm="1">
        <f t="array" ref="Q53:Q54">MMULT($L$23:$M$24,$G$14:$G$15)+MMULT($P$23:$Q$24,$L$53:$L$54*_xlfn.ANCHORARRAY(T47))+$T$23:$T$24</f>
        <v>-1.4362780214065505</v>
      </c>
      <c r="R53" s="26">
        <f t="shared" si="9"/>
        <v>-0.89294597955430932</v>
      </c>
      <c r="T53" s="42" cm="1">
        <f t="array" ref="T53:T54">O53:O54*_xlfn.ANCHORARRAY(T47)+(1-O53:O54)*R53:R54</f>
        <v>-0.50816193669614751</v>
      </c>
      <c r="AD53">
        <v>12</v>
      </c>
      <c r="AE53" s="20" cm="1">
        <f t="array" ref="AE53">SUM(MMULT(TRANSPOSE($AE$14:$AE$16),TRANSPOSE(Z18:AB18)))</f>
        <v>3.1836939425939174E-2</v>
      </c>
      <c r="AT53" s="5"/>
      <c r="AU53" s="16" t="s">
        <v>56</v>
      </c>
      <c r="AV53" s="7"/>
    </row>
    <row r="54" spans="3:52" x14ac:dyDescent="0.25">
      <c r="C54">
        <v>4.0846381538496059</v>
      </c>
      <c r="D54" s="28">
        <f t="shared" si="6"/>
        <v>0.99943371456793861</v>
      </c>
      <c r="E54" s="28">
        <v>0.99580104098602407</v>
      </c>
      <c r="J54">
        <v>2</v>
      </c>
      <c r="K54">
        <v>0.75480495555755311</v>
      </c>
      <c r="L54" s="28">
        <f t="shared" si="7"/>
        <v>0.6802247723118684</v>
      </c>
      <c r="N54">
        <v>-1.9010124708736504</v>
      </c>
      <c r="O54" s="28">
        <f t="shared" si="8"/>
        <v>0.12999392555584011</v>
      </c>
      <c r="Q54">
        <v>4.1092354143155667</v>
      </c>
      <c r="R54" s="28">
        <f t="shared" si="9"/>
        <v>0.99946089124671178</v>
      </c>
      <c r="T54" s="43">
        <v>0.99582468486163989</v>
      </c>
      <c r="AT54" s="9"/>
      <c r="AU54" t="s">
        <v>134</v>
      </c>
      <c r="AV54" s="10"/>
      <c r="AW54" t="s">
        <v>160</v>
      </c>
    </row>
    <row r="55" spans="3:52" x14ac:dyDescent="0.25">
      <c r="AD55" t="s">
        <v>80</v>
      </c>
      <c r="AE55" s="17" t="s">
        <v>33</v>
      </c>
      <c r="AG55" s="2" t="s">
        <v>25</v>
      </c>
      <c r="AT55" s="9"/>
      <c r="AU55">
        <v>1</v>
      </c>
      <c r="AV55" s="10">
        <v>2</v>
      </c>
    </row>
    <row r="56" spans="3:52" ht="21" x14ac:dyDescent="0.35">
      <c r="K56" s="29" t="s">
        <v>91</v>
      </c>
      <c r="AE56">
        <v>1</v>
      </c>
      <c r="AF56" s="2" t="s">
        <v>72</v>
      </c>
      <c r="AG56">
        <v>1</v>
      </c>
      <c r="AH56">
        <v>2</v>
      </c>
      <c r="AT56" s="9">
        <v>1</v>
      </c>
      <c r="AU56" s="17">
        <f>AU50</f>
        <v>5.0890062870490319E-2</v>
      </c>
      <c r="AV56" s="14">
        <f>AU51</f>
        <v>-8.4536497811969494E-2</v>
      </c>
    </row>
    <row r="57" spans="3:52" x14ac:dyDescent="0.25">
      <c r="C57" t="s">
        <v>145</v>
      </c>
      <c r="D57" s="25" t="s">
        <v>146</v>
      </c>
      <c r="E57" s="25" t="s">
        <v>147</v>
      </c>
      <c r="K57" t="s">
        <v>148</v>
      </c>
      <c r="L57" s="25" t="s">
        <v>150</v>
      </c>
      <c r="N57" t="s">
        <v>151</v>
      </c>
      <c r="O57" s="25" t="s">
        <v>150</v>
      </c>
      <c r="Q57" t="s">
        <v>145</v>
      </c>
      <c r="R57" s="25" t="s">
        <v>146</v>
      </c>
      <c r="T57" s="25" t="s">
        <v>147</v>
      </c>
      <c r="AD57">
        <v>1</v>
      </c>
      <c r="AE57" s="1">
        <f t="shared" ref="AE57:AE62" si="27">AE42</f>
        <v>6.7684151739132142E-2</v>
      </c>
      <c r="AF57">
        <f t="shared" ref="AF57:AF62" si="28">MATCH(MAX(_xlfn.ANCHORARRAY(K65)),_xlfn.ANCHORARRAY(K65),0)</f>
        <v>2</v>
      </c>
      <c r="AG57">
        <f t="shared" ref="AG57:AH62" si="29">IF($AF57=AG$56,$AE57,0)</f>
        <v>0</v>
      </c>
      <c r="AH57">
        <f>IF($AF57=AH$56,$AE57,0)</f>
        <v>6.7684151739132142E-2</v>
      </c>
      <c r="AT57" s="9">
        <v>2</v>
      </c>
      <c r="AU57" s="17">
        <f>AV50</f>
        <v>4.0980476017124352E-2</v>
      </c>
      <c r="AV57" s="14">
        <f>AV51</f>
        <v>-5.1690199859334929E-2</v>
      </c>
    </row>
    <row r="58" spans="3:52" x14ac:dyDescent="0.25">
      <c r="C58">
        <v>1</v>
      </c>
      <c r="D58" s="26">
        <v>1</v>
      </c>
      <c r="E58" s="26">
        <v>1</v>
      </c>
      <c r="K58">
        <v>1</v>
      </c>
      <c r="L58" s="26">
        <v>1</v>
      </c>
      <c r="N58">
        <v>1</v>
      </c>
      <c r="O58" s="26">
        <v>1</v>
      </c>
      <c r="Q58">
        <v>1</v>
      </c>
      <c r="R58" s="26">
        <v>1</v>
      </c>
      <c r="T58" s="26">
        <v>1</v>
      </c>
      <c r="AD58">
        <v>2</v>
      </c>
      <c r="AE58" s="1">
        <f t="shared" si="27"/>
        <v>0.23760975923592398</v>
      </c>
      <c r="AF58">
        <f t="shared" si="28"/>
        <v>2</v>
      </c>
      <c r="AG58">
        <f t="shared" si="29"/>
        <v>0</v>
      </c>
      <c r="AH58">
        <f t="shared" si="29"/>
        <v>0.23760975923592398</v>
      </c>
      <c r="AT58" s="9">
        <v>3</v>
      </c>
      <c r="AU58" s="17">
        <f>AW50</f>
        <v>2.6940477659322011E-2</v>
      </c>
      <c r="AV58" s="14">
        <f>AW51</f>
        <v>-4.5329773817864329E-2</v>
      </c>
    </row>
    <row r="59" spans="3:52" x14ac:dyDescent="0.25">
      <c r="C59" cm="1">
        <f t="array" ref="C59:C60">MMULT($L$23:$M$24,$H$14:$H$15)+$L$59:$L$60*MMULT($P$23:$Q$24,_xlfn.ANCHORARRAY(T53))+$T$23:$T$24</f>
        <v>-8.8177431763004244E-2</v>
      </c>
      <c r="D59" s="26">
        <f t="shared" si="6"/>
        <v>-8.7949606160860588E-2</v>
      </c>
      <c r="E59" s="26" cm="1">
        <f t="array" ref="E59:E60">O59:O60*_xlfn.ANCHORARRAY(T53)+(1-O59:O60)*D59:D60</f>
        <v>-0.36537382322018419</v>
      </c>
      <c r="J59">
        <v>1</v>
      </c>
      <c r="K59" cm="1">
        <f t="array" ref="K59:K60">MMULT($L$13:$M$14,$H$14:$H$15)+MMULT($P$13:$Q$14,_xlfn.ANCHORARRAY(T53))+$T$13:$T$14</f>
        <v>1.7666936954719368</v>
      </c>
      <c r="L59" s="26">
        <f t="shared" si="7"/>
        <v>0.8540460177673217</v>
      </c>
      <c r="N59" cm="1">
        <f t="array" ref="N59:N60">MMULT($L$18:$M$19,$H$14:$H$15)+MMULT($P$18:$Q$19,_xlfn.ANCHORARRAY(T53))+$T$18:$T$19</f>
        <v>0.66418599673496626</v>
      </c>
      <c r="O59" s="26">
        <f t="shared" si="8"/>
        <v>0.66020008671789121</v>
      </c>
      <c r="Q59" cm="1">
        <f t="array" ref="Q59:Q60">MMULT($L$23:$M$24,$H$14:$H$15)+MMULT($P$23:$Q$24,$L$59:$L$60*_xlfn.ANCHORARRAY(T53))+$T$23:$T$24</f>
        <v>-0.10754514751880706</v>
      </c>
      <c r="R59" s="26">
        <f t="shared" si="9"/>
        <v>-0.10713243586260304</v>
      </c>
      <c r="T59" s="42" cm="1">
        <f t="array" ref="T59:T60">O59:O60*_xlfn.ANCHORARRAY(T53)+(1-O59:O60)*R59:R60</f>
        <v>-0.37189214708934171</v>
      </c>
      <c r="AD59">
        <v>3</v>
      </c>
      <c r="AE59" s="1">
        <f t="shared" si="27"/>
        <v>0.23068995623646613</v>
      </c>
      <c r="AF59">
        <f t="shared" si="28"/>
        <v>2</v>
      </c>
      <c r="AG59">
        <f t="shared" si="29"/>
        <v>0</v>
      </c>
      <c r="AH59">
        <f t="shared" si="29"/>
        <v>0.23068995623646613</v>
      </c>
      <c r="AT59" s="9">
        <v>4</v>
      </c>
      <c r="AU59" s="17">
        <f>AX50</f>
        <v>1.186686443658775E-2</v>
      </c>
      <c r="AV59" s="14">
        <f>AX51</f>
        <v>-1.4496508601949638E-2</v>
      </c>
    </row>
    <row r="60" spans="3:52" x14ac:dyDescent="0.25">
      <c r="C60">
        <v>3.9329379408527689</v>
      </c>
      <c r="D60" s="28">
        <f t="shared" si="6"/>
        <v>0.99923306786434685</v>
      </c>
      <c r="E60" s="28">
        <v>0.99896355973503959</v>
      </c>
      <c r="J60">
        <v>2</v>
      </c>
      <c r="K60">
        <v>1.5701090990422968</v>
      </c>
      <c r="L60" s="28">
        <f t="shared" si="7"/>
        <v>0.82779916064097314</v>
      </c>
      <c r="N60">
        <v>-2.455021139817537</v>
      </c>
      <c r="O60" s="28">
        <f t="shared" si="8"/>
        <v>7.9072137460240721E-2</v>
      </c>
      <c r="Q60">
        <v>3.9397001313037716</v>
      </c>
      <c r="R60" s="28">
        <f t="shared" si="9"/>
        <v>0.99924336642486489</v>
      </c>
      <c r="T60" s="43">
        <v>0.99897304396636466</v>
      </c>
      <c r="AD60">
        <v>4</v>
      </c>
      <c r="AE60" s="1">
        <f t="shared" si="27"/>
        <v>7.224700557371351E-2</v>
      </c>
      <c r="AF60">
        <f t="shared" si="28"/>
        <v>2</v>
      </c>
      <c r="AG60">
        <f t="shared" si="29"/>
        <v>0</v>
      </c>
      <c r="AH60">
        <f t="shared" si="29"/>
        <v>7.224700557371351E-2</v>
      </c>
      <c r="AT60" s="9">
        <v>5</v>
      </c>
      <c r="AU60" s="17">
        <f>AY50</f>
        <v>1.0550624522317365E-3</v>
      </c>
      <c r="AV60" s="14">
        <f>AY51</f>
        <v>-1.1593185111819944E-3</v>
      </c>
    </row>
    <row r="61" spans="3:52" x14ac:dyDescent="0.25">
      <c r="AD61">
        <v>5</v>
      </c>
      <c r="AE61" s="1">
        <f t="shared" si="27"/>
        <v>0.1689312351587951</v>
      </c>
      <c r="AF61">
        <f t="shared" si="28"/>
        <v>2</v>
      </c>
      <c r="AG61">
        <f t="shared" si="29"/>
        <v>0</v>
      </c>
      <c r="AH61">
        <f t="shared" si="29"/>
        <v>0.1689312351587951</v>
      </c>
      <c r="AT61" s="11">
        <v>6</v>
      </c>
      <c r="AU61" s="18">
        <f>AZ50</f>
        <v>-2.687843311090714E-3</v>
      </c>
      <c r="AV61" s="15">
        <f>AZ51</f>
        <v>3.6366550358036733E-3</v>
      </c>
    </row>
    <row r="62" spans="3:52" x14ac:dyDescent="0.25">
      <c r="J62" t="s">
        <v>161</v>
      </c>
      <c r="N62" t="s">
        <v>162</v>
      </c>
      <c r="P62" t="s">
        <v>162</v>
      </c>
      <c r="AD62">
        <v>6</v>
      </c>
      <c r="AE62" s="1">
        <f t="shared" si="27"/>
        <v>-0.19996862895231446</v>
      </c>
      <c r="AF62">
        <f t="shared" si="28"/>
        <v>2</v>
      </c>
      <c r="AG62">
        <f t="shared" si="29"/>
        <v>0</v>
      </c>
      <c r="AH62">
        <f t="shared" si="29"/>
        <v>-0.19996862895231446</v>
      </c>
    </row>
    <row r="63" spans="3:52" x14ac:dyDescent="0.25">
      <c r="J63" t="s">
        <v>163</v>
      </c>
      <c r="N63" t="s">
        <v>33</v>
      </c>
      <c r="P63" t="s">
        <v>76</v>
      </c>
    </row>
    <row r="64" spans="3:52" x14ac:dyDescent="0.25">
      <c r="K64">
        <v>1</v>
      </c>
      <c r="L64">
        <v>2</v>
      </c>
      <c r="N64">
        <v>1</v>
      </c>
      <c r="P64">
        <v>1</v>
      </c>
      <c r="AD64" t="s">
        <v>80</v>
      </c>
      <c r="AE64" s="20" t="s">
        <v>76</v>
      </c>
      <c r="AG64" s="2" t="s">
        <v>82</v>
      </c>
    </row>
    <row r="65" spans="10:33" x14ac:dyDescent="0.25">
      <c r="J65" s="2" t="s">
        <v>135</v>
      </c>
      <c r="K65" s="17" cm="1">
        <f t="array" ref="K65:L65">TRANSPOSE(_xlfn.ANCHORARRAY(T29))</f>
        <v>-0.37606797465641517</v>
      </c>
      <c r="L65" s="20">
        <v>0.60856989533920758</v>
      </c>
      <c r="N65" s="17">
        <f t="shared" ref="N65:N70" si="30">MAX(_xlfn.ANCHORARRAY(K65))</f>
        <v>0.60856989533920758</v>
      </c>
      <c r="P65" s="20">
        <f t="shared" ref="P65:P70" si="31">AVERAGE(_xlfn.ANCHORARRAY(K65))</f>
        <v>0.1162509603413962</v>
      </c>
      <c r="AE65">
        <v>1</v>
      </c>
      <c r="AF65">
        <v>2</v>
      </c>
      <c r="AG65" s="2">
        <v>2</v>
      </c>
    </row>
    <row r="66" spans="10:33" x14ac:dyDescent="0.25">
      <c r="J66">
        <v>2</v>
      </c>
      <c r="K66" s="17" cm="1">
        <f t="array" ref="K66:L66">TRANSPOSE(_xlfn.ANCHORARRAY(T35))</f>
        <v>-0.49988654358452378</v>
      </c>
      <c r="L66" s="20">
        <v>0.94880195131128564</v>
      </c>
      <c r="N66" s="17">
        <f t="shared" si="30"/>
        <v>0.94880195131128564</v>
      </c>
      <c r="P66" s="20">
        <f t="shared" si="31"/>
        <v>0.22445770386338093</v>
      </c>
      <c r="AD66">
        <v>1</v>
      </c>
      <c r="AE66">
        <f t="shared" ref="AE66:AF71" si="32">$AE48*1/$AG$65</f>
        <v>3.1919681840563534E-3</v>
      </c>
      <c r="AF66">
        <f>$AE48*1/$AG$65</f>
        <v>3.1919681840563534E-3</v>
      </c>
    </row>
    <row r="67" spans="10:33" x14ac:dyDescent="0.25">
      <c r="J67">
        <v>3</v>
      </c>
      <c r="K67" s="17" cm="1">
        <f t="array" ref="K67:L67">TRANSPOSE(_xlfn.ANCHORARRAY(T41))</f>
        <v>-0.24898867601083799</v>
      </c>
      <c r="L67" s="20">
        <v>0.99745141029449336</v>
      </c>
      <c r="N67" s="17">
        <f t="shared" si="30"/>
        <v>0.99745141029449336</v>
      </c>
      <c r="P67" s="20">
        <f t="shared" si="31"/>
        <v>0.3742313671418277</v>
      </c>
      <c r="AD67">
        <v>2</v>
      </c>
      <c r="AE67">
        <f t="shared" si="32"/>
        <v>-6.7366394849750724E-2</v>
      </c>
      <c r="AF67">
        <f t="shared" si="32"/>
        <v>-6.7366394849750724E-2</v>
      </c>
    </row>
    <row r="68" spans="10:33" x14ac:dyDescent="0.25">
      <c r="J68">
        <v>4</v>
      </c>
      <c r="K68" s="17" cm="1">
        <f t="array" ref="K68:L68">TRANSPOSE(_xlfn.ANCHORARRAY(T47))</f>
        <v>-0.17559011082000661</v>
      </c>
      <c r="L68" s="20">
        <v>0.9714887658606689</v>
      </c>
      <c r="N68" s="17">
        <f t="shared" si="30"/>
        <v>0.9714887658606689</v>
      </c>
      <c r="P68" s="20">
        <f t="shared" si="31"/>
        <v>0.39794932752033113</v>
      </c>
      <c r="AD68">
        <v>3</v>
      </c>
      <c r="AE68">
        <f t="shared" si="32"/>
        <v>-0.15491863418241722</v>
      </c>
      <c r="AF68">
        <f t="shared" si="32"/>
        <v>-0.15491863418241722</v>
      </c>
    </row>
    <row r="69" spans="10:33" x14ac:dyDescent="0.25">
      <c r="J69">
        <v>5</v>
      </c>
      <c r="K69" s="17" cm="1">
        <f t="array" ref="K69:L69">TRANSPOSE(_xlfn.ANCHORARRAY(T53))</f>
        <v>-0.50816193669614751</v>
      </c>
      <c r="L69" s="20">
        <v>0.99582468486163989</v>
      </c>
      <c r="N69" s="17">
        <f t="shared" si="30"/>
        <v>0.99582468486163989</v>
      </c>
      <c r="P69" s="20">
        <f t="shared" si="31"/>
        <v>0.24383137408274619</v>
      </c>
      <c r="AD69">
        <v>4</v>
      </c>
      <c r="AE69">
        <f t="shared" si="32"/>
        <v>-6.0652202356044807E-2</v>
      </c>
      <c r="AF69">
        <f t="shared" si="32"/>
        <v>-6.0652202356044807E-2</v>
      </c>
    </row>
    <row r="70" spans="10:33" x14ac:dyDescent="0.25">
      <c r="J70">
        <v>6</v>
      </c>
      <c r="K70" s="17" cm="1">
        <f t="array" ref="K70:L70">TRANSPOSE(_xlfn.ANCHORARRAY(T59))</f>
        <v>-0.37189214708934171</v>
      </c>
      <c r="L70" s="20">
        <v>0.99897304396636466</v>
      </c>
      <c r="N70" s="17">
        <f t="shared" si="30"/>
        <v>0.99897304396636466</v>
      </c>
      <c r="P70" s="20">
        <f t="shared" si="31"/>
        <v>0.31354044843851148</v>
      </c>
      <c r="AD70">
        <v>5</v>
      </c>
      <c r="AE70">
        <f t="shared" si="32"/>
        <v>-2.7202034168463101E-2</v>
      </c>
      <c r="AF70">
        <f t="shared" si="32"/>
        <v>-2.7202034168463101E-2</v>
      </c>
    </row>
    <row r="71" spans="10:33" x14ac:dyDescent="0.25">
      <c r="AD71">
        <v>6</v>
      </c>
      <c r="AE71">
        <f t="shared" si="32"/>
        <v>1.5918469712969587E-2</v>
      </c>
      <c r="AF71">
        <f t="shared" si="32"/>
        <v>1.5918469712969587E-2</v>
      </c>
    </row>
    <row r="72" spans="10:33" x14ac:dyDescent="0.25">
      <c r="J72" s="5"/>
      <c r="K72" s="8" t="s">
        <v>164</v>
      </c>
      <c r="L72" t="s">
        <v>162</v>
      </c>
    </row>
    <row r="73" spans="10:33" x14ac:dyDescent="0.25">
      <c r="J73" s="9"/>
      <c r="K73" s="10">
        <v>1</v>
      </c>
      <c r="AD73" s="5"/>
      <c r="AE73" s="16" t="s">
        <v>85</v>
      </c>
      <c r="AF73" s="7"/>
      <c r="AG73" t="s">
        <v>80</v>
      </c>
    </row>
    <row r="74" spans="10:33" x14ac:dyDescent="0.25">
      <c r="J74" s="9">
        <v>1</v>
      </c>
      <c r="K74" s="45" cm="1">
        <f t="array" ref="K74:K79">N65:N70</f>
        <v>0.60856989533920758</v>
      </c>
      <c r="AD74" s="9"/>
      <c r="AE74">
        <v>1</v>
      </c>
      <c r="AF74" s="10">
        <v>2</v>
      </c>
    </row>
    <row r="75" spans="10:33" x14ac:dyDescent="0.25">
      <c r="J75" s="9">
        <v>2</v>
      </c>
      <c r="K75" s="45">
        <v>0.94880195131128564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D75" s="9">
        <v>1</v>
      </c>
      <c r="AE75" s="17">
        <f t="shared" ref="AE75:AF80" si="33">AG57+AE66</f>
        <v>3.1919681840563534E-3</v>
      </c>
      <c r="AF75" s="14">
        <f>AH57+AF66</f>
        <v>7.0876119923188499E-2</v>
      </c>
    </row>
    <row r="76" spans="10:33" x14ac:dyDescent="0.25">
      <c r="J76" s="9">
        <v>3</v>
      </c>
      <c r="K76" s="45">
        <v>0.99745141029449336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D76" s="9">
        <v>2</v>
      </c>
      <c r="AE76" s="17">
        <f t="shared" si="33"/>
        <v>-6.7366394849750724E-2</v>
      </c>
      <c r="AF76" s="14">
        <f t="shared" si="33"/>
        <v>0.17024336438617327</v>
      </c>
    </row>
    <row r="77" spans="10:33" x14ac:dyDescent="0.25">
      <c r="J77" s="9">
        <v>4</v>
      </c>
      <c r="K77" s="45">
        <v>0.9714887658606689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D77" s="9">
        <v>3</v>
      </c>
      <c r="AE77" s="17">
        <f t="shared" si="33"/>
        <v>-0.15491863418241722</v>
      </c>
      <c r="AF77" s="14">
        <f t="shared" si="33"/>
        <v>7.5771322054048906E-2</v>
      </c>
    </row>
    <row r="78" spans="10:33" x14ac:dyDescent="0.25">
      <c r="J78" s="9">
        <v>5</v>
      </c>
      <c r="K78" s="45">
        <v>0.99582468486163989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D78" s="9">
        <v>4</v>
      </c>
      <c r="AE78" s="17">
        <f t="shared" si="33"/>
        <v>-6.0652202356044807E-2</v>
      </c>
      <c r="AF78" s="14">
        <f t="shared" si="33"/>
        <v>1.1594803217668703E-2</v>
      </c>
    </row>
    <row r="79" spans="10:33" x14ac:dyDescent="0.25">
      <c r="J79" s="9">
        <v>6</v>
      </c>
      <c r="K79" s="45">
        <v>0.99897304396636466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D79" s="9">
        <v>5</v>
      </c>
      <c r="AE79" s="17">
        <f t="shared" si="33"/>
        <v>-2.7202034168463101E-2</v>
      </c>
      <c r="AF79" s="14">
        <f t="shared" si="33"/>
        <v>0.14172920099033201</v>
      </c>
    </row>
    <row r="80" spans="10:33" x14ac:dyDescent="0.25">
      <c r="J80" s="9">
        <v>7</v>
      </c>
      <c r="K80" s="14" cm="1">
        <f t="array" ref="K80:K85">P65:P70</f>
        <v>0.1162509603413962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D80" s="11">
        <v>6</v>
      </c>
      <c r="AE80" s="18">
        <f t="shared" si="33"/>
        <v>1.5918469712969587E-2</v>
      </c>
      <c r="AF80" s="15">
        <f t="shared" si="33"/>
        <v>-0.18405015923934487</v>
      </c>
    </row>
    <row r="81" spans="10:36" x14ac:dyDescent="0.25">
      <c r="J81" s="9">
        <v>8</v>
      </c>
      <c r="K81" s="14">
        <v>0.22445770386338093</v>
      </c>
    </row>
    <row r="82" spans="10:36" x14ac:dyDescent="0.25">
      <c r="J82" s="9">
        <v>9</v>
      </c>
      <c r="K82" s="14">
        <v>0.3742313671418277</v>
      </c>
    </row>
    <row r="83" spans="10:36" x14ac:dyDescent="0.25">
      <c r="J83" s="9">
        <v>10</v>
      </c>
      <c r="K83" s="14">
        <v>0.39794932752033113</v>
      </c>
      <c r="AD83" s="46"/>
      <c r="AE83" s="47" t="s">
        <v>165</v>
      </c>
      <c r="AF83" s="48"/>
    </row>
    <row r="84" spans="10:36" x14ac:dyDescent="0.25">
      <c r="J84" s="9">
        <v>11</v>
      </c>
      <c r="K84" s="14">
        <v>0.24383137408274619</v>
      </c>
      <c r="AD84" s="49"/>
      <c r="AE84">
        <v>1</v>
      </c>
      <c r="AF84" s="50">
        <v>2</v>
      </c>
    </row>
    <row r="85" spans="10:36" x14ac:dyDescent="0.25">
      <c r="J85" s="11">
        <v>12</v>
      </c>
      <c r="K85" s="15">
        <v>0.31354044843851148</v>
      </c>
      <c r="AD85" s="51" t="s">
        <v>91</v>
      </c>
      <c r="AE85" s="17" cm="1">
        <f t="array" ref="AE85:AF90">MMULT(W75:AB80,AE75:AF80)</f>
        <v>1.5918469712969587E-2</v>
      </c>
      <c r="AF85" s="52">
        <v>-0.18405015923934487</v>
      </c>
    </row>
    <row r="86" spans="10:36" x14ac:dyDescent="0.25">
      <c r="AD86" s="49">
        <v>5</v>
      </c>
      <c r="AE86" s="17">
        <v>-2.7202034168463101E-2</v>
      </c>
      <c r="AF86" s="52">
        <v>0.14172920099033201</v>
      </c>
    </row>
    <row r="87" spans="10:36" x14ac:dyDescent="0.25">
      <c r="AD87" s="49">
        <v>4</v>
      </c>
      <c r="AE87" s="17">
        <v>-6.0652202356044807E-2</v>
      </c>
      <c r="AF87" s="52">
        <v>1.1594803217668703E-2</v>
      </c>
    </row>
    <row r="88" spans="10:36" x14ac:dyDescent="0.25">
      <c r="AD88" s="49">
        <v>3</v>
      </c>
      <c r="AE88" s="17">
        <v>-0.15491863418241722</v>
      </c>
      <c r="AF88" s="52">
        <v>7.5771322054048906E-2</v>
      </c>
    </row>
    <row r="89" spans="10:36" x14ac:dyDescent="0.25">
      <c r="AD89" s="49">
        <v>2</v>
      </c>
      <c r="AE89" s="17">
        <v>-6.7366394849750724E-2</v>
      </c>
      <c r="AF89" s="52">
        <v>0.17024336438617327</v>
      </c>
    </row>
    <row r="90" spans="10:36" x14ac:dyDescent="0.25">
      <c r="AD90" s="53">
        <v>1</v>
      </c>
      <c r="AE90" s="54">
        <v>3.1919681840563534E-3</v>
      </c>
      <c r="AF90" s="55">
        <v>7.0876119923188499E-2</v>
      </c>
    </row>
    <row r="92" spans="10:36" x14ac:dyDescent="0.25">
      <c r="AD92" s="46"/>
      <c r="AE92" s="56" t="s">
        <v>166</v>
      </c>
      <c r="AF92" s="56"/>
      <c r="AG92" s="56"/>
      <c r="AH92" s="56"/>
      <c r="AI92" s="56"/>
      <c r="AJ92" s="48"/>
    </row>
    <row r="93" spans="10:36" x14ac:dyDescent="0.25">
      <c r="AD93" s="49"/>
      <c r="AE93" s="2" t="s">
        <v>91</v>
      </c>
      <c r="AF93">
        <v>5</v>
      </c>
      <c r="AG93">
        <v>4</v>
      </c>
      <c r="AH93">
        <v>3</v>
      </c>
      <c r="AI93">
        <v>2</v>
      </c>
      <c r="AJ93" s="50">
        <v>1</v>
      </c>
    </row>
    <row r="94" spans="10:36" x14ac:dyDescent="0.25">
      <c r="AD94" s="49">
        <v>1</v>
      </c>
      <c r="AE94" s="17" cm="1">
        <f t="array" ref="AE94:AJ95">TRANSPOSE(AE85:AF90)</f>
        <v>1.5918469712969587E-2</v>
      </c>
      <c r="AF94" s="17">
        <v>-2.7202034168463101E-2</v>
      </c>
      <c r="AG94" s="17">
        <v>-6.0652202356044807E-2</v>
      </c>
      <c r="AH94" s="17">
        <v>-0.15491863418241722</v>
      </c>
      <c r="AI94" s="17">
        <v>-6.7366394849750724E-2</v>
      </c>
      <c r="AJ94" s="57">
        <v>3.1919681840563534E-3</v>
      </c>
    </row>
    <row r="95" spans="10:36" x14ac:dyDescent="0.25">
      <c r="AD95" s="53">
        <v>2</v>
      </c>
      <c r="AE95" s="58">
        <v>-0.18405015923934487</v>
      </c>
      <c r="AF95" s="58">
        <v>0.14172920099033201</v>
      </c>
      <c r="AG95" s="58">
        <v>1.1594803217668703E-2</v>
      </c>
      <c r="AH95" s="58">
        <v>7.5771322054048906E-2</v>
      </c>
      <c r="AI95" s="58">
        <v>0.17024336438617327</v>
      </c>
      <c r="AJ95" s="55">
        <v>7.0876119923188499E-2</v>
      </c>
    </row>
  </sheetData>
  <mergeCells count="2">
    <mergeCell ref="C31:F31"/>
    <mergeCell ref="C26:F26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U91"/>
  <sheetViews>
    <sheetView topLeftCell="BU1" workbookViewId="0">
      <selection activeCell="AU31" sqref="AU31"/>
    </sheetView>
  </sheetViews>
  <sheetFormatPr defaultRowHeight="15" x14ac:dyDescent="0.25"/>
  <cols>
    <col min="7" max="7" width="9.140625" customWidth="1"/>
    <col min="15" max="15" width="3.42578125" customWidth="1"/>
    <col min="22" max="22" width="1.7109375" customWidth="1"/>
    <col min="29" max="29" width="1.7109375" customWidth="1"/>
    <col min="30" max="30" width="12.140625" customWidth="1"/>
    <col min="55" max="55" width="2" customWidth="1"/>
    <col min="56" max="56" width="9.140625" customWidth="1"/>
    <col min="62" max="62" width="2" customWidth="1"/>
    <col min="68" max="68" width="2" customWidth="1"/>
    <col min="75" max="75" width="2" customWidth="1"/>
    <col min="78" max="78" width="2" customWidth="1"/>
  </cols>
  <sheetData>
    <row r="2" spans="2:99" ht="26.25" x14ac:dyDescent="0.4">
      <c r="B2" s="5"/>
      <c r="C2" s="16" t="s">
        <v>35</v>
      </c>
      <c r="D2" s="7"/>
      <c r="F2" s="59" t="s">
        <v>167</v>
      </c>
      <c r="G2" s="7">
        <f t="shared" ref="G2:G3" si="0">$G$4/$G$5</f>
        <v>1</v>
      </c>
      <c r="J2" s="4" t="s">
        <v>19</v>
      </c>
      <c r="AG2" s="4" t="s">
        <v>19</v>
      </c>
      <c r="AO2" s="4" t="s">
        <v>37</v>
      </c>
      <c r="AU2" s="4" t="s">
        <v>37</v>
      </c>
      <c r="CC2" s="4" t="s">
        <v>64</v>
      </c>
    </row>
    <row r="3" spans="2:99" ht="26.25" x14ac:dyDescent="0.4">
      <c r="B3" s="9"/>
      <c r="C3">
        <v>1</v>
      </c>
      <c r="D3" s="10">
        <v>2</v>
      </c>
      <c r="F3" s="23" t="s">
        <v>168</v>
      </c>
      <c r="G3" s="10">
        <f t="shared" si="0"/>
        <v>1</v>
      </c>
      <c r="J3" s="4" t="s">
        <v>169</v>
      </c>
      <c r="AG3" s="4" t="s">
        <v>38</v>
      </c>
      <c r="AO3" s="4" t="s">
        <v>38</v>
      </c>
      <c r="AU3" s="4" t="s">
        <v>170</v>
      </c>
      <c r="CC3" s="4" t="s">
        <v>20</v>
      </c>
    </row>
    <row r="4" spans="2:99" x14ac:dyDescent="0.25">
      <c r="B4" s="9">
        <v>1</v>
      </c>
      <c r="C4" s="17" cm="1">
        <f t="array" ref="C4:D9">FRONTEND!M49:N54</f>
        <v>4.0296676785617889</v>
      </c>
      <c r="D4" s="14">
        <v>1.426184227044502</v>
      </c>
      <c r="F4" s="23" t="s">
        <v>171</v>
      </c>
      <c r="G4" s="10">
        <v>2</v>
      </c>
      <c r="H4" t="s">
        <v>172</v>
      </c>
      <c r="J4" s="17" t="s">
        <v>173</v>
      </c>
      <c r="L4" t="s">
        <v>174</v>
      </c>
      <c r="N4" t="s">
        <v>174</v>
      </c>
      <c r="P4" t="s">
        <v>173</v>
      </c>
      <c r="AD4" t="s">
        <v>173</v>
      </c>
      <c r="CC4" t="s">
        <v>70</v>
      </c>
      <c r="CE4" t="s">
        <v>25</v>
      </c>
      <c r="CF4" t="s">
        <v>71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2:99" x14ac:dyDescent="0.25">
      <c r="B5" s="9">
        <v>2</v>
      </c>
      <c r="C5" s="17">
        <v>3.1757752467270279</v>
      </c>
      <c r="D5" s="14">
        <v>0.83446165212430812</v>
      </c>
      <c r="F5" s="23" t="s">
        <v>175</v>
      </c>
      <c r="G5" s="10">
        <v>2</v>
      </c>
      <c r="I5" t="s">
        <v>174</v>
      </c>
      <c r="J5" t="s">
        <v>176</v>
      </c>
      <c r="L5" t="s">
        <v>177</v>
      </c>
      <c r="N5" t="s">
        <v>178</v>
      </c>
      <c r="P5" t="s">
        <v>179</v>
      </c>
      <c r="W5" t="s">
        <v>180</v>
      </c>
      <c r="AD5" t="s">
        <v>181</v>
      </c>
      <c r="AE5" t="s">
        <v>182</v>
      </c>
      <c r="AG5" t="s">
        <v>3</v>
      </c>
      <c r="AI5" s="5"/>
      <c r="AJ5" s="16" t="s">
        <v>40</v>
      </c>
      <c r="AK5" s="6"/>
      <c r="AL5" s="7"/>
      <c r="AN5" s="5"/>
      <c r="AO5" s="6" t="s">
        <v>41</v>
      </c>
      <c r="AP5" s="7" t="s">
        <v>42</v>
      </c>
      <c r="AT5" s="5"/>
      <c r="AU5" s="16" t="s">
        <v>183</v>
      </c>
      <c r="AV5" s="7" t="s">
        <v>184</v>
      </c>
      <c r="AX5" s="5" t="s">
        <v>185</v>
      </c>
      <c r="AY5" s="7" t="s">
        <v>186</v>
      </c>
      <c r="CC5">
        <v>1</v>
      </c>
      <c r="CD5" s="2" t="s">
        <v>72</v>
      </c>
      <c r="CE5">
        <v>1</v>
      </c>
      <c r="CF5">
        <v>2</v>
      </c>
      <c r="CG5">
        <v>3</v>
      </c>
      <c r="CH5">
        <v>4</v>
      </c>
      <c r="CI5">
        <v>5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2:99" x14ac:dyDescent="0.25">
      <c r="B6" s="9">
        <v>3</v>
      </c>
      <c r="C6" s="17">
        <v>3.3789276309323317</v>
      </c>
      <c r="D6" s="14">
        <v>1.8393159934697598</v>
      </c>
      <c r="F6" s="24" t="s">
        <v>187</v>
      </c>
      <c r="G6" s="12">
        <v>2</v>
      </c>
      <c r="J6">
        <v>1</v>
      </c>
      <c r="L6">
        <v>1</v>
      </c>
      <c r="N6">
        <v>1</v>
      </c>
      <c r="P6">
        <v>1</v>
      </c>
      <c r="Q6">
        <v>2</v>
      </c>
      <c r="R6">
        <v>3</v>
      </c>
      <c r="S6">
        <v>4</v>
      </c>
      <c r="T6">
        <v>5</v>
      </c>
      <c r="U6">
        <v>6</v>
      </c>
      <c r="W6">
        <v>1</v>
      </c>
      <c r="X6">
        <v>2</v>
      </c>
      <c r="Y6">
        <v>3</v>
      </c>
      <c r="Z6">
        <v>4</v>
      </c>
      <c r="AA6">
        <v>5</v>
      </c>
      <c r="AB6">
        <v>6</v>
      </c>
      <c r="AD6">
        <v>1</v>
      </c>
      <c r="AG6">
        <v>1</v>
      </c>
      <c r="AI6" s="9"/>
      <c r="AJ6">
        <v>1</v>
      </c>
      <c r="AK6">
        <v>2</v>
      </c>
      <c r="AL6" s="10">
        <v>3</v>
      </c>
      <c r="AN6" s="9"/>
      <c r="AO6">
        <v>1</v>
      </c>
      <c r="AP6" s="10"/>
      <c r="AT6" s="9"/>
      <c r="AU6">
        <v>1</v>
      </c>
      <c r="AV6" s="10">
        <v>2</v>
      </c>
      <c r="AX6" s="9">
        <v>1</v>
      </c>
      <c r="AY6" s="10">
        <v>2</v>
      </c>
      <c r="CB6">
        <v>1</v>
      </c>
      <c r="CC6" s="17" cm="1">
        <f t="array" ref="CC6:CC11">CA85:CA90</f>
        <v>-0.19032161206009576</v>
      </c>
      <c r="CD6">
        <f>MATCH(MAX(FRONTEND!$M28:$Q28),FRONTEND!$M28:$Q28,0)</f>
        <v>4</v>
      </c>
      <c r="CE6">
        <f t="shared" ref="CE6:CE11" si="1">IF($CD6=CE$5,$CC6,0)</f>
        <v>0</v>
      </c>
      <c r="CF6">
        <f t="shared" ref="CF6:CI11" si="2">IF($CD6=CF$5,$CC6,0)</f>
        <v>0</v>
      </c>
      <c r="CG6">
        <f t="shared" si="2"/>
        <v>0</v>
      </c>
      <c r="CH6">
        <f t="shared" si="2"/>
        <v>-0.19032161206009576</v>
      </c>
      <c r="CI6">
        <f t="shared" si="2"/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2:99" x14ac:dyDescent="0.25">
      <c r="B7" s="9">
        <v>4</v>
      </c>
      <c r="C7" s="17">
        <v>1.5094131886761968</v>
      </c>
      <c r="D7" s="14">
        <v>0.40501335750777256</v>
      </c>
      <c r="I7">
        <v>1</v>
      </c>
      <c r="J7" cm="1">
        <f t="array" ref="J7:J12">MMULT($C$14:$D$19,C25:C26)</f>
        <v>-1.3385314191211002</v>
      </c>
      <c r="L7" cm="1">
        <f t="array" ref="L7:L12">MMULT($C$14:$D$19,E25:E26)</f>
        <v>-0.11812803675662598</v>
      </c>
      <c r="N7" cm="1">
        <f t="array" ref="N7:N12">MMULT($C$14:$D$19,G25:G26)</f>
        <v>-1.7817100984100505</v>
      </c>
      <c r="P7" cm="1">
        <f t="array" ref="P7:U12">MMULT(_xlfn.ANCHORARRAY(J7),TRANSPOSE(_xlfn.ANCHORARRAY(L7)))/SQRT($G$2)</f>
        <v>0.15811808867783606</v>
      </c>
      <c r="Q7">
        <v>-0.85963907319556276</v>
      </c>
      <c r="R7">
        <v>-0.96082047701631357</v>
      </c>
      <c r="S7">
        <v>-1.4736332645785815</v>
      </c>
      <c r="T7">
        <v>-2.1737681629793459</v>
      </c>
      <c r="U7">
        <v>0.35613755914305734</v>
      </c>
      <c r="W7" cm="1">
        <f t="array" ref="W7">EXP(P7)/SUM(EXP($P7:$U7))</f>
        <v>0.31252772090630376</v>
      </c>
      <c r="X7" cm="1">
        <f t="array" ref="X7">EXP(Q7)/SUM(EXP($P7:$U7))</f>
        <v>0.11294895717756043</v>
      </c>
      <c r="Y7" cm="1">
        <f t="array" ref="Y7">EXP(R7)/SUM(EXP($P7:$U7))</f>
        <v>0.10207977408207912</v>
      </c>
      <c r="Z7" cm="1">
        <f t="array" ref="Z7">EXP(S7)/SUM(EXP($P7:$U7))</f>
        <v>6.1126275758747517E-2</v>
      </c>
      <c r="AA7" cm="1">
        <f t="array" ref="AA7">EXP(T7)/SUM(EXP($P7:$U7))</f>
        <v>3.0350315732076607E-2</v>
      </c>
      <c r="AB7" cm="1">
        <f t="array" ref="AB7">EXP(U7)/SUM(EXP($P7:$U7))</f>
        <v>0.38096695634323258</v>
      </c>
      <c r="AD7" s="17" cm="1">
        <f t="array" ref="AD7:AD12">MMULT(W7:AB12,_xlfn.ANCHORARRAY(N7))</f>
        <v>-1.2059822914038199</v>
      </c>
      <c r="AF7">
        <v>1</v>
      </c>
      <c r="AG7" s="17">
        <f t="shared" ref="AG7:AG18" si="3">U47</f>
        <v>3.8524777316336736</v>
      </c>
      <c r="AI7" s="9">
        <v>1</v>
      </c>
      <c r="AJ7" s="35">
        <v>-0.13400000000000001</v>
      </c>
      <c r="AK7" s="35">
        <v>-0.67100000000000004</v>
      </c>
      <c r="AL7" s="36">
        <v>-0.77800000000000002</v>
      </c>
      <c r="AN7" s="9">
        <v>1</v>
      </c>
      <c r="AO7" s="1">
        <f>-1/3*((2/(1+DATA!$I$16))*AH34/AG28-((2*DATA!$I$16)/(1+DATA!$I$16))*(1-AH34)*(1-AG28))</f>
        <v>-1.5588610272417691</v>
      </c>
      <c r="AP7" s="10"/>
      <c r="AT7" s="9">
        <v>1</v>
      </c>
      <c r="AU7" cm="1">
        <f t="array" ref="AU7:AV8">C47:D48-$AG$39*MMULT(TRANSPOSE($M$38:$N$43),$AO$75:$AP$80)</f>
        <v>-0.77676931698766816</v>
      </c>
      <c r="AV7" s="10">
        <v>-0.80272198753831014</v>
      </c>
      <c r="AX7" s="11">
        <f>F47-$AG$39*SUM(AO75:AO80)</f>
        <v>0.96414111230886979</v>
      </c>
      <c r="AY7" s="12">
        <f>G47-$AG$39*SUM(AP75:AP80)</f>
        <v>1.026151028968616</v>
      </c>
      <c r="CB7">
        <v>2</v>
      </c>
      <c r="CC7" s="17">
        <v>7.633427249813525E-2</v>
      </c>
      <c r="CD7">
        <f>MATCH(MAX(FRONTEND!$M29:$Q29),FRONTEND!$M29:$Q29,0)</f>
        <v>2</v>
      </c>
      <c r="CE7">
        <f t="shared" si="1"/>
        <v>0</v>
      </c>
      <c r="CF7">
        <f t="shared" si="2"/>
        <v>7.633427249813525E-2</v>
      </c>
      <c r="CG7">
        <f t="shared" si="2"/>
        <v>0</v>
      </c>
      <c r="CH7">
        <f t="shared" si="2"/>
        <v>0</v>
      </c>
      <c r="CI7">
        <f t="shared" si="2"/>
        <v>0</v>
      </c>
      <c r="CK7">
        <v>0</v>
      </c>
      <c r="CL7">
        <v>0</v>
      </c>
      <c r="CM7">
        <v>0</v>
      </c>
      <c r="CN7" s="5" cm="1">
        <f t="array" ref="CN7:CR12">FRONTEND!$B$4:$F$9</f>
        <v>9.8070127981472688E-2</v>
      </c>
      <c r="CO7" s="6">
        <v>0.76989837351610546</v>
      </c>
      <c r="CP7" s="6">
        <v>1.0888675284528564</v>
      </c>
      <c r="CQ7" s="6">
        <v>0.41864132753818439</v>
      </c>
      <c r="CR7" s="7">
        <v>-0.54807215149909738</v>
      </c>
      <c r="CS7">
        <v>0</v>
      </c>
      <c r="CT7">
        <v>0</v>
      </c>
      <c r="CU7">
        <v>0</v>
      </c>
    </row>
    <row r="8" spans="2:99" x14ac:dyDescent="0.25">
      <c r="B8" s="9">
        <v>5</v>
      </c>
      <c r="C8" s="17">
        <v>4.5198656803290973</v>
      </c>
      <c r="D8" s="14">
        <v>0.53701995183003415</v>
      </c>
      <c r="I8">
        <v>2</v>
      </c>
      <c r="J8">
        <v>-2.2530739685497512</v>
      </c>
      <c r="L8">
        <v>0.64222554727928216</v>
      </c>
      <c r="N8">
        <v>-1.0997438488189222</v>
      </c>
      <c r="P8">
        <v>0.26615120457224217</v>
      </c>
      <c r="Q8">
        <v>-1.4469816625125682</v>
      </c>
      <c r="R8">
        <v>-1.6172945769449703</v>
      </c>
      <c r="S8">
        <v>-2.4804832372116348</v>
      </c>
      <c r="T8">
        <v>-3.6589805750595339</v>
      </c>
      <c r="U8">
        <v>0.59946614047725577</v>
      </c>
      <c r="W8" cm="1">
        <f t="array" ref="W8">EXP(P8)/SUM(EXP($P8:$U8))</f>
        <v>0.35563965331313518</v>
      </c>
      <c r="X8" cm="1">
        <f t="array" ref="X8">EXP(Q8)/SUM(EXP($P8:$U8))</f>
        <v>6.4121847554714256E-2</v>
      </c>
      <c r="Y8" cm="1">
        <f t="array" ref="Y8">EXP(R8)/SUM(EXP($P8:$U8))</f>
        <v>5.4080421564720919E-2</v>
      </c>
      <c r="Z8" cm="1">
        <f t="array" ref="Z8">EXP(S8)/SUM(EXP($P8:$U8))</f>
        <v>2.2811928218710496E-2</v>
      </c>
      <c r="AA8" cm="1">
        <f t="array" ref="AA8">EXP(T8)/SUM(EXP($P8:$U8))</f>
        <v>7.0201615373774633E-3</v>
      </c>
      <c r="AB8" cm="1">
        <f t="array" ref="AB8">EXP(U8)/SUM(EXP($P8:$U8))</f>
        <v>0.49632598781134168</v>
      </c>
      <c r="AD8" s="17">
        <v>-1.3104404012092385</v>
      </c>
      <c r="AF8">
        <v>2</v>
      </c>
      <c r="AG8" s="17">
        <f t="shared" si="3"/>
        <v>3.7740176544159789</v>
      </c>
      <c r="AI8" s="9">
        <v>2</v>
      </c>
      <c r="AJ8" s="35">
        <v>-0.94499999999999995</v>
      </c>
      <c r="AK8" s="35">
        <v>-0.04</v>
      </c>
      <c r="AL8" s="36">
        <v>0.99099999999999999</v>
      </c>
      <c r="AN8" s="9">
        <v>2</v>
      </c>
      <c r="AO8" s="1">
        <f>-1/3*((2/(1+DATA!$I$16))*AH35/AG29-((2*DATA!$I$16)/(1+DATA!$I$16))*(1-AH35)*(1-AG29))</f>
        <v>6.6442273369516774E-2</v>
      </c>
      <c r="AP8" s="10"/>
      <c r="AT8" s="11">
        <v>2</v>
      </c>
      <c r="AU8" s="13">
        <v>-0.77099298153264306</v>
      </c>
      <c r="AV8" s="12">
        <v>0.11136103883261944</v>
      </c>
      <c r="CB8">
        <v>3</v>
      </c>
      <c r="CC8" s="17">
        <v>-0.15458802370245733</v>
      </c>
      <c r="CD8">
        <f>MATCH(MAX(FRONTEND!$M30:$Q30),FRONTEND!$M30:$Q30,0)</f>
        <v>3</v>
      </c>
      <c r="CE8">
        <f t="shared" si="1"/>
        <v>0</v>
      </c>
      <c r="CF8">
        <f t="shared" si="2"/>
        <v>0</v>
      </c>
      <c r="CG8">
        <f t="shared" si="2"/>
        <v>-0.15458802370245733</v>
      </c>
      <c r="CH8">
        <f t="shared" si="2"/>
        <v>0</v>
      </c>
      <c r="CI8">
        <f t="shared" si="2"/>
        <v>0</v>
      </c>
      <c r="CK8">
        <v>0</v>
      </c>
      <c r="CL8">
        <v>0</v>
      </c>
      <c r="CM8">
        <v>0</v>
      </c>
      <c r="CN8" s="9">
        <v>0.3947945813296071</v>
      </c>
      <c r="CO8">
        <v>0.76298402984034686</v>
      </c>
      <c r="CP8">
        <v>-1.5092547447204521</v>
      </c>
      <c r="CQ8">
        <v>0.78695236170270555</v>
      </c>
      <c r="CR8" s="10">
        <v>-1.6514230540804744</v>
      </c>
      <c r="CS8">
        <v>0</v>
      </c>
      <c r="CT8">
        <v>0</v>
      </c>
      <c r="CU8">
        <v>0</v>
      </c>
    </row>
    <row r="9" spans="2:99" x14ac:dyDescent="0.25">
      <c r="B9" s="11">
        <v>6</v>
      </c>
      <c r="C9" s="18">
        <v>3.0540707238032767</v>
      </c>
      <c r="D9" s="15">
        <v>1.2588938475691771</v>
      </c>
      <c r="I9">
        <v>3</v>
      </c>
      <c r="J9">
        <v>-2.4440611416955038</v>
      </c>
      <c r="L9">
        <v>0.71781690238336182</v>
      </c>
      <c r="N9">
        <v>-1.1452013166892729</v>
      </c>
      <c r="P9">
        <v>0.28871214438164772</v>
      </c>
      <c r="Q9">
        <v>-1.5696385043094221</v>
      </c>
      <c r="R9">
        <v>-1.7543883979674093</v>
      </c>
      <c r="S9">
        <v>-2.6907472978342919</v>
      </c>
      <c r="T9">
        <v>-3.9691427651964397</v>
      </c>
      <c r="U9">
        <v>0.6502813135095199</v>
      </c>
      <c r="W9" cm="1">
        <f t="array" ref="W9">EXP(P9)/SUM(EXP($P9:$U9))</f>
        <v>0.3589234997659338</v>
      </c>
      <c r="X9" cm="1">
        <f t="array" ref="X9">EXP(Q9)/SUM(EXP($P9:$U9))</f>
        <v>5.5966798138138721E-2</v>
      </c>
      <c r="Y9" cm="1">
        <f t="array" ref="Y9">EXP(R9)/SUM(EXP($P9:$U9))</f>
        <v>4.6525880648862636E-2</v>
      </c>
      <c r="Z9" cm="1">
        <f t="array" ref="Z9">EXP(S9)/SUM(EXP($P9:$U9))</f>
        <v>1.8240599127166933E-2</v>
      </c>
      <c r="AA9" cm="1">
        <f t="array" ref="AA9">EXP(T9)/SUM(EXP($P9:$U9))</f>
        <v>5.0797109665776125E-3</v>
      </c>
      <c r="AB9" cm="1">
        <f t="array" ref="AB9">EXP(U9)/SUM(EXP($P9:$U9))</f>
        <v>0.51526351135332027</v>
      </c>
      <c r="AD9" s="17">
        <v>-1.3207714547528537</v>
      </c>
      <c r="AF9">
        <v>3</v>
      </c>
      <c r="AG9" s="17">
        <f t="shared" si="3"/>
        <v>4.0598648068221301</v>
      </c>
      <c r="AI9" s="9">
        <v>3</v>
      </c>
      <c r="AJ9" s="35">
        <v>-0.62</v>
      </c>
      <c r="AK9" s="35">
        <v>0.312</v>
      </c>
      <c r="AL9" s="36">
        <v>-0.121</v>
      </c>
      <c r="AN9" s="11">
        <v>3</v>
      </c>
      <c r="AO9" s="21">
        <f>-1/3*((2/(1+DATA!$I$16))*AH36/AG30-((2*DATA!$I$16)/(1+DATA!$I$16))*(1-AH36)*(1-AG30))</f>
        <v>-1.4403943244871986</v>
      </c>
      <c r="AP9" s="12"/>
      <c r="CB9">
        <v>4</v>
      </c>
      <c r="CC9" s="17">
        <v>0.15659341682569333</v>
      </c>
      <c r="CD9">
        <f>MATCH(MAX(FRONTEND!$M31:$Q31),FRONTEND!$M31:$Q31,0)</f>
        <v>4</v>
      </c>
      <c r="CE9">
        <f t="shared" si="1"/>
        <v>0</v>
      </c>
      <c r="CF9">
        <f t="shared" si="2"/>
        <v>0</v>
      </c>
      <c r="CG9">
        <f t="shared" si="2"/>
        <v>0</v>
      </c>
      <c r="CH9">
        <f t="shared" si="2"/>
        <v>0.15659341682569333</v>
      </c>
      <c r="CI9">
        <f t="shared" si="2"/>
        <v>0</v>
      </c>
      <c r="CK9">
        <v>0</v>
      </c>
      <c r="CL9">
        <v>0</v>
      </c>
      <c r="CM9">
        <v>0</v>
      </c>
      <c r="CN9" s="9">
        <v>1.2610501600821225</v>
      </c>
      <c r="CO9">
        <v>1.0201001967063095</v>
      </c>
      <c r="CP9">
        <v>0.20946802791688546</v>
      </c>
      <c r="CQ9">
        <v>-1.5474479187727208</v>
      </c>
      <c r="CR9" s="10">
        <v>-0.51000095484744268</v>
      </c>
      <c r="CS9">
        <v>0</v>
      </c>
      <c r="CT9">
        <v>0</v>
      </c>
      <c r="CU9">
        <v>0</v>
      </c>
    </row>
    <row r="10" spans="2:99" x14ac:dyDescent="0.25">
      <c r="B10" t="s">
        <v>45</v>
      </c>
      <c r="I10">
        <v>4</v>
      </c>
      <c r="J10">
        <v>-1.9375412579880391</v>
      </c>
      <c r="L10">
        <v>1.1009328907245159</v>
      </c>
      <c r="N10">
        <v>0.29323875590177673</v>
      </c>
      <c r="P10">
        <v>0.22887794494109043</v>
      </c>
      <c r="Q10">
        <v>-1.2443384947875573</v>
      </c>
      <c r="R10">
        <v>-1.3907998640489363</v>
      </c>
      <c r="S10">
        <v>-2.133102898054787</v>
      </c>
      <c r="T10">
        <v>-3.1465570706131496</v>
      </c>
      <c r="U10">
        <v>0.51551364764520347</v>
      </c>
      <c r="W10" cm="1">
        <f t="array" ref="W10">EXP(P10)/SUM(EXP($P10:$U10))</f>
        <v>0.3463173336912802</v>
      </c>
      <c r="X10" cm="1">
        <f t="array" ref="X10">EXP(Q10)/SUM(EXP($P10:$U10))</f>
        <v>7.9371476398795632E-2</v>
      </c>
      <c r="Y10" cm="1">
        <f t="array" ref="Y10">EXP(R10)/SUM(EXP($P10:$U10))</f>
        <v>6.8557834967689191E-2</v>
      </c>
      <c r="Z10" cm="1">
        <f t="array" ref="Z10">EXP(S10)/SUM(EXP($P10:$U10))</f>
        <v>3.2634651755303709E-2</v>
      </c>
      <c r="AA10" cm="1">
        <f t="array" ref="AA10">EXP(T10)/SUM(EXP($P10:$U10))</f>
        <v>1.1845173541951365E-2</v>
      </c>
      <c r="AB10" cm="1">
        <f t="array" ref="AB10">EXP(U10)/SUM(EXP($P10:$U10))</f>
        <v>0.46127352964497986</v>
      </c>
      <c r="AD10" s="17">
        <v>-1.2860235953106054</v>
      </c>
      <c r="AF10">
        <v>4</v>
      </c>
      <c r="AG10" s="17">
        <f t="shared" si="3"/>
        <v>2.6080100545201939</v>
      </c>
      <c r="AI10" s="9">
        <v>4</v>
      </c>
      <c r="AJ10" s="35">
        <v>-0.29099999999999998</v>
      </c>
      <c r="AK10" s="35">
        <v>-0.20200000000000001</v>
      </c>
      <c r="AL10" s="36">
        <v>0.186</v>
      </c>
      <c r="AU10" t="s">
        <v>188</v>
      </c>
      <c r="AW10" t="s">
        <v>189</v>
      </c>
      <c r="CB10">
        <v>5</v>
      </c>
      <c r="CC10" s="17">
        <v>-7.2791255504622177E-2</v>
      </c>
      <c r="CD10">
        <f>MATCH(MAX(FRONTEND!$M32:$Q32),FRONTEND!$M32:$Q32,0)</f>
        <v>1</v>
      </c>
      <c r="CE10">
        <f t="shared" si="1"/>
        <v>-7.2791255504622177E-2</v>
      </c>
      <c r="CF10">
        <f t="shared" si="2"/>
        <v>0</v>
      </c>
      <c r="CG10">
        <f t="shared" si="2"/>
        <v>0</v>
      </c>
      <c r="CH10">
        <f t="shared" si="2"/>
        <v>0</v>
      </c>
      <c r="CI10">
        <f t="shared" si="2"/>
        <v>0</v>
      </c>
      <c r="CK10">
        <v>0</v>
      </c>
      <c r="CL10">
        <v>0</v>
      </c>
      <c r="CM10">
        <v>0</v>
      </c>
      <c r="CN10" s="9">
        <v>-1.914822845899089</v>
      </c>
      <c r="CO10">
        <v>-0.96507706088431011</v>
      </c>
      <c r="CP10">
        <v>-0.73600695036684105</v>
      </c>
      <c r="CQ10">
        <v>-1.2146668976505628</v>
      </c>
      <c r="CR10" s="10">
        <v>0.61213976054071273</v>
      </c>
      <c r="CS10">
        <v>0</v>
      </c>
      <c r="CT10">
        <v>0</v>
      </c>
      <c r="CU10">
        <v>0</v>
      </c>
    </row>
    <row r="11" spans="2:99" x14ac:dyDescent="0.25">
      <c r="I11">
        <v>5</v>
      </c>
      <c r="J11">
        <v>-3.3463892942377957</v>
      </c>
      <c r="L11">
        <v>1.6239948737301024</v>
      </c>
      <c r="N11">
        <v>-0.12010714808734235</v>
      </c>
      <c r="P11">
        <v>0.39530239755170199</v>
      </c>
      <c r="Q11">
        <v>-2.1491366959013991</v>
      </c>
      <c r="R11">
        <v>-2.4020947973586191</v>
      </c>
      <c r="S11">
        <v>-3.684150039194789</v>
      </c>
      <c r="T11">
        <v>-5.4345190593474753</v>
      </c>
      <c r="U11">
        <v>0.89036006041221227</v>
      </c>
      <c r="W11" cm="1">
        <f t="array" ref="W11">EXP(P11)/SUM(EXP($P11:$U11))</f>
        <v>0.35715130234215853</v>
      </c>
      <c r="X11" cm="1">
        <f t="array" ref="X11">EXP(Q11)/SUM(EXP($P11:$U11))</f>
        <v>2.8042477512422736E-2</v>
      </c>
      <c r="Y11" cm="1">
        <f t="array" ref="Y11">EXP(R11)/SUM(EXP($P11:$U11))</f>
        <v>2.1774995436625918E-2</v>
      </c>
      <c r="Z11" cm="1">
        <f t="array" ref="Z11">EXP(S11)/SUM(EXP($P11:$U11))</f>
        <v>6.0418307560927429E-3</v>
      </c>
      <c r="AA11" cm="1">
        <f t="array" ref="AA11">EXP(T11)/SUM(EXP($P11:$U11))</f>
        <v>1.0495253886584404E-3</v>
      </c>
      <c r="AB11" cm="1">
        <f t="array" ref="AB11">EXP(U11)/SUM(EXP($P11:$U11))</f>
        <v>0.58593986856404157</v>
      </c>
      <c r="AD11" s="17">
        <v>-1.3399990969793096</v>
      </c>
      <c r="AF11">
        <v>5</v>
      </c>
      <c r="AG11" s="17">
        <f t="shared" si="3"/>
        <v>4.7462823220890584</v>
      </c>
      <c r="AI11" s="9">
        <v>5</v>
      </c>
      <c r="AJ11" s="35">
        <v>-0.57699999999999996</v>
      </c>
      <c r="AK11" s="35">
        <v>-0.185</v>
      </c>
      <c r="AL11" s="36">
        <v>0.17299999999999999</v>
      </c>
      <c r="AU11">
        <v>1</v>
      </c>
      <c r="AV11">
        <v>2</v>
      </c>
      <c r="CB11">
        <v>6</v>
      </c>
      <c r="CC11" s="17">
        <v>0.11984531242810692</v>
      </c>
      <c r="CD11">
        <f>MATCH(MAX(FRONTEND!$M33:$Q33),FRONTEND!$M33:$Q33,0)</f>
        <v>5</v>
      </c>
      <c r="CE11">
        <f t="shared" si="1"/>
        <v>0</v>
      </c>
      <c r="CF11">
        <f t="shared" si="2"/>
        <v>0</v>
      </c>
      <c r="CG11">
        <f t="shared" si="2"/>
        <v>0</v>
      </c>
      <c r="CH11">
        <f t="shared" si="2"/>
        <v>0</v>
      </c>
      <c r="CI11">
        <f t="shared" si="2"/>
        <v>0.11984531242810692</v>
      </c>
      <c r="CK11">
        <v>0</v>
      </c>
      <c r="CL11">
        <v>0</v>
      </c>
      <c r="CM11">
        <v>0</v>
      </c>
      <c r="CN11" s="9">
        <v>0.61185767787065537</v>
      </c>
      <c r="CO11">
        <v>-1.6862564508613829</v>
      </c>
      <c r="CP11">
        <v>-0.39331255882270999</v>
      </c>
      <c r="CQ11">
        <v>1.027314449369916</v>
      </c>
      <c r="CR11" s="10">
        <v>1.3115002107703582</v>
      </c>
      <c r="CS11">
        <v>0</v>
      </c>
      <c r="CT11">
        <v>0</v>
      </c>
      <c r="CU11">
        <v>0</v>
      </c>
    </row>
    <row r="12" spans="2:99" x14ac:dyDescent="0.25">
      <c r="B12" s="5" t="s">
        <v>190</v>
      </c>
      <c r="C12" s="6"/>
      <c r="D12" s="7"/>
      <c r="E12" t="s">
        <v>191</v>
      </c>
      <c r="G12" t="s">
        <v>192</v>
      </c>
      <c r="I12">
        <v>6</v>
      </c>
      <c r="J12">
        <v>-0.44856693009028414</v>
      </c>
      <c r="L12">
        <v>-0.26606589434927319</v>
      </c>
      <c r="N12">
        <v>-1.1085239247602845</v>
      </c>
      <c r="P12">
        <v>5.2988330805511963E-2</v>
      </c>
      <c r="Q12">
        <v>-0.28808114216862024</v>
      </c>
      <c r="R12">
        <v>-0.32198892426902176</v>
      </c>
      <c r="S12">
        <v>-0.49384208702771837</v>
      </c>
      <c r="T12">
        <v>-0.7284703949914707</v>
      </c>
      <c r="U12">
        <v>0.11934836142997936</v>
      </c>
      <c r="W12" cm="1">
        <f t="array" ref="W12">EXP(P12)/SUM(EXP($P12:$U12))</f>
        <v>0.22205222821083356</v>
      </c>
      <c r="X12" cm="1">
        <f t="array" ref="X12">EXP(Q12)/SUM(EXP($P12:$U12))</f>
        <v>0.15788124609565463</v>
      </c>
      <c r="Y12" cm="1">
        <f t="array" ref="Y12">EXP(R12)/SUM(EXP($P12:$U12))</f>
        <v>0.15261758701711708</v>
      </c>
      <c r="Z12" cm="1">
        <f t="array" ref="Z12">EXP(S12)/SUM(EXP($P12:$U12))</f>
        <v>0.12851969982036851</v>
      </c>
      <c r="AA12" cm="1">
        <f t="array" ref="AA12">EXP(T12)/SUM(EXP($P12:$U12))</f>
        <v>0.10164170067142579</v>
      </c>
      <c r="AB12" cm="1">
        <f t="array" ref="AB12">EXP(U12)/SUM(EXP($P12:$U12))</f>
        <v>0.23728753818460049</v>
      </c>
      <c r="AD12" s="17">
        <v>-0.98159933925249687</v>
      </c>
      <c r="AF12">
        <v>6</v>
      </c>
      <c r="AG12" s="17">
        <f t="shared" si="3"/>
        <v>2.8858330291582019</v>
      </c>
      <c r="AI12" s="9">
        <v>6</v>
      </c>
      <c r="AJ12" s="35">
        <v>0.57199999999999995</v>
      </c>
      <c r="AK12" s="35">
        <v>0.89200000000000002</v>
      </c>
      <c r="AL12" s="36">
        <v>0.75700000000000001</v>
      </c>
      <c r="AN12" s="5" t="s">
        <v>47</v>
      </c>
      <c r="AO12" s="6" t="s">
        <v>48</v>
      </c>
      <c r="AP12" s="7"/>
      <c r="AT12">
        <v>1</v>
      </c>
      <c r="AU12" s="17" cm="1">
        <f t="array" ref="AU12:AV17">MMULT($AO$75:$AP$80,TRANSPOSE($C$47:$D$48))</f>
        <v>-0.2653571375929431</v>
      </c>
      <c r="AV12" s="20">
        <v>2.047255704295247E-2</v>
      </c>
      <c r="CK12">
        <v>0</v>
      </c>
      <c r="CL12">
        <v>0</v>
      </c>
      <c r="CM12">
        <v>0</v>
      </c>
      <c r="CN12" s="11">
        <v>-0.45094970136476858</v>
      </c>
      <c r="CO12" s="13">
        <v>9.8350911682930572E-2</v>
      </c>
      <c r="CP12" s="13">
        <v>1.3402386975402607</v>
      </c>
      <c r="CQ12" s="13">
        <v>0.52920667781247754</v>
      </c>
      <c r="CR12" s="12">
        <v>0.78585618911594302</v>
      </c>
      <c r="CS12">
        <v>0</v>
      </c>
      <c r="CT12">
        <v>0</v>
      </c>
      <c r="CU12">
        <v>0</v>
      </c>
    </row>
    <row r="13" spans="2:99" x14ac:dyDescent="0.25">
      <c r="B13" s="23" t="s">
        <v>193</v>
      </c>
      <c r="C13">
        <f>COUNT($C$3:$D$3)/2-1</f>
        <v>0</v>
      </c>
      <c r="D13" s="10">
        <f>COUNT($C$3:$D$3)/2-1</f>
        <v>0</v>
      </c>
      <c r="E13" s="2" t="s">
        <v>193</v>
      </c>
      <c r="F13">
        <f>COUNT($C$3:$D$3)/2-1</f>
        <v>0</v>
      </c>
      <c r="G13">
        <f>COUNT($C$3:$D$3)/2-1</f>
        <v>0</v>
      </c>
      <c r="AF13">
        <v>7</v>
      </c>
      <c r="AG13" s="20">
        <f t="shared" si="3"/>
        <v>3.3505441645822254</v>
      </c>
      <c r="AI13" s="9">
        <v>7</v>
      </c>
      <c r="AJ13" s="35">
        <v>-0.21</v>
      </c>
      <c r="AK13" s="35">
        <v>-0.86299999999999999</v>
      </c>
      <c r="AL13" s="36">
        <v>0.252</v>
      </c>
      <c r="AN13" s="9"/>
      <c r="AO13">
        <v>1</v>
      </c>
      <c r="AP13" s="10"/>
      <c r="AT13">
        <v>2</v>
      </c>
      <c r="AU13" s="17">
        <v>1.806986738890461E-2</v>
      </c>
      <c r="AV13" s="20">
        <v>6.163600665306343E-3</v>
      </c>
      <c r="CC13" t="s">
        <v>43</v>
      </c>
      <c r="CD13" t="s">
        <v>77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2:99" x14ac:dyDescent="0.25">
      <c r="B14" s="9">
        <v>1</v>
      </c>
      <c r="C14" s="17">
        <f t="shared" ref="C14:C19" si="4">C4+SIN(($B14-1)/POWER(10000,(2*$C$13/$G$4)))</f>
        <v>4.0296676785617889</v>
      </c>
      <c r="D14" s="14">
        <f t="shared" ref="D14:D19" si="5">D4+COS(($B14-1)/POWER(10000,(2*$D$13/$G$4)))</f>
        <v>2.426184227044502</v>
      </c>
      <c r="F14">
        <f t="shared" ref="F14:F19" si="6">SIN(($B14-1)/POWER(10000,(2*$C$13/$G$4)))</f>
        <v>0</v>
      </c>
      <c r="G14">
        <f t="shared" ref="G14:G19" si="7">COS(($B14-1)/POWER(10000,(2*$D$13/$G$4)))</f>
        <v>1</v>
      </c>
      <c r="J14" s="20" t="s">
        <v>194</v>
      </c>
      <c r="L14" t="s">
        <v>174</v>
      </c>
      <c r="N14" t="s">
        <v>174</v>
      </c>
      <c r="P14" t="s">
        <v>194</v>
      </c>
      <c r="AD14" t="s">
        <v>194</v>
      </c>
      <c r="AF14">
        <v>8</v>
      </c>
      <c r="AG14" s="20">
        <f t="shared" si="3"/>
        <v>3.7057218650808132</v>
      </c>
      <c r="AI14" s="9">
        <v>8</v>
      </c>
      <c r="AJ14" s="35">
        <v>0.54900000000000004</v>
      </c>
      <c r="AK14" s="35">
        <v>0.185</v>
      </c>
      <c r="AL14" s="36">
        <v>-0.50800000000000001</v>
      </c>
      <c r="AN14" s="9">
        <v>1</v>
      </c>
      <c r="AO14">
        <f>-1/3*((2/(1+DATA!$I$16))*AH34*(1-AG28)-((2*DATA!$I$16)/(1+DATA!$I$16))*(1-AH34)*AG28)</f>
        <v>-0.36852955697331763</v>
      </c>
      <c r="AP14" s="10"/>
      <c r="AT14">
        <v>3</v>
      </c>
      <c r="AU14" s="17">
        <v>-0.15735129292140893</v>
      </c>
      <c r="AV14" s="20">
        <v>-0.16085820307108384</v>
      </c>
      <c r="CC14">
        <v>1</v>
      </c>
      <c r="CD14">
        <v>2</v>
      </c>
      <c r="CE14">
        <v>3</v>
      </c>
      <c r="CF14">
        <v>4</v>
      </c>
      <c r="CG14">
        <v>5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2:99" x14ac:dyDescent="0.25">
      <c r="B15" s="9">
        <v>2</v>
      </c>
      <c r="C15" s="17">
        <f t="shared" si="4"/>
        <v>4.0172462315349247</v>
      </c>
      <c r="D15" s="14">
        <f t="shared" si="5"/>
        <v>1.3747639579924478</v>
      </c>
      <c r="F15">
        <f t="shared" si="6"/>
        <v>0.8414709848078965</v>
      </c>
      <c r="G15">
        <f t="shared" si="7"/>
        <v>0.54030230586813977</v>
      </c>
      <c r="I15" t="s">
        <v>174</v>
      </c>
      <c r="J15" t="s">
        <v>176</v>
      </c>
      <c r="L15" t="s">
        <v>177</v>
      </c>
      <c r="N15" t="s">
        <v>178</v>
      </c>
      <c r="P15" t="s">
        <v>179</v>
      </c>
      <c r="W15" t="s">
        <v>180</v>
      </c>
      <c r="AD15" t="s">
        <v>181</v>
      </c>
      <c r="AE15" t="s">
        <v>182</v>
      </c>
      <c r="AF15">
        <v>9</v>
      </c>
      <c r="AG15" s="20">
        <f t="shared" si="3"/>
        <v>3.9057341104500951</v>
      </c>
      <c r="AI15" s="9">
        <v>9</v>
      </c>
      <c r="AJ15" s="35">
        <v>0.99</v>
      </c>
      <c r="AK15" s="35">
        <v>-0.94699999999999995</v>
      </c>
      <c r="AL15" s="36">
        <v>-0.90500000000000003</v>
      </c>
      <c r="AN15" s="9">
        <v>2</v>
      </c>
      <c r="AO15">
        <f>-1/3*((2/(1+DATA!$I$16))*AH35*(1-AG29)-((2*DATA!$I$16)/(1+DATA!$I$16))*(1-AH35)*AG29)</f>
        <v>2.5232438718625376E-3</v>
      </c>
      <c r="AP15" s="10"/>
      <c r="AT15">
        <v>4</v>
      </c>
      <c r="AU15" s="17">
        <v>4.8779062254843374E-2</v>
      </c>
      <c r="AV15" s="20">
        <v>2.6453113299532145E-3</v>
      </c>
      <c r="CB15">
        <v>1</v>
      </c>
      <c r="CC15">
        <f t="shared" ref="CC15:CC20" si="8">CE6*IF(CE6&gt;0,1,0)</f>
        <v>0</v>
      </c>
      <c r="CD15">
        <f t="shared" ref="CD15:CG20" si="9">CF6*IF(CF6&gt;0,1,0)</f>
        <v>0</v>
      </c>
      <c r="CE15">
        <f t="shared" si="9"/>
        <v>0</v>
      </c>
      <c r="CF15">
        <f t="shared" si="9"/>
        <v>0</v>
      </c>
      <c r="CG15">
        <f t="shared" si="9"/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2:99" x14ac:dyDescent="0.25">
      <c r="B16" s="9">
        <v>3</v>
      </c>
      <c r="C16" s="17">
        <f t="shared" si="4"/>
        <v>4.2882250577580132</v>
      </c>
      <c r="D16" s="14">
        <f t="shared" si="5"/>
        <v>1.4231691569226175</v>
      </c>
      <c r="F16">
        <f t="shared" si="6"/>
        <v>0.90929742682568171</v>
      </c>
      <c r="G16">
        <f t="shared" si="7"/>
        <v>-0.41614683654714241</v>
      </c>
      <c r="J16">
        <v>1</v>
      </c>
      <c r="L16">
        <v>1</v>
      </c>
      <c r="N16">
        <v>1</v>
      </c>
      <c r="P16">
        <v>1</v>
      </c>
      <c r="Q16">
        <v>2</v>
      </c>
      <c r="R16">
        <v>3</v>
      </c>
      <c r="S16">
        <v>4</v>
      </c>
      <c r="T16">
        <v>5</v>
      </c>
      <c r="U16">
        <v>6</v>
      </c>
      <c r="W16">
        <v>1</v>
      </c>
      <c r="X16">
        <v>2</v>
      </c>
      <c r="Y16">
        <v>3</v>
      </c>
      <c r="Z16">
        <v>4</v>
      </c>
      <c r="AA16">
        <v>5</v>
      </c>
      <c r="AB16">
        <v>6</v>
      </c>
      <c r="AD16">
        <v>1</v>
      </c>
      <c r="AF16">
        <v>10</v>
      </c>
      <c r="AG16" s="20">
        <f t="shared" si="3"/>
        <v>2.4612136767686206</v>
      </c>
      <c r="AI16" s="9">
        <v>10</v>
      </c>
      <c r="AJ16" s="35">
        <v>0.46899999999999997</v>
      </c>
      <c r="AK16" s="35">
        <v>0.36499999999999999</v>
      </c>
      <c r="AL16" s="36">
        <v>-0.20699999999999999</v>
      </c>
      <c r="AN16" s="11">
        <v>3</v>
      </c>
      <c r="AO16" s="13">
        <f>-1/3*((2/(1+DATA!$I$16))*AH36*(1-AG30)-((2*DATA!$I$16)/(1+DATA!$I$16))*(1-AH36)*AG30)</f>
        <v>-0.34968110522558904</v>
      </c>
      <c r="AP16" s="12"/>
      <c r="AT16">
        <v>5</v>
      </c>
      <c r="AU16" s="17">
        <v>-4.2457448121184668E-2</v>
      </c>
      <c r="AV16" s="20">
        <v>-7.2812200595434987E-2</v>
      </c>
      <c r="CB16">
        <v>2</v>
      </c>
      <c r="CC16">
        <f t="shared" si="8"/>
        <v>0</v>
      </c>
      <c r="CD16">
        <f t="shared" si="9"/>
        <v>7.633427249813525E-2</v>
      </c>
      <c r="CE16">
        <f t="shared" si="9"/>
        <v>0</v>
      </c>
      <c r="CF16">
        <f t="shared" si="9"/>
        <v>0</v>
      </c>
      <c r="CG16">
        <f t="shared" si="9"/>
        <v>0</v>
      </c>
    </row>
    <row r="17" spans="2:91" x14ac:dyDescent="0.25">
      <c r="B17" s="9">
        <v>4</v>
      </c>
      <c r="C17" s="17">
        <f t="shared" si="4"/>
        <v>1.6505331967360639</v>
      </c>
      <c r="D17" s="14">
        <f t="shared" si="5"/>
        <v>-0.58497913909267285</v>
      </c>
      <c r="F17">
        <f t="shared" si="6"/>
        <v>0.14112000805986721</v>
      </c>
      <c r="G17">
        <f t="shared" si="7"/>
        <v>-0.98999249660044542</v>
      </c>
      <c r="I17">
        <v>1</v>
      </c>
      <c r="J17" cm="1">
        <f t="array" ref="J17:J22">MMULT($C$14:$D$19,C31:C32)</f>
        <v>-1.3850163134229996</v>
      </c>
      <c r="L17" cm="1">
        <f t="array" ref="L17:L22">MMULT($C$14:$D$19,E31:E32)</f>
        <v>0.81249948070135991</v>
      </c>
      <c r="N17" cm="1">
        <f t="array" ref="N17:N22">MMULT($C$14:$D$19,G31:G32)</f>
        <v>4.8634260950052486</v>
      </c>
      <c r="P17" cm="1">
        <f t="array" ref="P17:U22">MMULT(_xlfn.ANCHORARRAY(J17),TRANSPOSE(_xlfn.ANCHORARRAY(L17)))/SQRT($G$2)</f>
        <v>-1.1253250354190991</v>
      </c>
      <c r="Q17">
        <v>-1.2404180612620557</v>
      </c>
      <c r="R17">
        <v>-1.3291234518905983</v>
      </c>
      <c r="S17">
        <v>-0.64022672958849158</v>
      </c>
      <c r="T17">
        <v>-1.3214329849233588</v>
      </c>
      <c r="U17">
        <v>-0.55316466262865627</v>
      </c>
      <c r="W17" cm="1">
        <f t="array" ref="W17">EXP(P17)/SUM(EXP($P17:$U17))</f>
        <v>0.14439892144911678</v>
      </c>
      <c r="X17" cm="1">
        <f t="array" ref="X17">EXP(Q17)/SUM(EXP($P17:$U17))</f>
        <v>0.12870033678219547</v>
      </c>
      <c r="Y17" cm="1">
        <f t="array" ref="Y17">EXP(R17)/SUM(EXP($P17:$U17))</f>
        <v>0.11777562611526847</v>
      </c>
      <c r="Z17" cm="1">
        <f t="array" ref="Z17">EXP(S17)/SUM(EXP($P17:$U17))</f>
        <v>0.23455217623489877</v>
      </c>
      <c r="AA17" cm="1">
        <f t="array" ref="AA17">EXP(T17)/SUM(EXP($P17:$U17))</f>
        <v>0.11868486744135706</v>
      </c>
      <c r="AB17" cm="1">
        <f t="array" ref="AB17">EXP(U17)/SUM(EXP($P17:$U17))</f>
        <v>0.25588807197716357</v>
      </c>
      <c r="AD17" s="20" cm="1">
        <f t="array" ref="AD17:AD22">MMULT(W17:AB22,_xlfn.ANCHORARRAY(N17))</f>
        <v>3.2185389216001647</v>
      </c>
      <c r="AF17">
        <v>11</v>
      </c>
      <c r="AG17" s="20">
        <f t="shared" si="3"/>
        <v>3.9825817691705656</v>
      </c>
      <c r="AI17" s="9">
        <v>11</v>
      </c>
      <c r="AJ17" s="35">
        <v>0.24099999999999999</v>
      </c>
      <c r="AK17" s="35">
        <v>0.48599999999999999</v>
      </c>
      <c r="AL17" s="36">
        <v>-6.0000000000000001E-3</v>
      </c>
      <c r="AT17">
        <v>6</v>
      </c>
      <c r="AU17" s="17">
        <v>0.3626861163098305</v>
      </c>
      <c r="AV17" s="20">
        <v>-4.1575192673897601E-2</v>
      </c>
      <c r="CB17">
        <v>3</v>
      </c>
      <c r="CC17">
        <f t="shared" si="8"/>
        <v>0</v>
      </c>
      <c r="CD17">
        <f t="shared" si="9"/>
        <v>0</v>
      </c>
      <c r="CE17">
        <f t="shared" si="9"/>
        <v>0</v>
      </c>
      <c r="CF17">
        <f t="shared" si="9"/>
        <v>0</v>
      </c>
      <c r="CG17">
        <f t="shared" si="9"/>
        <v>0</v>
      </c>
    </row>
    <row r="18" spans="2:91" x14ac:dyDescent="0.25">
      <c r="B18" s="9">
        <v>5</v>
      </c>
      <c r="C18" s="17">
        <f t="shared" si="4"/>
        <v>3.7630631850211689</v>
      </c>
      <c r="D18" s="14">
        <f t="shared" si="5"/>
        <v>-0.11662366903357779</v>
      </c>
      <c r="F18">
        <f t="shared" si="6"/>
        <v>-0.7568024953079282</v>
      </c>
      <c r="G18">
        <f t="shared" si="7"/>
        <v>-0.65364362086361194</v>
      </c>
      <c r="I18">
        <v>2</v>
      </c>
      <c r="J18">
        <v>-1.6292050927553057</v>
      </c>
      <c r="L18">
        <v>0.89559815955988531</v>
      </c>
      <c r="N18">
        <v>4.3943200105272187</v>
      </c>
      <c r="P18">
        <v>-1.3237282918196969</v>
      </c>
      <c r="Q18">
        <v>-1.459113082617244</v>
      </c>
      <c r="R18">
        <v>-1.5634578999065782</v>
      </c>
      <c r="S18">
        <v>-0.75310351095126915</v>
      </c>
      <c r="T18">
        <v>-1.5544115458475947</v>
      </c>
      <c r="U18">
        <v>-0.6506917476369356</v>
      </c>
      <c r="W18" cm="1">
        <f t="array" ref="W18">EXP(P18)/SUM(EXP($P18:$U18))</f>
        <v>0.13920279255500892</v>
      </c>
      <c r="X18" cm="1">
        <f t="array" ref="X18">EXP(Q18)/SUM(EXP($P18:$U18))</f>
        <v>0.12157690413108267</v>
      </c>
      <c r="Y18" cm="1">
        <f t="array" ref="Y18">EXP(R18)/SUM(EXP($P18:$U18))</f>
        <v>0.1095304070947358</v>
      </c>
      <c r="Z18" cm="1">
        <f t="array" ref="Z18">EXP(S18)/SUM(EXP($P18:$U18))</f>
        <v>0.24630154797559253</v>
      </c>
      <c r="AA18" cm="1">
        <f t="array" ref="AA18">EXP(T18)/SUM(EXP($P18:$U18))</f>
        <v>0.11052575327656221</v>
      </c>
      <c r="AB18" cm="1">
        <f t="array" ref="AB18">EXP(U18)/SUM(EXP($P18:$U18))</f>
        <v>0.27286259496701792</v>
      </c>
      <c r="AD18" s="20">
        <v>3.1551819962318395</v>
      </c>
      <c r="AF18">
        <v>12</v>
      </c>
      <c r="AG18" s="20">
        <f t="shared" si="3"/>
        <v>2.0361131082720889</v>
      </c>
      <c r="AI18" s="11">
        <v>12</v>
      </c>
      <c r="AJ18" s="40">
        <v>-0.16700000000000001</v>
      </c>
      <c r="AK18" s="40">
        <v>-0.442</v>
      </c>
      <c r="AL18" s="41">
        <v>0.01</v>
      </c>
      <c r="CB18">
        <v>4</v>
      </c>
      <c r="CC18">
        <f t="shared" si="8"/>
        <v>0</v>
      </c>
      <c r="CD18">
        <f t="shared" si="9"/>
        <v>0</v>
      </c>
      <c r="CE18">
        <f t="shared" si="9"/>
        <v>0</v>
      </c>
      <c r="CF18">
        <f t="shared" si="9"/>
        <v>0.15659341682569333</v>
      </c>
      <c r="CG18">
        <f t="shared" si="9"/>
        <v>0</v>
      </c>
    </row>
    <row r="19" spans="2:91" x14ac:dyDescent="0.25">
      <c r="B19" s="11">
        <v>6</v>
      </c>
      <c r="C19" s="18">
        <f t="shared" si="4"/>
        <v>2.0951464491401381</v>
      </c>
      <c r="D19" s="15">
        <f t="shared" si="5"/>
        <v>1.5425560330324033</v>
      </c>
      <c r="F19">
        <f t="shared" si="6"/>
        <v>-0.95892427466313845</v>
      </c>
      <c r="G19">
        <f t="shared" si="7"/>
        <v>0.28366218546322625</v>
      </c>
      <c r="I19">
        <v>3</v>
      </c>
      <c r="J19">
        <v>-1.7496513437805694</v>
      </c>
      <c r="L19">
        <v>0.9596446186296067</v>
      </c>
      <c r="N19">
        <v>4.6714512628426608</v>
      </c>
      <c r="P19">
        <v>-1.4215908082301492</v>
      </c>
      <c r="Q19">
        <v>-1.5669845233613582</v>
      </c>
      <c r="R19">
        <v>-1.6790434965370835</v>
      </c>
      <c r="S19">
        <v>-0.80878004604890885</v>
      </c>
      <c r="T19">
        <v>-1.6693283504170529</v>
      </c>
      <c r="U19">
        <v>-0.69879703648267644</v>
      </c>
      <c r="W19" cm="1">
        <f t="array" ref="W19">EXP(P19)/SUM(EXP($P19:$U19))</f>
        <v>0.13653634283057928</v>
      </c>
      <c r="X19" cm="1">
        <f t="array" ref="X19">EXP(Q19)/SUM(EXP($P19:$U19))</f>
        <v>0.11806048901576464</v>
      </c>
      <c r="Y19" cm="1">
        <f t="array" ref="Y19">EXP(R19)/SUM(EXP($P19:$U19))</f>
        <v>0.10554507773027463</v>
      </c>
      <c r="Z19" cm="1">
        <f t="array" ref="Z19">EXP(S19)/SUM(EXP($P19:$U19))</f>
        <v>0.25199307052373437</v>
      </c>
      <c r="AA19" cm="1">
        <f t="array" ref="AA19">EXP(T19)/SUM(EXP($P19:$U19))</f>
        <v>0.1065754606386336</v>
      </c>
      <c r="AB19" cm="1">
        <f t="array" ref="AB19">EXP(U19)/SUM(EXP($P19:$U19))</f>
        <v>0.28128955926101346</v>
      </c>
      <c r="AD19" s="20">
        <v>3.1240655069345546</v>
      </c>
      <c r="AN19" s="5"/>
      <c r="AO19" s="16" t="s">
        <v>40</v>
      </c>
      <c r="AP19" s="6" t="s">
        <v>53</v>
      </c>
      <c r="AQ19" s="7"/>
      <c r="AU19" t="s">
        <v>28</v>
      </c>
      <c r="AV19" t="s">
        <v>195</v>
      </c>
      <c r="CB19">
        <v>5</v>
      </c>
      <c r="CC19">
        <f t="shared" si="8"/>
        <v>0</v>
      </c>
      <c r="CD19">
        <f t="shared" si="9"/>
        <v>0</v>
      </c>
      <c r="CE19">
        <f t="shared" si="9"/>
        <v>0</v>
      </c>
      <c r="CF19">
        <f t="shared" si="9"/>
        <v>0</v>
      </c>
      <c r="CG19">
        <f t="shared" si="9"/>
        <v>0</v>
      </c>
    </row>
    <row r="20" spans="2:91" x14ac:dyDescent="0.25">
      <c r="I20">
        <v>4</v>
      </c>
      <c r="J20">
        <v>-0.94303470191451921</v>
      </c>
      <c r="L20">
        <v>0.46225212178635122</v>
      </c>
      <c r="N20">
        <v>1.3052879454102677</v>
      </c>
      <c r="P20">
        <v>-0.76621520558890865</v>
      </c>
      <c r="Q20">
        <v>-0.8445801434357485</v>
      </c>
      <c r="R20">
        <v>-0.90497817687324367</v>
      </c>
      <c r="S20">
        <v>-0.43591979187814578</v>
      </c>
      <c r="T20">
        <v>-0.89974186510294385</v>
      </c>
      <c r="U20">
        <v>-0.37664067034879872</v>
      </c>
      <c r="W20" cm="1">
        <f t="array" ref="W20">EXP(P20)/SUM(EXP($P20:$U20))</f>
        <v>0.15295672176881131</v>
      </c>
      <c r="X20" cm="1">
        <f t="array" ref="X20">EXP(Q20)/SUM(EXP($P20:$U20))</f>
        <v>0.14142790462306815</v>
      </c>
      <c r="Y20" cm="1">
        <f t="array" ref="Y20">EXP(R20)/SUM(EXP($P20:$U20))</f>
        <v>0.13313878039868635</v>
      </c>
      <c r="Z20" cm="1">
        <f t="array" ref="Z20">EXP(S20)/SUM(EXP($P20:$U20))</f>
        <v>0.21282078590736903</v>
      </c>
      <c r="AA20" cm="1">
        <f t="array" ref="AA20">EXP(T20)/SUM(EXP($P20:$U20))</f>
        <v>0.13383776501513994</v>
      </c>
      <c r="AB20" cm="1">
        <f t="array" ref="AB20">EXP(U20)/SUM(EXP($P20:$U20))</f>
        <v>0.22581804228692537</v>
      </c>
      <c r="AD20" s="20">
        <v>3.3328936729151057</v>
      </c>
      <c r="AG20" t="s">
        <v>54</v>
      </c>
      <c r="AH20" t="s">
        <v>55</v>
      </c>
      <c r="AI20" s="5"/>
      <c r="AJ20" s="8" t="s">
        <v>23</v>
      </c>
      <c r="AN20" s="9"/>
      <c r="AO20">
        <v>1</v>
      </c>
      <c r="AP20">
        <v>2</v>
      </c>
      <c r="AQ20" s="10">
        <v>3</v>
      </c>
      <c r="AU20">
        <v>1</v>
      </c>
      <c r="AV20">
        <v>2</v>
      </c>
      <c r="CB20">
        <v>6</v>
      </c>
      <c r="CC20">
        <f t="shared" si="8"/>
        <v>0</v>
      </c>
      <c r="CD20">
        <f t="shared" si="9"/>
        <v>0</v>
      </c>
      <c r="CE20">
        <f t="shared" si="9"/>
        <v>0</v>
      </c>
      <c r="CF20">
        <f t="shared" si="9"/>
        <v>0</v>
      </c>
      <c r="CG20">
        <f t="shared" si="9"/>
        <v>0.11984531242810692</v>
      </c>
    </row>
    <row r="21" spans="2:91" x14ac:dyDescent="0.25">
      <c r="I21">
        <v>5</v>
      </c>
      <c r="J21">
        <v>-1.8603682043353007</v>
      </c>
      <c r="L21">
        <v>0.95409200030106678</v>
      </c>
      <c r="N21">
        <v>3.505363413815398</v>
      </c>
      <c r="P21">
        <v>-1.5115481999357532</v>
      </c>
      <c r="Q21">
        <v>-1.6661423399064239</v>
      </c>
      <c r="R21">
        <v>-1.7852923359599959</v>
      </c>
      <c r="S21">
        <v>-0.85995914975785692</v>
      </c>
      <c r="T21">
        <v>-1.7749624213707709</v>
      </c>
      <c r="U21">
        <v>-0.74301648301374201</v>
      </c>
      <c r="W21" cm="1">
        <f t="array" ref="W21">EXP(P21)/SUM(EXP($P21:$U21))</f>
        <v>0.13403213075515699</v>
      </c>
      <c r="X21" cm="1">
        <f t="array" ref="X21">EXP(Q21)/SUM(EXP($P21:$U21))</f>
        <v>0.11483374802096064</v>
      </c>
      <c r="Y21" cm="1">
        <f t="array" ref="Y21">EXP(R21)/SUM(EXP($P21:$U21))</f>
        <v>0.10193500628831109</v>
      </c>
      <c r="Z21" cm="1">
        <f t="array" ref="Z21">EXP(S21)/SUM(EXP($P21:$U21))</f>
        <v>0.2571523223114961</v>
      </c>
      <c r="AA21" cm="1">
        <f t="array" ref="AA21">EXP(T21)/SUM(EXP($P21:$U21))</f>
        <v>0.10299344356838799</v>
      </c>
      <c r="AB21" cm="1">
        <f t="array" ref="AB21">EXP(U21)/SUM(EXP($P21:$U21))</f>
        <v>0.28905334905568719</v>
      </c>
      <c r="AD21" s="20">
        <v>3.0956021153893531</v>
      </c>
      <c r="AG21">
        <v>1</v>
      </c>
      <c r="AI21" s="9"/>
      <c r="AJ21" s="10">
        <v>1</v>
      </c>
      <c r="AN21" s="9">
        <v>1</v>
      </c>
      <c r="AO21" cm="1">
        <f t="array" ref="AO21:AO32">AJ7:AJ18-$AG$39*$AO14*$AG$7:$AG$18</f>
        <v>7.9751911688529242E-3</v>
      </c>
      <c r="AP21" cm="1">
        <f t="array" ref="AP21:AP32">AK7:AK18-$AG$39*$AO15*$AG$7:$AG$18</f>
        <v>-0.67197207408278314</v>
      </c>
      <c r="AQ21" s="10" cm="1">
        <f t="array" ref="AQ21:AQ32">AL7:AL18-$AG$39*$AO16*$AG$7:$AG$18</f>
        <v>-0.64328613289453673</v>
      </c>
      <c r="AT21">
        <v>1</v>
      </c>
      <c r="AU21">
        <f t="shared" ref="AU21:AV26" si="10">AU12*IF(AU12&gt;0,1,0)</f>
        <v>0</v>
      </c>
      <c r="AV21">
        <f>AV12*IF(AV12&gt;0,1,0)</f>
        <v>2.047255704295247E-2</v>
      </c>
    </row>
    <row r="22" spans="2:91" x14ac:dyDescent="0.25">
      <c r="I22">
        <v>6</v>
      </c>
      <c r="J22">
        <v>-0.65320798486953535</v>
      </c>
      <c r="L22">
        <v>0.39939216402551758</v>
      </c>
      <c r="N22">
        <v>2.6509252688065259</v>
      </c>
      <c r="P22">
        <v>-0.53073114849647929</v>
      </c>
      <c r="Q22">
        <v>-0.58501186905897729</v>
      </c>
      <c r="R22">
        <v>-0.6268475275259392</v>
      </c>
      <c r="S22">
        <v>-0.30194677697372951</v>
      </c>
      <c r="T22">
        <v>-0.62322051289680391</v>
      </c>
      <c r="U22">
        <v>-0.26088615063579129</v>
      </c>
      <c r="W22" cm="1">
        <f t="array" ref="W22">EXP(P22)/SUM(EXP($P22:$U22))</f>
        <v>0.15787772547149606</v>
      </c>
      <c r="X22" cm="1">
        <f t="array" ref="X22">EXP(Q22)/SUM(EXP($P22:$U22))</f>
        <v>0.14953644216642439</v>
      </c>
      <c r="Y22" cm="1">
        <f t="array" ref="Y22">EXP(R22)/SUM(EXP($P22:$U22))</f>
        <v>0.1434095416951375</v>
      </c>
      <c r="Z22" cm="1">
        <f t="array" ref="Z22">EXP(S22)/SUM(EXP($P22:$U22))</f>
        <v>0.19846350226160864</v>
      </c>
      <c r="AA22" cm="1">
        <f t="array" ref="AA22">EXP(T22)/SUM(EXP($P22:$U22))</f>
        <v>0.14393063463542391</v>
      </c>
      <c r="AB22" cm="1">
        <f t="array" ref="AB22">EXP(U22)/SUM(EXP($P22:$U22))</f>
        <v>0.20678215376990935</v>
      </c>
      <c r="AD22" s="20">
        <v>3.4066135490996676</v>
      </c>
      <c r="AF22">
        <v>1</v>
      </c>
      <c r="AG22" cm="1">
        <f t="array" ref="AG22:AG24">TRANSPOSE(MMULT(TRANSPOSE(AG7:AG18),AJ7:AL18)+TRANSPOSE(AJ22:AJ24))</f>
        <v>-0.47504988231816192</v>
      </c>
      <c r="AI22" s="9">
        <v>1</v>
      </c>
      <c r="AJ22" s="10">
        <v>1</v>
      </c>
      <c r="AN22" s="9">
        <v>2</v>
      </c>
      <c r="AO22">
        <v>-0.80591629458086</v>
      </c>
      <c r="AP22">
        <v>-4.0952276691880618E-2</v>
      </c>
      <c r="AQ22" s="10">
        <v>1.1229702664537065</v>
      </c>
      <c r="AT22">
        <v>2</v>
      </c>
      <c r="AU22">
        <f t="shared" si="10"/>
        <v>1.806986738890461E-2</v>
      </c>
      <c r="AV22">
        <f t="shared" si="10"/>
        <v>6.163600665306343E-3</v>
      </c>
      <c r="CB22" s="5"/>
      <c r="CC22" s="16" t="s">
        <v>22</v>
      </c>
      <c r="CD22" s="6" t="s">
        <v>78</v>
      </c>
      <c r="CE22" s="7"/>
      <c r="CG22" s="5"/>
      <c r="CH22" s="8" t="s">
        <v>23</v>
      </c>
      <c r="CI22" t="s">
        <v>79</v>
      </c>
    </row>
    <row r="23" spans="2:91" x14ac:dyDescent="0.25">
      <c r="B23" s="5"/>
      <c r="C23" s="7" t="s">
        <v>196</v>
      </c>
      <c r="E23" s="25" t="s">
        <v>197</v>
      </c>
      <c r="G23" s="25" t="s">
        <v>198</v>
      </c>
      <c r="AF23">
        <v>2</v>
      </c>
      <c r="AG23">
        <v>-3.2707881765743405</v>
      </c>
      <c r="AI23" s="9">
        <v>2</v>
      </c>
      <c r="AJ23" s="10">
        <v>1</v>
      </c>
      <c r="AN23" s="9">
        <v>3</v>
      </c>
      <c r="AO23">
        <v>-0.47038198213702764</v>
      </c>
      <c r="AP23">
        <v>0.31097559710055955</v>
      </c>
      <c r="AQ23" s="10">
        <v>2.0965801271603496E-2</v>
      </c>
      <c r="AT23">
        <v>3</v>
      </c>
      <c r="AU23">
        <f t="shared" si="10"/>
        <v>0</v>
      </c>
      <c r="AV23">
        <f t="shared" si="10"/>
        <v>0</v>
      </c>
      <c r="CB23" s="9"/>
      <c r="CC23">
        <v>1</v>
      </c>
      <c r="CD23">
        <v>2</v>
      </c>
      <c r="CE23" s="10">
        <v>3</v>
      </c>
      <c r="CG23" s="9"/>
      <c r="CH23" s="10">
        <v>1</v>
      </c>
    </row>
    <row r="24" spans="2:91" x14ac:dyDescent="0.25">
      <c r="B24" s="9"/>
      <c r="C24" s="10">
        <v>1</v>
      </c>
      <c r="E24" s="26">
        <v>1</v>
      </c>
      <c r="G24" s="26">
        <v>1</v>
      </c>
      <c r="J24" t="s">
        <v>174</v>
      </c>
      <c r="M24" t="s">
        <v>199</v>
      </c>
      <c r="AF24">
        <v>3</v>
      </c>
      <c r="AG24">
        <v>-0.34351204494239407</v>
      </c>
      <c r="AI24" s="11">
        <v>3</v>
      </c>
      <c r="AJ24" s="12">
        <v>1</v>
      </c>
      <c r="AN24" s="9">
        <v>4</v>
      </c>
      <c r="AO24">
        <v>-0.1948871210025715</v>
      </c>
      <c r="AP24">
        <v>-0.20265806453878241</v>
      </c>
      <c r="AQ24" s="10">
        <v>0.27719718383040703</v>
      </c>
      <c r="AT24">
        <v>4</v>
      </c>
      <c r="AU24">
        <f t="shared" si="10"/>
        <v>4.8779062254843374E-2</v>
      </c>
      <c r="AV24">
        <f t="shared" si="10"/>
        <v>2.6453113299532145E-3</v>
      </c>
      <c r="CB24" s="9">
        <v>1</v>
      </c>
      <c r="CC24" cm="1">
        <f t="array" ref="CC24">FRONTEND!$M7-$AG$39*SUM($CC$15:$CG$20*CM5:CQ10)</f>
        <v>-0.4738088508818824</v>
      </c>
      <c r="CD24" cm="1">
        <f t="array" ref="CD24">FRONTEND!$N7-$AG$39*SUM($CC$15:$CG$20*CN5:CR10)</f>
        <v>0.87734063599502565</v>
      </c>
      <c r="CE24" s="10" cm="1">
        <f t="array" ref="CE24">FRONTEND!$O7-$AG$39*SUM($CC$15:$CG$20*CO5:CS10)</f>
        <v>-0.4971398021336817</v>
      </c>
      <c r="CG24" s="11">
        <v>1</v>
      </c>
      <c r="CH24" s="12">
        <f>FRONTEND!$W7-$AG$39*SUM(CA85:CA90)</f>
        <v>1.0064927889515241</v>
      </c>
    </row>
    <row r="25" spans="2:91" x14ac:dyDescent="0.25">
      <c r="B25" s="9">
        <v>1</v>
      </c>
      <c r="C25" s="36">
        <v>-0.86199999999999999</v>
      </c>
      <c r="E25" s="60">
        <v>0.40899999999999997</v>
      </c>
      <c r="G25" s="60">
        <v>-5.1999999999999998E-2</v>
      </c>
      <c r="J25" t="s">
        <v>35</v>
      </c>
      <c r="M25" s="61" t="s">
        <v>200</v>
      </c>
      <c r="N25" s="7"/>
      <c r="AN25" s="9">
        <v>5</v>
      </c>
      <c r="AO25">
        <v>-0.40208546785702298</v>
      </c>
      <c r="AP25">
        <v>-0.18619760277833408</v>
      </c>
      <c r="AQ25" s="10">
        <v>0.33896852481007766</v>
      </c>
      <c r="AT25">
        <v>5</v>
      </c>
      <c r="AU25">
        <f t="shared" si="10"/>
        <v>0</v>
      </c>
      <c r="AV25">
        <f t="shared" si="10"/>
        <v>0</v>
      </c>
      <c r="CB25" s="9">
        <v>2</v>
      </c>
      <c r="CC25" cm="1">
        <f t="array" ref="CC25">FRONTEND!$M8-$AG$39*SUM($CC$15:$CG$20*CM6:CQ11)</f>
        <v>0.10565937527728442</v>
      </c>
      <c r="CD25" cm="1">
        <f t="array" ref="CD25">FRONTEND!$N8-$AG$39*SUM($CC$15:$CG$20*CN6:CR11)</f>
        <v>-0.20136266277887227</v>
      </c>
      <c r="CE25" s="10" cm="1">
        <f t="array" ref="CE25">FRONTEND!$O8-$AG$39*SUM($CC$15:$CG$20*CO6:CS11)</f>
        <v>-0.74032551185273643</v>
      </c>
    </row>
    <row r="26" spans="2:91" x14ac:dyDescent="0.25">
      <c r="B26" s="11">
        <v>2</v>
      </c>
      <c r="C26" s="41">
        <v>0.88</v>
      </c>
      <c r="E26" s="62">
        <v>-0.72799999999999998</v>
      </c>
      <c r="G26" s="62">
        <v>-0.64800000000000002</v>
      </c>
      <c r="J26">
        <v>1</v>
      </c>
      <c r="K26">
        <v>2</v>
      </c>
      <c r="M26" s="9">
        <v>1</v>
      </c>
      <c r="N26" s="10">
        <v>2</v>
      </c>
      <c r="AF26" s="5"/>
      <c r="AG26" s="16" t="s">
        <v>59</v>
      </c>
      <c r="AH26" s="7"/>
      <c r="AI26" t="s">
        <v>60</v>
      </c>
      <c r="AN26" s="9">
        <v>6</v>
      </c>
      <c r="AO26">
        <v>0.67835147677346386</v>
      </c>
      <c r="AP26">
        <v>0.8912718339493958</v>
      </c>
      <c r="AQ26" s="10">
        <v>0.85791212831325492</v>
      </c>
      <c r="AT26">
        <v>6</v>
      </c>
      <c r="AU26">
        <f t="shared" si="10"/>
        <v>0.3626861163098305</v>
      </c>
      <c r="AV26">
        <f t="shared" si="10"/>
        <v>0</v>
      </c>
      <c r="CB26" s="9">
        <v>3</v>
      </c>
      <c r="CC26" cm="1">
        <f t="array" ref="CC26">FRONTEND!$M9-$AG$39*SUM($CC$15:$CG$20*CM7:CQ12)</f>
        <v>0.74416945463719242</v>
      </c>
      <c r="CD26" cm="1">
        <f t="array" ref="CD26">FRONTEND!$N9-$AG$39*SUM($CC$15:$CG$20*CN7:CR12)</f>
        <v>0.80877858284544468</v>
      </c>
      <c r="CE26" s="10" cm="1">
        <f t="array" ref="CE26">FRONTEND!$O9-$AG$39*SUM($CC$15:$CG$20*CO7:CS12)</f>
        <v>-0.9750649193725337</v>
      </c>
    </row>
    <row r="27" spans="2:91" x14ac:dyDescent="0.25">
      <c r="I27">
        <v>1</v>
      </c>
      <c r="J27" s="17" cm="1">
        <f t="array" ref="J27:J32">_xlfn.ANCHORARRAY(AD7)</f>
        <v>-1.2059822914038199</v>
      </c>
      <c r="K27" s="20" cm="1">
        <f t="array" ref="K27:K32">_xlfn.ANCHORARRAY(AD17)</f>
        <v>3.2185389216001647</v>
      </c>
      <c r="M27" s="63" cm="1">
        <f t="array" ref="M27:N32">C14:D19+MMULT(J27:K32,C36:D37)</f>
        <v>6.3200030688216877</v>
      </c>
      <c r="N27" s="14">
        <v>5.0443996930808916</v>
      </c>
      <c r="AF27" s="9"/>
      <c r="AG27">
        <v>1</v>
      </c>
      <c r="AH27" s="10"/>
      <c r="AN27" s="9">
        <v>7</v>
      </c>
      <c r="AO27">
        <v>-8.6522544340697782E-2</v>
      </c>
      <c r="AP27">
        <v>-0.86384542400306863</v>
      </c>
      <c r="AQ27" s="10">
        <v>0.36916219865782607</v>
      </c>
      <c r="CB27" s="9">
        <v>4</v>
      </c>
      <c r="CC27" cm="1">
        <f t="array" ref="CC27">FRONTEND!$M10-$AG$39*SUM($CC$15:$CG$20*CM8:CQ13)</f>
        <v>0.77853288109129792</v>
      </c>
      <c r="CD27" cm="1">
        <f t="array" ref="CD27">FRONTEND!$N10-$AG$39*SUM($CC$15:$CG$20*CN8:CR13)</f>
        <v>0.49212607138279785</v>
      </c>
      <c r="CE27" s="10" cm="1">
        <f t="array" ref="CE27">FRONTEND!$O10-$AG$39*SUM($CC$15:$CG$20*CO8:CS13)</f>
        <v>-0.93613618886948025</v>
      </c>
    </row>
    <row r="28" spans="2:91" x14ac:dyDescent="0.25">
      <c r="I28">
        <v>2</v>
      </c>
      <c r="J28" s="17">
        <v>-1.3104404012092385</v>
      </c>
      <c r="K28" s="20">
        <v>3.1551819962318395</v>
      </c>
      <c r="M28" s="63">
        <v>6.3232621676959067</v>
      </c>
      <c r="N28" s="14">
        <v>3.9501573183053655</v>
      </c>
      <c r="AF28" s="9">
        <v>1</v>
      </c>
      <c r="AG28">
        <f t="shared" ref="AG28:AG30" si="11">1/(1+EXP(-AG22))</f>
        <v>0.3834217027561802</v>
      </c>
      <c r="AH28" s="10" t="s">
        <v>10</v>
      </c>
      <c r="AN28" s="9">
        <v>8</v>
      </c>
      <c r="AO28">
        <v>0.68556680372045686</v>
      </c>
      <c r="AP28">
        <v>0.18406495600131079</v>
      </c>
      <c r="AQ28" s="10">
        <v>-0.37841790825599103</v>
      </c>
      <c r="AT28" s="5"/>
      <c r="AU28" s="16" t="s">
        <v>201</v>
      </c>
      <c r="AV28" s="7" t="s">
        <v>202</v>
      </c>
      <c r="AX28" s="61" t="s">
        <v>203</v>
      </c>
      <c r="AY28" s="7" t="s">
        <v>204</v>
      </c>
      <c r="CB28" s="11">
        <v>5</v>
      </c>
      <c r="CC28" s="13" cm="1">
        <f t="array" ref="CC28">FRONTEND!$M11-$AG$39*SUM($CC$15:$CG$20*CM9:CQ14)</f>
        <v>0.40262940518946694</v>
      </c>
      <c r="CD28" s="13" cm="1">
        <f t="array" ref="CD28">FRONTEND!$N11-$AG$39*SUM($CC$15:$CG$20*CN9:CR14)</f>
        <v>-0.43892018265383875</v>
      </c>
      <c r="CE28" s="12" cm="1">
        <f t="array" ref="CE28">FRONTEND!$O11-$AG$39*SUM($CC$15:$CG$20*CO9:CS14)</f>
        <v>0.28631226493225398</v>
      </c>
    </row>
    <row r="29" spans="2:91" x14ac:dyDescent="0.25">
      <c r="B29" s="5"/>
      <c r="C29" s="7" t="s">
        <v>205</v>
      </c>
      <c r="E29" s="25" t="s">
        <v>206</v>
      </c>
      <c r="G29" s="25" t="s">
        <v>207</v>
      </c>
      <c r="I29">
        <v>3</v>
      </c>
      <c r="J29" s="17">
        <v>-1.3207714547528537</v>
      </c>
      <c r="K29" s="20">
        <v>3.1240655069345546</v>
      </c>
      <c r="M29" s="63">
        <v>6.5825217080139184</v>
      </c>
      <c r="N29" s="14">
        <v>3.9747452353102402</v>
      </c>
      <c r="AF29" s="9">
        <v>2</v>
      </c>
      <c r="AG29">
        <f t="shared" si="11"/>
        <v>3.6587036142006799E-2</v>
      </c>
      <c r="AH29" s="10" t="s">
        <v>11</v>
      </c>
      <c r="AN29" s="9">
        <v>9</v>
      </c>
      <c r="AO29">
        <v>1.1339378461379748</v>
      </c>
      <c r="AP29">
        <v>-0.94798551196593173</v>
      </c>
      <c r="AQ29" s="10">
        <v>-0.76842385795405277</v>
      </c>
      <c r="AT29" s="9"/>
      <c r="AU29">
        <v>1</v>
      </c>
      <c r="AV29" s="10">
        <v>2</v>
      </c>
      <c r="AX29" s="9">
        <v>1</v>
      </c>
      <c r="AY29" s="10">
        <v>2</v>
      </c>
    </row>
    <row r="30" spans="2:91" x14ac:dyDescent="0.25">
      <c r="B30" s="9"/>
      <c r="C30" s="10">
        <v>1</v>
      </c>
      <c r="E30" s="26">
        <v>1</v>
      </c>
      <c r="G30" s="26">
        <v>1</v>
      </c>
      <c r="I30">
        <v>4</v>
      </c>
      <c r="J30" s="17">
        <v>-1.2860235953106054</v>
      </c>
      <c r="K30" s="20">
        <v>3.3328936729151057</v>
      </c>
      <c r="M30" s="63">
        <v>4.0398736022499575</v>
      </c>
      <c r="N30" s="14">
        <v>2.1287906796455518</v>
      </c>
      <c r="AF30" s="11">
        <v>3</v>
      </c>
      <c r="AG30" s="13">
        <f t="shared" si="11"/>
        <v>0.41495661241103382</v>
      </c>
      <c r="AH30" s="12" t="s">
        <v>12</v>
      </c>
      <c r="AN30" s="9">
        <v>10</v>
      </c>
      <c r="AO30">
        <v>0.55970299859162098</v>
      </c>
      <c r="AP30">
        <v>0.3643789757672749</v>
      </c>
      <c r="AQ30" s="10">
        <v>-0.12093600813112131</v>
      </c>
      <c r="AT30" s="9">
        <v>1</v>
      </c>
      <c r="AU30" cm="1">
        <f t="array" ref="AU30:AV31">C42:D43-$AG$39*MMULT(TRANSPOSE(_xlfn.ANCHORARRAY($M$27)),AU21:AV26)</f>
        <v>-0.66397259736619929</v>
      </c>
      <c r="AV30" s="10">
        <v>0.23309525903465858</v>
      </c>
      <c r="AX30" s="11">
        <f>F47-AG39*SUM(AU21:AU26)</f>
        <v>0.95704649540464215</v>
      </c>
      <c r="AY30" s="12">
        <f>G47-AG39*SUM(AV21:AV26)</f>
        <v>0.99707185309617885</v>
      </c>
    </row>
    <row r="31" spans="2:91" ht="26.25" x14ac:dyDescent="0.4">
      <c r="B31" s="9">
        <v>1</v>
      </c>
      <c r="C31" s="36">
        <v>-0.48699999999999999</v>
      </c>
      <c r="E31" s="60">
        <v>0.251</v>
      </c>
      <c r="G31" s="60">
        <v>0.94499999999999995</v>
      </c>
      <c r="I31">
        <v>5</v>
      </c>
      <c r="J31" s="17">
        <v>-1.3399990969793096</v>
      </c>
      <c r="K31" s="20">
        <v>3.0956021153893531</v>
      </c>
      <c r="M31" s="63">
        <v>6.051274286607276</v>
      </c>
      <c r="N31" s="14">
        <v>2.4138307364878253</v>
      </c>
      <c r="AN31" s="9">
        <v>11</v>
      </c>
      <c r="AO31">
        <v>0.38776990950024398</v>
      </c>
      <c r="AP31">
        <v>0.48499509749567488</v>
      </c>
      <c r="AQ31" s="10">
        <v>0.1332633594694845</v>
      </c>
      <c r="AT31" s="11">
        <v>2</v>
      </c>
      <c r="AU31" s="13">
        <v>0.77175094913891473</v>
      </c>
      <c r="AV31" s="12">
        <v>0.22467497331568126</v>
      </c>
      <c r="CC31" s="4" t="s">
        <v>64</v>
      </c>
    </row>
    <row r="32" spans="2:91" ht="26.25" x14ac:dyDescent="0.4">
      <c r="B32" s="11">
        <v>2</v>
      </c>
      <c r="C32" s="41">
        <v>0.23799999999999999</v>
      </c>
      <c r="E32" s="62">
        <v>-8.2000000000000003E-2</v>
      </c>
      <c r="G32" s="62">
        <v>0.435</v>
      </c>
      <c r="I32">
        <v>6</v>
      </c>
      <c r="J32" s="17">
        <v>-0.98159933925249687</v>
      </c>
      <c r="K32" s="20">
        <v>3.4066135490996676</v>
      </c>
      <c r="M32" s="64">
        <v>4.3795561711650439</v>
      </c>
      <c r="N32" s="15">
        <v>4.2937162647921117</v>
      </c>
      <c r="AF32" s="5"/>
      <c r="AG32" s="16" t="s">
        <v>62</v>
      </c>
      <c r="AH32" s="7"/>
      <c r="AI32" t="s">
        <v>63</v>
      </c>
      <c r="AN32" s="11">
        <v>12</v>
      </c>
      <c r="AO32" s="13">
        <v>-9.1963213826092252E-2</v>
      </c>
      <c r="AP32" s="13">
        <v>-0.44251376099228668</v>
      </c>
      <c r="AQ32" s="12">
        <v>8.1199028206489346E-2</v>
      </c>
      <c r="CC32" s="4" t="s">
        <v>21</v>
      </c>
      <c r="CK32">
        <v>0</v>
      </c>
      <c r="CL32">
        <v>0</v>
      </c>
      <c r="CM32">
        <v>0</v>
      </c>
    </row>
    <row r="33" spans="2:91" x14ac:dyDescent="0.25">
      <c r="M33" t="s">
        <v>208</v>
      </c>
      <c r="AF33" s="9"/>
      <c r="AG33">
        <v>1</v>
      </c>
      <c r="AH33" s="22" t="s">
        <v>65</v>
      </c>
      <c r="AT33" s="5"/>
      <c r="AU33" s="16" t="s">
        <v>209</v>
      </c>
      <c r="AV33" s="7"/>
      <c r="AW33" t="s">
        <v>210</v>
      </c>
      <c r="CC33" t="s">
        <v>43</v>
      </c>
      <c r="CD33" t="s">
        <v>81</v>
      </c>
      <c r="CK33">
        <v>0</v>
      </c>
      <c r="CL33" s="25" cm="1">
        <f t="array" ref="CL33:CL38">FRONTEND!$B$26:$B$31</f>
        <v>0.36548104119790437</v>
      </c>
      <c r="CM33">
        <v>0</v>
      </c>
    </row>
    <row r="34" spans="2:91" x14ac:dyDescent="0.25">
      <c r="B34" s="5"/>
      <c r="C34" s="6" t="s">
        <v>211</v>
      </c>
      <c r="D34" s="7"/>
      <c r="AF34" s="23" t="s">
        <v>68</v>
      </c>
      <c r="AG34" s="1">
        <f>((2/(1+DATA!$I$16))*AH34*LN(AG28)+((2*DATA!$I$16)/(1+DATA!$I$16))*(1-AH34)*LN(1-AG28))</f>
        <v>-1.718904547739234</v>
      </c>
      <c r="AH34" s="10">
        <v>1</v>
      </c>
      <c r="AN34" s="5"/>
      <c r="AO34" s="8" t="s">
        <v>23</v>
      </c>
      <c r="AP34" t="s">
        <v>69</v>
      </c>
      <c r="AT34" s="9"/>
      <c r="AU34">
        <v>1</v>
      </c>
      <c r="AV34" s="10">
        <v>2</v>
      </c>
      <c r="CC34">
        <v>1</v>
      </c>
      <c r="CK34">
        <v>0</v>
      </c>
      <c r="CL34" s="26">
        <v>-0.24318936518565337</v>
      </c>
      <c r="CM34">
        <v>0</v>
      </c>
    </row>
    <row r="35" spans="2:91" ht="26.25" x14ac:dyDescent="0.4">
      <c r="B35" s="9"/>
      <c r="C35">
        <v>1</v>
      </c>
      <c r="D35" s="10">
        <v>2</v>
      </c>
      <c r="J35" s="4" t="s">
        <v>170</v>
      </c>
      <c r="AF35" s="9">
        <v>2</v>
      </c>
      <c r="AG35" s="1">
        <f>((2/(1+DATA!$I$17))*AH35*LN(AG29)+((2*DATA!$I$17)/(1+DATA!$I$17))*(1-AH35)*LN(1-AG29))</f>
        <v>-2.8398574107241281E-2</v>
      </c>
      <c r="AH35" s="10">
        <v>0</v>
      </c>
      <c r="AN35" s="9"/>
      <c r="AO35" s="10">
        <v>1</v>
      </c>
      <c r="AT35" s="9">
        <v>1</v>
      </c>
      <c r="AU35" s="17" cm="1">
        <f t="array" ref="AU35:AV40">AO75:AP80+MMULT(AU21:AV26,TRANSPOSE(C42:D43))</f>
        <v>-1.3143836891534831E-3</v>
      </c>
      <c r="AV35" s="14">
        <v>0.31816123693120119</v>
      </c>
      <c r="CB35">
        <v>1</v>
      </c>
      <c r="CC35" s="20">
        <f t="shared" ref="CC35:CC40" si="12">CB85*IF(CB85&gt;0,1,0)</f>
        <v>0.33708155385758964</v>
      </c>
      <c r="CK35">
        <v>0</v>
      </c>
      <c r="CL35" s="26">
        <v>8.6633902217030781E-2</v>
      </c>
      <c r="CM35">
        <v>0</v>
      </c>
    </row>
    <row r="36" spans="2:91" x14ac:dyDescent="0.25">
      <c r="B36" s="9">
        <v>1</v>
      </c>
      <c r="C36" s="35">
        <v>-0.47399999999999998</v>
      </c>
      <c r="D36" s="36">
        <v>-6.8000000000000005E-2</v>
      </c>
      <c r="J36" t="s">
        <v>212</v>
      </c>
      <c r="K36" t="s">
        <v>213</v>
      </c>
      <c r="M36" t="s">
        <v>28</v>
      </c>
      <c r="N36" t="s">
        <v>213</v>
      </c>
      <c r="AF36" s="9">
        <v>3</v>
      </c>
      <c r="AG36" s="1">
        <f>((2/(1+DATA!$I$18))*AH36*LN(AG30)+((2*DATA!$I$18)/(1+DATA!$I$18))*(1-AH36)*LN(1-AG30))</f>
        <v>-1.3860069168622999</v>
      </c>
      <c r="AH36" s="10">
        <v>1</v>
      </c>
      <c r="AN36" s="9">
        <v>1</v>
      </c>
      <c r="AO36" s="10">
        <f t="shared" ref="AO36:AO38" si="13">AJ22-$AG$39*$AO14</f>
        <v>1.0368529556973318</v>
      </c>
      <c r="AT36" s="9">
        <v>2</v>
      </c>
      <c r="AU36" s="17">
        <v>-1.7501489672725804E-2</v>
      </c>
      <c r="AV36" s="14">
        <v>6.4339990371289763E-3</v>
      </c>
      <c r="CB36">
        <v>2</v>
      </c>
      <c r="CC36" s="20">
        <f t="shared" si="12"/>
        <v>0</v>
      </c>
      <c r="CK36">
        <v>0</v>
      </c>
      <c r="CL36" s="26">
        <v>-0.84368679885201792</v>
      </c>
      <c r="CM36">
        <v>0</v>
      </c>
    </row>
    <row r="37" spans="2:91" x14ac:dyDescent="0.25">
      <c r="B37" s="11">
        <v>2</v>
      </c>
      <c r="C37" s="40">
        <v>0.53400000000000003</v>
      </c>
      <c r="D37" s="41">
        <v>0.78800000000000003</v>
      </c>
      <c r="J37">
        <v>1</v>
      </c>
      <c r="K37">
        <v>2</v>
      </c>
      <c r="M37">
        <v>1</v>
      </c>
      <c r="N37">
        <v>2</v>
      </c>
      <c r="AF37" s="24" t="s">
        <v>6</v>
      </c>
      <c r="AG37" s="13">
        <f>-1*SUM(AG34:AG36)/3</f>
        <v>1.0444366795695916</v>
      </c>
      <c r="AH37" s="12"/>
      <c r="AN37" s="9">
        <v>2</v>
      </c>
      <c r="AO37" s="10">
        <f t="shared" si="13"/>
        <v>0.99974767561281375</v>
      </c>
      <c r="AT37" s="9">
        <v>3</v>
      </c>
      <c r="AU37" s="17">
        <v>0.24620080458323418</v>
      </c>
      <c r="AV37" s="14">
        <v>-2.5386186560540092E-2</v>
      </c>
      <c r="CB37">
        <v>3</v>
      </c>
      <c r="CC37" s="20">
        <f t="shared" si="12"/>
        <v>0.40812747578475489</v>
      </c>
      <c r="CK37">
        <v>0</v>
      </c>
      <c r="CL37" s="26">
        <v>0.17422066566536737</v>
      </c>
      <c r="CM37">
        <v>0</v>
      </c>
    </row>
    <row r="38" spans="2:91" x14ac:dyDescent="0.25">
      <c r="I38">
        <v>1</v>
      </c>
      <c r="J38" cm="1">
        <f t="array" ref="J38:K38">MMULT(M27:N27,$C$42:$D$43)+$F$42:$G$42</f>
        <v>2.7712762553399624</v>
      </c>
      <c r="K38">
        <v>3.786887897227496</v>
      </c>
      <c r="M38">
        <f t="shared" ref="M38:M43" si="14">MAX(0,J38)</f>
        <v>2.7712762553399624</v>
      </c>
      <c r="N38">
        <f t="shared" ref="N38:N43" si="15">MAX(0,K38)</f>
        <v>3.786887897227496</v>
      </c>
      <c r="AN38" s="11">
        <v>3</v>
      </c>
      <c r="AO38" s="12">
        <f t="shared" si="13"/>
        <v>1.034968110522559</v>
      </c>
      <c r="AT38" s="9">
        <v>4</v>
      </c>
      <c r="AU38" s="17">
        <v>-3.0533276832597493E-2</v>
      </c>
      <c r="AV38" s="14">
        <v>-3.0418967854237561E-3</v>
      </c>
      <c r="CB38">
        <v>4</v>
      </c>
      <c r="CC38" s="20">
        <f t="shared" si="12"/>
        <v>0</v>
      </c>
      <c r="CK38">
        <v>0</v>
      </c>
      <c r="CL38" s="28">
        <v>0.46054055495736873</v>
      </c>
      <c r="CM38">
        <v>0</v>
      </c>
    </row>
    <row r="39" spans="2:91" x14ac:dyDescent="0.25">
      <c r="I39">
        <v>2</v>
      </c>
      <c r="J39" cm="1">
        <f t="array" ref="J39:K39">MMULT(M28:N28,$C$42:$D$43)+$F$42:$G$42</f>
        <v>1.7356723983107103</v>
      </c>
      <c r="K39">
        <v>3.5272762458483493</v>
      </c>
      <c r="M39">
        <f t="shared" si="14"/>
        <v>1.7356723983107103</v>
      </c>
      <c r="N39">
        <f t="shared" si="15"/>
        <v>3.5272762458483493</v>
      </c>
      <c r="AF39" s="2" t="s">
        <v>73</v>
      </c>
      <c r="AG39">
        <v>0.1</v>
      </c>
      <c r="AT39" s="9">
        <v>5</v>
      </c>
      <c r="AU39" s="17">
        <v>0.10893430301453738</v>
      </c>
      <c r="AV39" s="14">
        <v>-4.2745620038745408E-2</v>
      </c>
      <c r="CB39">
        <v>5</v>
      </c>
      <c r="CC39" s="20">
        <f t="shared" si="12"/>
        <v>0.22778232795619904</v>
      </c>
      <c r="CK39">
        <v>0</v>
      </c>
      <c r="CL39">
        <v>0</v>
      </c>
      <c r="CM39">
        <v>0</v>
      </c>
    </row>
    <row r="40" spans="2:91" x14ac:dyDescent="0.25">
      <c r="B40" s="5"/>
      <c r="C40" s="6" t="s">
        <v>201</v>
      </c>
      <c r="D40" s="7"/>
      <c r="F40" s="5" t="s">
        <v>203</v>
      </c>
      <c r="G40" s="7"/>
      <c r="I40">
        <v>3</v>
      </c>
      <c r="J40" cm="1">
        <f t="array" ref="J40:K40">MMULT(M29:N29,$C$42:$D$43)+$F$42:$G$42</f>
        <v>1.6360189577695796</v>
      </c>
      <c r="K40">
        <v>3.5982023147153308</v>
      </c>
      <c r="M40">
        <f t="shared" si="14"/>
        <v>1.6360189577695796</v>
      </c>
      <c r="N40">
        <f t="shared" si="15"/>
        <v>3.5982023147153308</v>
      </c>
      <c r="AO40" t="s">
        <v>74</v>
      </c>
      <c r="AT40" s="11">
        <v>6</v>
      </c>
      <c r="AU40" s="18">
        <v>-0.14344704354539717</v>
      </c>
      <c r="AV40" s="15">
        <v>-0.10205221421255495</v>
      </c>
      <c r="CB40">
        <v>6</v>
      </c>
      <c r="CC40" s="20">
        <f t="shared" si="12"/>
        <v>0</v>
      </c>
    </row>
    <row r="41" spans="2:91" x14ac:dyDescent="0.25">
      <c r="B41" s="9"/>
      <c r="C41">
        <v>1</v>
      </c>
      <c r="D41" s="10">
        <v>2</v>
      </c>
      <c r="F41" s="9">
        <v>1</v>
      </c>
      <c r="G41" s="10">
        <v>2</v>
      </c>
      <c r="I41">
        <v>4</v>
      </c>
      <c r="J41" cm="1">
        <f t="array" ref="J41:K41">MMULT(M30:N30,$C$42:$D$43)+$F$42:$G$42</f>
        <v>1.0968071047985668</v>
      </c>
      <c r="K41">
        <v>2.5206604559203809</v>
      </c>
      <c r="M41">
        <f t="shared" si="14"/>
        <v>1.0968071047985668</v>
      </c>
      <c r="N41">
        <f t="shared" si="15"/>
        <v>2.5206604559203809</v>
      </c>
      <c r="AO41">
        <v>1</v>
      </c>
      <c r="AP41" t="s">
        <v>75</v>
      </c>
    </row>
    <row r="42" spans="2:91" x14ac:dyDescent="0.25">
      <c r="B42" s="9">
        <v>1</v>
      </c>
      <c r="C42" s="35">
        <v>-0.47399999999999998</v>
      </c>
      <c r="D42" s="36">
        <v>0.251</v>
      </c>
      <c r="F42" s="11">
        <v>1</v>
      </c>
      <c r="G42" s="12">
        <v>1</v>
      </c>
      <c r="I42">
        <v>5</v>
      </c>
      <c r="J42" cm="1">
        <f t="array" ref="J42:K42">MMULT(M31:N31,$C$42:$D$43)+$F$42:$G$42</f>
        <v>0.41276603412914614</v>
      </c>
      <c r="K42">
        <v>3.0933615612225287</v>
      </c>
      <c r="M42">
        <f t="shared" si="14"/>
        <v>0.41276603412914614</v>
      </c>
      <c r="N42">
        <f t="shared" si="15"/>
        <v>3.0933615612225287</v>
      </c>
      <c r="AN42">
        <v>1</v>
      </c>
      <c r="AO42" s="17" cm="1">
        <f t="array" ref="AO42">SUM(MMULT(TRANSPOSE($AO$14:$AO$16),TRANSPOSE(AJ7:AL7)))</f>
        <v>0.31974176386191305</v>
      </c>
      <c r="CB42" s="5"/>
      <c r="CC42" s="8" t="s">
        <v>22</v>
      </c>
      <c r="CD42" t="s">
        <v>83</v>
      </c>
      <c r="CE42" s="5"/>
      <c r="CF42" s="8" t="s">
        <v>23</v>
      </c>
      <c r="CG42" t="s">
        <v>84</v>
      </c>
    </row>
    <row r="43" spans="2:91" ht="26.25" x14ac:dyDescent="0.4">
      <c r="B43" s="11">
        <v>2</v>
      </c>
      <c r="C43" s="40">
        <v>0.94499999999999995</v>
      </c>
      <c r="D43" s="41">
        <v>0.23799999999999999</v>
      </c>
      <c r="I43">
        <v>6</v>
      </c>
      <c r="J43" cm="1">
        <f t="array" ref="J43:K43">MMULT(M32:N32,$C$42:$D$43)+$F$42:$G$42</f>
        <v>2.9816522450963143</v>
      </c>
      <c r="K43">
        <v>3.1211730699829485</v>
      </c>
      <c r="M43">
        <f t="shared" si="14"/>
        <v>2.9816522450963143</v>
      </c>
      <c r="N43">
        <f t="shared" si="15"/>
        <v>3.1211730699829485</v>
      </c>
      <c r="AN43">
        <v>2</v>
      </c>
      <c r="AO43" s="17" cm="1">
        <f t="array" ref="AO43">SUM(MMULT(TRANSPOSE($AO$14:$AO$16),TRANSPOSE(AJ8:AL8)))</f>
        <v>1.6255263063518766E-3</v>
      </c>
      <c r="AU43" s="4" t="s">
        <v>37</v>
      </c>
      <c r="CB43" s="9"/>
      <c r="CC43" s="10">
        <v>1</v>
      </c>
      <c r="CE43" s="9"/>
      <c r="CF43" s="10">
        <v>1</v>
      </c>
    </row>
    <row r="44" spans="2:91" ht="26.25" x14ac:dyDescent="0.4">
      <c r="P44" t="s">
        <v>162</v>
      </c>
      <c r="R44" t="s">
        <v>162</v>
      </c>
      <c r="U44" t="s">
        <v>162</v>
      </c>
      <c r="AN44">
        <v>3</v>
      </c>
      <c r="AO44" s="17" cm="1">
        <f t="array" ref="AO44">SUM(MMULT(TRANSPOSE($AO$14:$AO$16),TRANSPOSE(AJ9:AL9)))</f>
        <v>0.27158699114377427</v>
      </c>
      <c r="AU44" s="4" t="s">
        <v>169</v>
      </c>
      <c r="CB44" s="9">
        <v>1</v>
      </c>
      <c r="CC44" s="10" cm="1">
        <f t="array" ref="CC44">FRONTEND!T7-$AG39*SUM($CC$35:$CC$40*CL32:CL37)</f>
        <v>0.15114292048593436</v>
      </c>
      <c r="CE44" s="11">
        <v>1</v>
      </c>
      <c r="CF44" s="12">
        <f>FRONTEND!$W7-$AG$39*SUM(CB85:CB90)</f>
        <v>0.9377377451666592</v>
      </c>
    </row>
    <row r="45" spans="2:91" x14ac:dyDescent="0.25">
      <c r="B45" s="5"/>
      <c r="C45" s="6" t="s">
        <v>183</v>
      </c>
      <c r="D45" s="7"/>
      <c r="F45" s="5" t="s">
        <v>185</v>
      </c>
      <c r="G45" s="7"/>
      <c r="J45" t="s">
        <v>214</v>
      </c>
      <c r="K45" t="s">
        <v>213</v>
      </c>
      <c r="M45" s="61" t="s">
        <v>215</v>
      </c>
      <c r="N45" s="7" t="s">
        <v>213</v>
      </c>
      <c r="P45" t="s">
        <v>33</v>
      </c>
      <c r="R45" t="s">
        <v>76</v>
      </c>
      <c r="T45" s="5"/>
      <c r="U45" s="8" t="s">
        <v>164</v>
      </c>
      <c r="AN45">
        <v>4</v>
      </c>
      <c r="AO45" s="17" cm="1">
        <f t="array" ref="AO45">SUM(MMULT(TRANSPOSE($AO$14:$AO$16),TRANSPOSE(AJ10:AL10)))</f>
        <v>4.1691720245159616E-2</v>
      </c>
      <c r="CB45" s="9">
        <v>2</v>
      </c>
      <c r="CC45" s="10" cm="1">
        <f t="array" ref="CC45">FRONTEND!T8-$AG40*SUM($CC$35:$CC$40*CL33:CL38)</f>
        <v>0.51600000000000001</v>
      </c>
    </row>
    <row r="46" spans="2:91" x14ac:dyDescent="0.25">
      <c r="B46" s="9"/>
      <c r="C46">
        <v>1</v>
      </c>
      <c r="D46" s="10">
        <v>2</v>
      </c>
      <c r="F46" s="9">
        <v>1</v>
      </c>
      <c r="G46" s="10">
        <v>2</v>
      </c>
      <c r="J46">
        <v>1</v>
      </c>
      <c r="K46">
        <v>2</v>
      </c>
      <c r="M46" s="9">
        <v>1</v>
      </c>
      <c r="N46" s="10">
        <v>2</v>
      </c>
      <c r="P46">
        <v>1</v>
      </c>
      <c r="R46">
        <v>1</v>
      </c>
      <c r="T46" s="9"/>
      <c r="U46" s="10">
        <v>1</v>
      </c>
      <c r="AN46">
        <v>5</v>
      </c>
      <c r="AO46" s="17" cm="1">
        <f t="array" ref="AO46">SUM(MMULT(TRANSPOSE($AO$14:$AO$16),TRANSPOSE(AJ11:AL11)))</f>
        <v>0.15167992305328279</v>
      </c>
      <c r="AT46" s="5"/>
      <c r="AU46" s="16" t="s">
        <v>211</v>
      </c>
      <c r="AV46" s="7" t="s">
        <v>216</v>
      </c>
      <c r="CB46" s="11">
        <v>3</v>
      </c>
      <c r="CC46" s="12" cm="1">
        <f t="array" ref="CC46">FRONTEND!T9-$AG41*SUM($CC$35:$CC$40*CL34:CL39)</f>
        <v>-0.97699999999999998</v>
      </c>
    </row>
    <row r="47" spans="2:91" x14ac:dyDescent="0.25">
      <c r="B47" s="9">
        <v>1</v>
      </c>
      <c r="C47" s="35">
        <v>-0.72799999999999998</v>
      </c>
      <c r="D47" s="36">
        <v>-0.86199999999999999</v>
      </c>
      <c r="F47" s="11">
        <v>1</v>
      </c>
      <c r="G47" s="12">
        <v>1</v>
      </c>
      <c r="I47">
        <v>1</v>
      </c>
      <c r="J47" cm="1">
        <f t="array" ref="J47:K47">MMULT(M38:N38,$C$47:$D$48)+$F$47:$G$47</f>
        <v>-3.4713924712909101</v>
      </c>
      <c r="K47">
        <v>-1.1919219614472181</v>
      </c>
      <c r="M47" s="63">
        <f t="shared" ref="M47:N52" si="16">M27+J47</f>
        <v>2.8486105975307776</v>
      </c>
      <c r="N47" s="14">
        <f>N27+K47</f>
        <v>3.8524777316336736</v>
      </c>
      <c r="P47" s="17">
        <f t="shared" ref="P47:P52" si="17">MAX(M47:N47)</f>
        <v>3.8524777316336736</v>
      </c>
      <c r="R47" s="20">
        <f t="shared" ref="R47:R52" si="18">AVERAGE(M47:N47)</f>
        <v>3.3505441645822254</v>
      </c>
      <c r="T47" s="9">
        <v>1</v>
      </c>
      <c r="U47" s="45" cm="1">
        <f t="array" ref="U47:U52">P47:P52</f>
        <v>3.8524777316336736</v>
      </c>
      <c r="AN47">
        <v>6</v>
      </c>
      <c r="AO47" s="17" cm="1">
        <f t="array" ref="AO47">SUM(MMULT(TRANSPOSE($AO$14:$AO$16),TRANSPOSE(AJ12:AL12)))</f>
        <v>-0.47325676971080721</v>
      </c>
      <c r="AT47" s="9"/>
      <c r="AU47">
        <v>1</v>
      </c>
      <c r="AV47" s="10">
        <v>2</v>
      </c>
    </row>
    <row r="48" spans="2:91" x14ac:dyDescent="0.25">
      <c r="B48" s="11">
        <v>2</v>
      </c>
      <c r="C48" s="40">
        <v>-0.64800000000000002</v>
      </c>
      <c r="D48" s="41">
        <v>5.1999999999999998E-2</v>
      </c>
      <c r="I48">
        <v>2</v>
      </c>
      <c r="J48" cm="1">
        <f t="array" ref="J48:K48">MMULT(M39:N39,$C$47:$D$48)+$F$47:$G$47</f>
        <v>-2.5492445132799277</v>
      </c>
      <c r="K48">
        <v>-0.31273124255971818</v>
      </c>
      <c r="M48" s="63">
        <f t="shared" si="16"/>
        <v>3.7740176544159789</v>
      </c>
      <c r="N48" s="14">
        <f t="shared" si="16"/>
        <v>3.6374260757456476</v>
      </c>
      <c r="P48" s="17">
        <f t="shared" si="17"/>
        <v>3.7740176544159789</v>
      </c>
      <c r="R48" s="20">
        <f t="shared" si="18"/>
        <v>3.7057218650808132</v>
      </c>
      <c r="T48" s="9">
        <v>2</v>
      </c>
      <c r="U48" s="45">
        <v>3.7740176544159789</v>
      </c>
      <c r="AN48">
        <v>7</v>
      </c>
      <c r="AO48" s="20" cm="1">
        <f t="array" ref="AO48">SUM(MMULT(TRANSPOSE($AO$14:$AO$16),TRANSPOSE(AJ13:AL13)))</f>
        <v>-1.2905991013869106E-2</v>
      </c>
      <c r="AT48" s="9">
        <v>1</v>
      </c>
      <c r="AU48" cm="1">
        <f t="array" ref="AU48:AV49">C36:D37-$AG$39*MMULT(TRANSPOSE(J27:K32),_xlfn.ANCHORARRAY(AU35))</f>
        <v>-0.44734469577122005</v>
      </c>
      <c r="AV48" s="10">
        <v>-4.8276659005702521E-2</v>
      </c>
    </row>
    <row r="49" spans="9:77" x14ac:dyDescent="0.25">
      <c r="I49">
        <v>3</v>
      </c>
      <c r="J49" cm="1">
        <f t="array" ref="J49:K49">MMULT(M40:N40,$C$47:$D$48)+$F$47:$G$47</f>
        <v>-2.5226569011917883</v>
      </c>
      <c r="K49">
        <v>-0.22314182123218052</v>
      </c>
      <c r="M49" s="63">
        <f t="shared" si="16"/>
        <v>4.0598648068221301</v>
      </c>
      <c r="N49" s="14">
        <f t="shared" si="16"/>
        <v>3.7516034140780596</v>
      </c>
      <c r="P49" s="17">
        <f t="shared" si="17"/>
        <v>4.0598648068221301</v>
      </c>
      <c r="R49" s="20">
        <f t="shared" si="18"/>
        <v>3.9057341104500951</v>
      </c>
      <c r="T49" s="9">
        <v>3</v>
      </c>
      <c r="U49" s="45">
        <v>4.0598648068221301</v>
      </c>
      <c r="AN49">
        <v>8</v>
      </c>
      <c r="AO49" s="20" cm="1">
        <f t="array" ref="AO49">SUM(MMULT(TRANSPOSE($AO$14:$AO$16),TRANSPOSE(AJ14:AL14)))</f>
        <v>-2.421792520745758E-2</v>
      </c>
      <c r="AT49" s="11">
        <v>2</v>
      </c>
      <c r="AU49" s="13">
        <v>0.48835188872445651</v>
      </c>
      <c r="AV49" s="12">
        <v>0.74051075534706245</v>
      </c>
    </row>
    <row r="50" spans="9:77" x14ac:dyDescent="0.25">
      <c r="I50">
        <v>4</v>
      </c>
      <c r="J50" cm="1">
        <f t="array" ref="J50:K50">MMULT(M41:N41,$C$47:$D$48)+$F$47:$G$47</f>
        <v>-1.4318635477297637</v>
      </c>
      <c r="K50">
        <v>0.18562661937149527</v>
      </c>
      <c r="M50" s="63">
        <f t="shared" si="16"/>
        <v>2.6080100545201939</v>
      </c>
      <c r="N50" s="14">
        <f t="shared" si="16"/>
        <v>2.3144172990170473</v>
      </c>
      <c r="P50" s="17">
        <f t="shared" si="17"/>
        <v>2.6080100545201939</v>
      </c>
      <c r="R50" s="20">
        <f t="shared" si="18"/>
        <v>2.4612136767686206</v>
      </c>
      <c r="T50" s="9">
        <v>4</v>
      </c>
      <c r="U50" s="45">
        <v>2.6080100545201939</v>
      </c>
      <c r="AN50">
        <v>9</v>
      </c>
      <c r="AO50" s="20" cm="1">
        <f t="array" ref="AO50">SUM(MMULT(TRANSPOSE($AO$14:$AO$16),TRANSPOSE(AJ15:AL15)))</f>
        <v>-5.0772373121080183E-2</v>
      </c>
    </row>
    <row r="51" spans="9:77" x14ac:dyDescent="0.25">
      <c r="I51">
        <v>5</v>
      </c>
      <c r="J51" cm="1">
        <f t="array" ref="J51:K51">MMULT(M42:N42,$C$47:$D$48)+$F$47:$G$47</f>
        <v>-1.3049919645182171</v>
      </c>
      <c r="K51">
        <v>0.80505047976424748</v>
      </c>
      <c r="M51" s="63">
        <f t="shared" si="16"/>
        <v>4.7462823220890584</v>
      </c>
      <c r="N51" s="14">
        <f t="shared" si="16"/>
        <v>3.2188812162520728</v>
      </c>
      <c r="P51" s="17">
        <f t="shared" si="17"/>
        <v>4.7462823220890584</v>
      </c>
      <c r="R51" s="20">
        <f t="shared" si="18"/>
        <v>3.9825817691705656</v>
      </c>
      <c r="T51" s="9">
        <v>5</v>
      </c>
      <c r="U51" s="45">
        <v>4.7462823220890584</v>
      </c>
      <c r="AN51">
        <v>10</v>
      </c>
      <c r="AO51" s="20" cm="1">
        <f t="array" ref="AO51">SUM(MMULT(TRANSPOSE($AO$14:$AO$16),TRANSPOSE(AJ16:AL16)))</f>
        <v>-9.9535389425559215E-2</v>
      </c>
      <c r="AU51" t="s">
        <v>217</v>
      </c>
      <c r="AV51" t="s">
        <v>218</v>
      </c>
    </row>
    <row r="52" spans="9:77" x14ac:dyDescent="0.25">
      <c r="I52">
        <v>6</v>
      </c>
      <c r="J52" cm="1">
        <f t="array" ref="J52:K52">MMULT(M43:N43,$C$47:$D$48)+$F$47:$G$47</f>
        <v>-3.193162983779068</v>
      </c>
      <c r="K52">
        <v>-1.4078832356339097</v>
      </c>
      <c r="M52" s="64">
        <f t="shared" si="16"/>
        <v>1.1863931873859759</v>
      </c>
      <c r="N52" s="15">
        <f t="shared" si="16"/>
        <v>2.8858330291582019</v>
      </c>
      <c r="P52" s="17">
        <f t="shared" si="17"/>
        <v>2.8858330291582019</v>
      </c>
      <c r="R52" s="20">
        <f t="shared" si="18"/>
        <v>2.0361131082720889</v>
      </c>
      <c r="T52" s="9">
        <v>6</v>
      </c>
      <c r="U52" s="45">
        <v>2.8858330291582019</v>
      </c>
      <c r="AN52">
        <v>11</v>
      </c>
      <c r="AO52" s="20" cm="1">
        <f t="array" ref="AO52">SUM(MMULT(TRANSPOSE($AO$14:$AO$16),TRANSPOSE(AJ17:AL17)))</f>
        <v>-8.5491240077490815E-2</v>
      </c>
      <c r="AU52">
        <v>1</v>
      </c>
      <c r="AV52">
        <v>2</v>
      </c>
    </row>
    <row r="53" spans="9:77" x14ac:dyDescent="0.25">
      <c r="M53" t="s">
        <v>208</v>
      </c>
      <c r="T53" s="9">
        <v>7</v>
      </c>
      <c r="U53" s="14" cm="1">
        <f t="array" ref="U53:U58">R47:R52</f>
        <v>3.3505441645822254</v>
      </c>
      <c r="AN53">
        <v>12</v>
      </c>
      <c r="AO53" s="20" cm="1">
        <f t="array" ref="AO53">SUM(MMULT(TRANSPOSE($AO$14:$AO$16),TRANSPOSE(AJ18:AL18)))</f>
        <v>5.6932351170924919E-2</v>
      </c>
      <c r="AT53">
        <v>1</v>
      </c>
      <c r="AU53" s="17" cm="1">
        <f t="array" ref="AU53:AV58">MMULT(_xlfn.ANCHORARRAY(AU35),TRANSPOSE(C36:D37))</f>
        <v>-2.1011946242662928E-2</v>
      </c>
      <c r="AV53" s="20">
        <v>0.25000917381177862</v>
      </c>
    </row>
    <row r="54" spans="9:77" x14ac:dyDescent="0.25">
      <c r="T54" s="9">
        <v>8</v>
      </c>
      <c r="U54" s="14">
        <v>3.7057218650808132</v>
      </c>
      <c r="AT54">
        <v>2</v>
      </c>
      <c r="AU54" s="17">
        <v>7.8581941703472612E-3</v>
      </c>
      <c r="AV54" s="20">
        <v>-4.2758042439779457E-3</v>
      </c>
    </row>
    <row r="55" spans="9:77" x14ac:dyDescent="0.25">
      <c r="T55" s="9">
        <v>9</v>
      </c>
      <c r="U55" s="14">
        <v>3.9057341104500951</v>
      </c>
      <c r="AN55" t="s">
        <v>80</v>
      </c>
      <c r="AO55" s="17" t="s">
        <v>33</v>
      </c>
      <c r="AQ55" s="2" t="s">
        <v>25</v>
      </c>
      <c r="AT55">
        <v>3</v>
      </c>
      <c r="AU55" s="17">
        <v>-0.11497292068633627</v>
      </c>
      <c r="AV55" s="20">
        <v>0.11146691463774147</v>
      </c>
      <c r="BT55" t="s">
        <v>219</v>
      </c>
    </row>
    <row r="56" spans="9:77" x14ac:dyDescent="0.25">
      <c r="T56" s="9">
        <v>10</v>
      </c>
      <c r="U56" s="14">
        <v>2.4612136767686206</v>
      </c>
      <c r="AO56">
        <v>1</v>
      </c>
      <c r="AP56" s="2" t="s">
        <v>72</v>
      </c>
      <c r="AQ56">
        <v>1</v>
      </c>
      <c r="AR56">
        <v>2</v>
      </c>
      <c r="AT56">
        <v>4</v>
      </c>
      <c r="AU56" s="17">
        <v>1.4679622200060027E-2</v>
      </c>
      <c r="AV56" s="20">
        <v>-1.8701784495520981E-2</v>
      </c>
    </row>
    <row r="57" spans="9:77" x14ac:dyDescent="0.25">
      <c r="T57" s="9">
        <v>11</v>
      </c>
      <c r="U57" s="14">
        <v>3.9825817691705656</v>
      </c>
      <c r="AN57">
        <v>1</v>
      </c>
      <c r="AO57" s="1">
        <f t="shared" ref="AO57:AO62" si="19">AO42</f>
        <v>0.31974176386191305</v>
      </c>
      <c r="AP57">
        <f t="shared" ref="AP57:AP62" si="20">MATCH(MAX(M47:N47),M47:N47,0)</f>
        <v>2</v>
      </c>
      <c r="AQ57">
        <f t="shared" ref="AQ57:AR62" si="21">IF($AP57=AQ$56,$AO57,0)</f>
        <v>0</v>
      </c>
      <c r="AR57">
        <f>IF($AP57=AR$56,$AO57,0)</f>
        <v>0.31974176386191305</v>
      </c>
      <c r="AT57">
        <v>5</v>
      </c>
      <c r="AU57" s="17">
        <v>-4.8728157466256028E-2</v>
      </c>
      <c r="AV57" s="20">
        <v>2.4487369219231586E-2</v>
      </c>
    </row>
    <row r="58" spans="9:77" x14ac:dyDescent="0.25">
      <c r="T58" s="11">
        <v>12</v>
      </c>
      <c r="U58" s="15">
        <v>2.0361131082720889</v>
      </c>
      <c r="AN58">
        <v>2</v>
      </c>
      <c r="AO58" s="1">
        <f t="shared" si="19"/>
        <v>1.6255263063518766E-3</v>
      </c>
      <c r="AP58">
        <f t="shared" si="20"/>
        <v>1</v>
      </c>
      <c r="AQ58">
        <f t="shared" si="21"/>
        <v>1.6255263063518766E-3</v>
      </c>
      <c r="AR58">
        <f t="shared" si="21"/>
        <v>0</v>
      </c>
      <c r="AT58">
        <v>6</v>
      </c>
      <c r="AU58" s="17">
        <v>7.4933449206971994E-2</v>
      </c>
      <c r="AV58" s="20">
        <v>-0.15701786605273538</v>
      </c>
    </row>
    <row r="59" spans="9:77" x14ac:dyDescent="0.25">
      <c r="AN59">
        <v>3</v>
      </c>
      <c r="AO59" s="1">
        <f t="shared" si="19"/>
        <v>0.27158699114377427</v>
      </c>
      <c r="AP59">
        <f t="shared" si="20"/>
        <v>1</v>
      </c>
      <c r="AQ59">
        <f t="shared" si="21"/>
        <v>0.27158699114377427</v>
      </c>
      <c r="AR59">
        <f t="shared" si="21"/>
        <v>0</v>
      </c>
      <c r="BK59" s="1"/>
    </row>
    <row r="60" spans="9:77" x14ac:dyDescent="0.25">
      <c r="AN60">
        <v>4</v>
      </c>
      <c r="AO60" s="1">
        <f t="shared" si="19"/>
        <v>4.1691720245159616E-2</v>
      </c>
      <c r="AP60">
        <f t="shared" si="20"/>
        <v>1</v>
      </c>
      <c r="AQ60">
        <f t="shared" si="21"/>
        <v>4.1691720245159616E-2</v>
      </c>
      <c r="AR60">
        <f t="shared" si="21"/>
        <v>0</v>
      </c>
      <c r="BK60" s="17" t="s">
        <v>173</v>
      </c>
      <c r="BX60" t="s">
        <v>219</v>
      </c>
    </row>
    <row r="61" spans="9:77" x14ac:dyDescent="0.25">
      <c r="AN61">
        <v>5</v>
      </c>
      <c r="AO61" s="1">
        <f t="shared" si="19"/>
        <v>0.15167992305328279</v>
      </c>
      <c r="AP61">
        <f t="shared" si="20"/>
        <v>1</v>
      </c>
      <c r="AQ61">
        <f t="shared" si="21"/>
        <v>0.15167992305328279</v>
      </c>
      <c r="AR61">
        <f t="shared" si="21"/>
        <v>0</v>
      </c>
      <c r="AU61" s="17" t="s">
        <v>173</v>
      </c>
      <c r="BD61" t="s">
        <v>220</v>
      </c>
      <c r="BK61" t="s">
        <v>221</v>
      </c>
      <c r="BL61" s="32" t="s">
        <v>222</v>
      </c>
      <c r="BM61" s="65" t="s">
        <v>223</v>
      </c>
      <c r="BN61" s="66" t="s">
        <v>224</v>
      </c>
      <c r="BO61" t="s">
        <v>225</v>
      </c>
      <c r="BS61" s="34"/>
      <c r="BU61" s="34"/>
      <c r="BX61" s="3" t="s">
        <v>173</v>
      </c>
    </row>
    <row r="62" spans="9:77" x14ac:dyDescent="0.25">
      <c r="AN62">
        <v>6</v>
      </c>
      <c r="AO62" s="1">
        <f t="shared" si="19"/>
        <v>-0.47325676971080721</v>
      </c>
      <c r="AP62">
        <f t="shared" si="20"/>
        <v>2</v>
      </c>
      <c r="AQ62">
        <f t="shared" si="21"/>
        <v>0</v>
      </c>
      <c r="AR62">
        <f t="shared" si="21"/>
        <v>-0.47325676971080721</v>
      </c>
      <c r="AT62" t="s">
        <v>226</v>
      </c>
      <c r="AU62" t="s">
        <v>227</v>
      </c>
      <c r="AW62" t="s">
        <v>228</v>
      </c>
      <c r="AY62" t="s">
        <v>229</v>
      </c>
      <c r="BD62" t="s">
        <v>230</v>
      </c>
      <c r="BF62">
        <f>ROW(AW64)</f>
        <v>64</v>
      </c>
      <c r="BG62">
        <f>COLUMN(AW64)</f>
        <v>49</v>
      </c>
      <c r="BH62">
        <f>IF($BF$62&gt;$BG$62,$BF$62-$BG$62,0)</f>
        <v>15</v>
      </c>
      <c r="BI62">
        <f>IF($BF$62&lt;$BG$62,$BG$62-$BF$62,0)</f>
        <v>0</v>
      </c>
      <c r="BK62" t="s">
        <v>231</v>
      </c>
      <c r="BL62" s="32" t="s">
        <v>232</v>
      </c>
      <c r="BM62" s="65" t="s">
        <v>233</v>
      </c>
      <c r="BN62" s="66" t="s">
        <v>234</v>
      </c>
      <c r="BO62" t="s">
        <v>235</v>
      </c>
      <c r="BQ62" t="s">
        <v>236</v>
      </c>
      <c r="BS62" s="34" t="s">
        <v>237</v>
      </c>
      <c r="BU62" s="34" t="s">
        <v>238</v>
      </c>
      <c r="BX62" t="s">
        <v>239</v>
      </c>
    </row>
    <row r="63" spans="9:77" x14ac:dyDescent="0.25">
      <c r="AU63">
        <v>1</v>
      </c>
      <c r="AW63">
        <v>1</v>
      </c>
      <c r="AX63">
        <v>2</v>
      </c>
      <c r="AY63">
        <v>3</v>
      </c>
      <c r="AZ63">
        <v>4</v>
      </c>
      <c r="BA63">
        <v>5</v>
      </c>
      <c r="BB63">
        <v>6</v>
      </c>
      <c r="BD63">
        <v>1</v>
      </c>
      <c r="BE63">
        <v>2</v>
      </c>
      <c r="BF63">
        <v>3</v>
      </c>
      <c r="BG63">
        <v>4</v>
      </c>
      <c r="BH63">
        <v>5</v>
      </c>
      <c r="BI63">
        <v>6</v>
      </c>
      <c r="BK63">
        <v>1</v>
      </c>
      <c r="BL63" s="32">
        <v>1</v>
      </c>
      <c r="BM63" s="65">
        <v>1</v>
      </c>
      <c r="BN63" s="66">
        <v>1</v>
      </c>
      <c r="BO63">
        <v>1</v>
      </c>
      <c r="BQ63">
        <v>1</v>
      </c>
      <c r="BR63">
        <v>2</v>
      </c>
      <c r="BS63" s="34">
        <v>1</v>
      </c>
      <c r="BT63">
        <v>2</v>
      </c>
      <c r="BU63" s="34">
        <v>1</v>
      </c>
      <c r="BV63">
        <v>2</v>
      </c>
      <c r="BX63">
        <v>1</v>
      </c>
      <c r="BY63">
        <v>2</v>
      </c>
    </row>
    <row r="64" spans="9:77" x14ac:dyDescent="0.25">
      <c r="AN64" t="s">
        <v>80</v>
      </c>
      <c r="AO64" s="20" t="s">
        <v>76</v>
      </c>
      <c r="AQ64" s="2" t="s">
        <v>82</v>
      </c>
      <c r="AT64">
        <v>1</v>
      </c>
      <c r="AU64" cm="1">
        <f t="array" ref="AU64:AU69">MMULT(TRANSPOSE(W7:AB12),AU53:AU58)</f>
        <v>-4.071899120762211E-2</v>
      </c>
      <c r="AW64" cm="1">
        <f t="array" ref="AW64:BB69">MMULT(AU53:AU58,TRANSPOSE(_xlfn.ANCHORARRAY(N7)))</f>
        <v>3.7437196807801658E-2</v>
      </c>
      <c r="AX64">
        <v>2.310775863208242E-2</v>
      </c>
      <c r="AY64">
        <v>2.4062908503301807E-2</v>
      </c>
      <c r="AZ64">
        <v>-6.1615169752734893E-3</v>
      </c>
      <c r="BA64">
        <v>2.523684938970793E-3</v>
      </c>
      <c r="BB64">
        <v>2.3292245115768821E-2</v>
      </c>
      <c r="BD64" s="1" cm="1">
        <f t="array" ref="BD64">SUM($AW64:$BB64*$W7:$AB7*(IF((ROW(AW64)-$BH$62)=(COLUMN(AW64)-$BI$62),1,0)-W7))</f>
        <v>1.7420571666411016E-2</v>
      </c>
      <c r="BE64" s="1" cm="1">
        <f t="array" ref="BE64">SUM($AW64:$BB64*$W7:$AB7*(IF((ROW(AX64)-$BH$62)=(COLUMN(AX64)-$BI$62),1,0)-X7))</f>
        <v>-2.8621305367425723E-3</v>
      </c>
      <c r="BF64" s="1" cm="1">
        <f t="array" ref="BF64">SUM($AW64:$BB64*$W7:$AB7*(IF((ROW(AY64)-$BH$62)=(COLUMN(AY64)-$BI$62),1,0)-Y7))</f>
        <v>-2.5867050558493004E-3</v>
      </c>
      <c r="BG64" s="1" cm="1">
        <f t="array" ref="BG64">SUM($AW64:$BB64*$W7:$AB7*(IF((ROW(AZ64)-$BH$62)=(COLUMN(AZ64)-$BI$62),1,0)-Z7))</f>
        <v>-1.5489419718273958E-3</v>
      </c>
      <c r="BH64" s="1" cm="1">
        <f t="array" ref="BH64">SUM($AW64:$BB64*$W7:$AB7*(IF((ROW(BA64)-$BH$62)=(COLUMN(BA64)-$BI$62),1,0)-AA7))</f>
        <v>-7.6907806523611477E-4</v>
      </c>
      <c r="BI64" s="1" cm="1">
        <f t="array" ref="BI64">SUM($AW64:$BB64*$W7:$AB7*(IF((ROW(BB64)-$BH$62)=(COLUMN(BB64)-$BI$62),1,0)-AB7))</f>
        <v>-9.6537160367556329E-3</v>
      </c>
      <c r="BK64" cm="1">
        <f t="array" ref="BK64:BK69">(1/SQRT($G$2))*MMULT(TRANSPOSE($BD$64:$BI$69),_xlfn.ANCHORARRAY($J$7))</f>
        <v>0.15968616445947498</v>
      </c>
      <c r="BL64" s="32" cm="1">
        <f t="array" ref="BL64:BL69">(1/SQRT($G$2))*MMULT($BD$64:$BI$69,_xlfn.ANCHORARRAY(L7))</f>
        <v>-6.1385072979814811E-3</v>
      </c>
      <c r="BM64" s="65" cm="1">
        <f t="array" ref="BM64:BM65">C25:C26-$AG$39*MMULT(TRANSPOSE(_xlfn.ANCHORARRAY($C$4)),_xlfn.ANCHORARRAY($BL$64))</f>
        <v>-0.96323660465148109</v>
      </c>
      <c r="BN64" s="66" cm="1">
        <f t="array" ref="BN64:BN65">E25:E26-$AG$39*MMULT(TRANSPOSE(_xlfn.ANCHORARRAY($C$4)),_xlfn.ANCHORARRAY($BK$64))</f>
        <v>0.44284116181636907</v>
      </c>
      <c r="BO64" cm="1">
        <f t="array" ref="BO64:BO65">G25:G26-$AG$39*MMULT(TRANSPOSE(_xlfn.ANCHORARRAY($C$4)),_xlfn.ANCHORARRAY($AU$64))</f>
        <v>-2.1505725304977113E-2</v>
      </c>
      <c r="BQ64" cm="1">
        <f t="array" ref="BQ64:BR69">MMULT(_xlfn.ANCHORARRAY(BL64),TRANSPOSE(C25:C26))</f>
        <v>5.2913932908600367E-3</v>
      </c>
      <c r="BR64">
        <v>-5.4018864222237038E-3</v>
      </c>
      <c r="BS64" s="34" cm="1">
        <f t="array" ref="BS64:BT69">MMULT(_xlfn.ANCHORARRAY(BK64),TRANSPOSE(E25:E26))</f>
        <v>6.531164126392526E-2</v>
      </c>
      <c r="BT64">
        <v>-0.11625152772649779</v>
      </c>
      <c r="BU64" s="34" cm="1">
        <f t="array" ref="BU64:BV69">MMULT(_xlfn.ANCHORARRAY(AU64),TRANSPOSE(G25:G26))</f>
        <v>2.1173875427963496E-3</v>
      </c>
      <c r="BV64">
        <v>2.638590630253913E-2</v>
      </c>
      <c r="BX64" cm="1">
        <f t="array" ref="BX64:BY69">_xlfn.ANCHORARRAY(BQ64)+_xlfn.ANCHORARRAY(BS64)+_xlfn.ANCHORARRAY(BU64)</f>
        <v>7.2720422097581644E-2</v>
      </c>
      <c r="BY64">
        <v>-9.5267507846182362E-2</v>
      </c>
    </row>
    <row r="65" spans="40:77" x14ac:dyDescent="0.25">
      <c r="AO65">
        <v>1</v>
      </c>
      <c r="AP65">
        <v>2</v>
      </c>
      <c r="AQ65" s="2">
        <v>2</v>
      </c>
      <c r="AT65">
        <v>2</v>
      </c>
      <c r="AU65">
        <v>3.3252096309304043E-3</v>
      </c>
      <c r="AW65">
        <v>-1.4001023908574703E-2</v>
      </c>
      <c r="AX65">
        <v>-8.6420007016641143E-3</v>
      </c>
      <c r="AY65">
        <v>-8.9992143106816525E-3</v>
      </c>
      <c r="AZ65">
        <v>2.3043270821472253E-3</v>
      </c>
      <c r="BA65">
        <v>-9.4382529091698887E-4</v>
      </c>
      <c r="BB65">
        <v>-8.7109962432417344E-3</v>
      </c>
      <c r="BD65" s="1" cm="1">
        <f t="array" ref="BD65">SUM($AW65:$BB65*$W8:$AB8*(IF((ROW(AW65)-$BH$62)=(COLUMN(AW65)-$BI$62),1,0)-W8))</f>
        <v>3.6622687228883774E-3</v>
      </c>
      <c r="BE65" s="1" cm="1">
        <f t="array" ref="BE65">SUM($AW65:$BB65*$W8:$AB8*(IF((ROW(AX65)-$BH$62)=(COLUMN(AX65)-$BI$62),1,0)-X8))</f>
        <v>-9.6373878846325554E-3</v>
      </c>
      <c r="BF65" s="1" cm="1">
        <f t="array" ref="BF65">SUM($AW65:$BB65*$W8:$AB8*(IF((ROW(AY65)-$BH$62)=(COLUMN(AY65)-$BI$62),1,0)-Y8))</f>
        <v>5.5690369330865764E-4</v>
      </c>
      <c r="BG65" s="1" cm="1">
        <f t="array" ref="BG65">SUM($AW65:$BB65*$W8:$AB8*(IF((ROW(AZ65)-$BH$62)=(COLUMN(AZ65)-$BI$62),1,0)-Z8))</f>
        <v>2.349102819268569E-4</v>
      </c>
      <c r="BH65" s="1" cm="1">
        <f t="array" ref="BH65">SUM($AW65:$BB65*$W8:$AB8*(IF((ROW(BA65)-$BH$62)=(COLUMN(BA65)-$BI$62),1,0)-AA8))</f>
        <v>7.2291483214680972E-5</v>
      </c>
      <c r="BI65" s="1" cm="1">
        <f t="array" ref="BI65">SUM($AW65:$BB65*$W8:$AB8*(IF((ROW(BB65)-$BH$62)=(COLUMN(BB65)-$BI$62),1,0)-AB8))</f>
        <v>5.1110137032939814E-3</v>
      </c>
      <c r="BK65">
        <v>4.4331238651623646E-2</v>
      </c>
      <c r="BL65" s="32">
        <v>-7.2060834169048625E-3</v>
      </c>
      <c r="BM65" s="65">
        <v>0.84732049208501592</v>
      </c>
      <c r="BN65" s="66">
        <v>-0.72056643465597803</v>
      </c>
      <c r="BO65">
        <v>-0.63540606019093027</v>
      </c>
      <c r="BQ65">
        <v>6.2116439053719911E-3</v>
      </c>
      <c r="BR65">
        <v>-6.3413534068762793E-3</v>
      </c>
      <c r="BS65" s="34">
        <v>1.813147660851407E-2</v>
      </c>
      <c r="BT65">
        <v>-3.2273141738382013E-2</v>
      </c>
      <c r="BU65" s="34">
        <v>-1.7291090080838101E-4</v>
      </c>
      <c r="BV65">
        <v>-2.1547358408429019E-3</v>
      </c>
      <c r="BX65">
        <v>2.417020961307768E-2</v>
      </c>
      <c r="BY65">
        <v>-4.076923098610119E-2</v>
      </c>
    </row>
    <row r="66" spans="40:77" x14ac:dyDescent="0.25">
      <c r="AN66">
        <v>1</v>
      </c>
      <c r="AO66">
        <f t="shared" ref="AO66:AP71" si="22">$AO48*1/$AQ$65</f>
        <v>-6.4529955069345529E-3</v>
      </c>
      <c r="AP66">
        <f>$AO48*1/$AQ$65</f>
        <v>-6.4529955069345529E-3</v>
      </c>
      <c r="AT66">
        <v>3</v>
      </c>
      <c r="AU66">
        <v>4.312373256844958E-3</v>
      </c>
      <c r="AW66">
        <v>0.20484841383054311</v>
      </c>
      <c r="AX66">
        <v>0.12644076230554413</v>
      </c>
      <c r="AY66">
        <v>0.13166714015360365</v>
      </c>
      <c r="AZ66">
        <v>-3.3714516224454899E-2</v>
      </c>
      <c r="BA66">
        <v>1.3809069610908057E-2</v>
      </c>
      <c r="BB66">
        <v>0.12745023328037039</v>
      </c>
      <c r="BD66" s="1" cm="1">
        <f t="array" ref="BD66">SUM($AW66:$BB66*$W9:$AB9*(IF((ROW(AW66)-$BH$62)=(COLUMN(AW66)-$BI$62),1,0)-W9))</f>
        <v>-5.4503592878285961E-2</v>
      </c>
      <c r="BE66" s="1" cm="1">
        <f t="array" ref="BE66">SUM($AW66:$BB66*$W9:$AB9*(IF((ROW(AX66)-$BH$62)=(COLUMN(AX66)-$BI$62),1,0)-X9))</f>
        <v>-8.4987234951503302E-3</v>
      </c>
      <c r="BF66" s="1" cm="1">
        <f t="array" ref="BF66">SUM($AW66:$BB66*$W9:$AB9*(IF((ROW(AY66)-$BH$62)=(COLUMN(AY66)-$BI$62),1,0)-Y9))</f>
        <v>0.14478785940454322</v>
      </c>
      <c r="BG66" s="1" cm="1">
        <f t="array" ref="BG66">SUM($AW66:$BB66*$W9:$AB9*(IF((ROW(AZ66)-$BH$62)=(COLUMN(AZ66)-$BI$62),1,0)-Z9))</f>
        <v>-2.7698888184570303E-3</v>
      </c>
      <c r="BH66" s="1" cm="1">
        <f t="array" ref="BH66">SUM($AW66:$BB66*$W9:$AB9*(IF((ROW(BA66)-$BH$62)=(COLUMN(BA66)-$BI$62),1,0)-AA9))</f>
        <v>-7.7136910411901717E-4</v>
      </c>
      <c r="BI66" s="1" cm="1">
        <f t="array" ref="BI66">SUM($AW66:$BB66*$W9:$AB9*(IF((ROW(BB66)-$BH$62)=(COLUMN(BB66)-$BI$62),1,0)-AB9))</f>
        <v>-7.8244285108530875E-2</v>
      </c>
      <c r="BK66">
        <v>-0.35444796891006747</v>
      </c>
      <c r="BL66" s="32">
        <v>0.12142745233592135</v>
      </c>
      <c r="BM66" s="65"/>
      <c r="BN66" s="66"/>
      <c r="BQ66">
        <v>-0.1046704639135642</v>
      </c>
      <c r="BR66">
        <v>0.10685615805561079</v>
      </c>
      <c r="BS66" s="34">
        <v>-0.14496921928421758</v>
      </c>
      <c r="BT66">
        <v>0.25803812136652909</v>
      </c>
      <c r="BU66" s="34">
        <v>-2.2424340935593782E-4</v>
      </c>
      <c r="BV66">
        <v>-2.7944178704355331E-3</v>
      </c>
      <c r="BX66">
        <v>-0.24986392660713774</v>
      </c>
      <c r="BY66">
        <v>0.36209986155170432</v>
      </c>
    </row>
    <row r="67" spans="40:77" x14ac:dyDescent="0.25">
      <c r="AN67">
        <v>2</v>
      </c>
      <c r="AO67">
        <f t="shared" si="22"/>
        <v>-1.210896260372879E-2</v>
      </c>
      <c r="AP67">
        <f t="shared" si="22"/>
        <v>-1.210896260372879E-2</v>
      </c>
      <c r="AT67">
        <v>4</v>
      </c>
      <c r="AU67">
        <v>6.6127850608825398E-3</v>
      </c>
      <c r="AW67">
        <v>-2.6154831114691312E-2</v>
      </c>
      <c r="AX67">
        <v>-1.6143824217501709E-2</v>
      </c>
      <c r="AY67">
        <v>-1.6811122672009824E-2</v>
      </c>
      <c r="AZ67">
        <v>4.304634151053705E-3</v>
      </c>
      <c r="BA67">
        <v>-1.7631275574488481E-3</v>
      </c>
      <c r="BB67">
        <v>-1.6272712415208744E-2</v>
      </c>
      <c r="BD67" s="1" cm="1">
        <f t="array" ref="BD67">SUM($AW67:$BB67*$W10:$AB10*(IF((ROW(AW67)-$BH$62)=(COLUMN(AW67)-$BI$62),1,0)-W10))</f>
        <v>6.5378965532371155E-3</v>
      </c>
      <c r="BE67" s="1" cm="1">
        <f t="array" ref="BE67">SUM($AW67:$BB67*$W10:$AB10*(IF((ROW(AX67)-$BH$62)=(COLUMN(AX67)-$BI$62),1,0)-X10))</f>
        <v>1.4984017589937133E-3</v>
      </c>
      <c r="BF67" s="1" cm="1">
        <f t="array" ref="BF67">SUM($AW67:$BB67*$W10:$AB10*(IF((ROW(AY67)-$BH$62)=(COLUMN(AY67)-$BI$62),1,0)-Y10))</f>
        <v>1.2942581538012685E-3</v>
      </c>
      <c r="BG67" s="1" cm="1">
        <f t="array" ref="BG67">SUM($AW67:$BB67*$W10:$AB10*(IF((ROW(AZ67)-$BH$62)=(COLUMN(AZ67)-$BI$62),1,0)-Z10))</f>
        <v>-1.8262252450949919E-2</v>
      </c>
      <c r="BH67" s="1" cm="1">
        <f t="array" ref="BH67">SUM($AW67:$BB67*$W10:$AB10*(IF((ROW(BA67)-$BH$62)=(COLUMN(BA67)-$BI$62),1,0)-AA10))</f>
        <v>2.2361721963779716E-4</v>
      </c>
      <c r="BI67" s="1" cm="1">
        <f t="array" ref="BI67">SUM($AW67:$BB67*$W10:$AB10*(IF((ROW(BB67)-$BH$62)=(COLUMN(BB67)-$BI$62),1,0)-AB10))</f>
        <v>8.7080787652800209E-3</v>
      </c>
      <c r="BK67">
        <v>4.0777450338926366E-2</v>
      </c>
      <c r="BL67" s="32">
        <v>-2.0940240544135555E-2</v>
      </c>
      <c r="BM67" s="65"/>
      <c r="BN67" s="66"/>
      <c r="BQ67">
        <v>1.8050487349044849E-2</v>
      </c>
      <c r="BR67">
        <v>-1.8427411678839288E-2</v>
      </c>
      <c r="BS67" s="34">
        <v>1.6677977188620883E-2</v>
      </c>
      <c r="BT67">
        <v>-2.9685983846738394E-2</v>
      </c>
      <c r="BU67" s="34">
        <v>-3.4386482316589204E-4</v>
      </c>
      <c r="BV67">
        <v>-4.2850847194518859E-3</v>
      </c>
      <c r="BX67">
        <v>3.4384599714499843E-2</v>
      </c>
      <c r="BY67">
        <v>-5.239848024502957E-2</v>
      </c>
    </row>
    <row r="68" spans="40:77" x14ac:dyDescent="0.25">
      <c r="AN68">
        <v>3</v>
      </c>
      <c r="AO68">
        <f t="shared" si="22"/>
        <v>-2.5386186560540092E-2</v>
      </c>
      <c r="AP68">
        <f t="shared" si="22"/>
        <v>-2.5386186560540092E-2</v>
      </c>
      <c r="AT68">
        <v>5</v>
      </c>
      <c r="AU68">
        <v>6.5725218324469816E-3</v>
      </c>
      <c r="AW68">
        <v>8.681945023454346E-2</v>
      </c>
      <c r="AX68">
        <v>5.3588491437794906E-2</v>
      </c>
      <c r="AY68">
        <v>5.5803550090198627E-2</v>
      </c>
      <c r="AZ68">
        <v>-1.4288984272790791E-2</v>
      </c>
      <c r="BA68">
        <v>5.8526000248229496E-3</v>
      </c>
      <c r="BB68">
        <v>5.4016328360831291E-2</v>
      </c>
      <c r="BD68" s="1" cm="1">
        <f t="array" ref="BD68">SUM($AW68:$BB68*$W11:$AB11*(IF((ROW(AW68)-$BH$62)=(COLUMN(AW68)-$BI$62),1,0)-W11))</f>
        <v>-2.3320439650179069E-2</v>
      </c>
      <c r="BE68" s="1" cm="1">
        <f t="array" ref="BE68">SUM($AW68:$BB68*$W11:$AB11*(IF((ROW(AX68)-$BH$62)=(COLUMN(AX68)-$BI$62),1,0)-X11))</f>
        <v>-1.8310528344187521E-3</v>
      </c>
      <c r="BF68" s="1" cm="1">
        <f t="array" ref="BF68">SUM($AW68:$BB68*$W11:$AB11*(IF((ROW(AY68)-$BH$62)=(COLUMN(AY68)-$BI$62),1,0)-Y11))</f>
        <v>-1.4218132865053193E-3</v>
      </c>
      <c r="BG68" s="1" cm="1">
        <f t="array" ref="BG68">SUM($AW68:$BB68*$W11:$AB11*(IF((ROW(AZ68)-$BH$62)=(COLUMN(AZ68)-$BI$62),1,0)-Z11))</f>
        <v>-3.9450548997039126E-4</v>
      </c>
      <c r="BH68" s="1" cm="1">
        <f t="array" ref="BH68">SUM($AW68:$BB68*$W11:$AB11*(IF((ROW(BA68)-$BH$62)=(COLUMN(BA68)-$BI$62),1,0)-AA11))</f>
        <v>6.5227157520969928E-2</v>
      </c>
      <c r="BI68" s="1" cm="1">
        <f t="array" ref="BI68">SUM($AW68:$BB68*$W11:$AB11*(IF((ROW(BB68)-$BH$62)=(COLUMN(BB68)-$BI$62),1,0)-AB11))</f>
        <v>-3.8259346259896389E-2</v>
      </c>
      <c r="BK68">
        <v>-0.21931048261515873</v>
      </c>
      <c r="BL68" s="32">
        <v>0.11623199978682752</v>
      </c>
      <c r="BM68" s="65"/>
      <c r="BN68" s="66"/>
      <c r="BQ68">
        <v>-0.10019198381624532</v>
      </c>
      <c r="BR68">
        <v>0.10228415981240822</v>
      </c>
      <c r="BS68" s="34">
        <v>-8.9697987389599915E-2</v>
      </c>
      <c r="BT68">
        <v>0.15965803134383555</v>
      </c>
      <c r="BU68" s="34">
        <v>-3.4177113528724304E-4</v>
      </c>
      <c r="BV68">
        <v>-4.2589941474256441E-3</v>
      </c>
      <c r="BX68">
        <v>-0.19023174234113246</v>
      </c>
      <c r="BY68">
        <v>0.25768319700881814</v>
      </c>
    </row>
    <row r="69" spans="40:77" x14ac:dyDescent="0.25">
      <c r="AN69">
        <v>4</v>
      </c>
      <c r="AO69">
        <f t="shared" si="22"/>
        <v>-4.9767694712779607E-2</v>
      </c>
      <c r="AP69">
        <f t="shared" si="22"/>
        <v>-4.9767694712779607E-2</v>
      </c>
      <c r="AT69">
        <v>6</v>
      </c>
      <c r="AU69">
        <v>-6.7345657391358699E-2</v>
      </c>
      <c r="AW69">
        <v>-0.13350968316075859</v>
      </c>
      <c r="AX69">
        <v>-8.240759983615259E-2</v>
      </c>
      <c r="AY69">
        <v>-8.5813884695893086E-2</v>
      </c>
      <c r="AZ69">
        <v>2.1973391420881446E-2</v>
      </c>
      <c r="BA69">
        <v>-9.0000428805971314E-3</v>
      </c>
      <c r="BB69">
        <v>-8.3065521210738028E-2</v>
      </c>
      <c r="BD69" s="1" cm="1">
        <f t="array" ref="BD69">SUM($AW69:$BB69*$W12:$AB12*(IF((ROW(AW69)-$BH$62)=(COLUMN(AW69)-$BI$62),1,0)-W12))</f>
        <v>1.6332968205365322E-2</v>
      </c>
      <c r="BE69" s="1" cm="1">
        <f t="array" ref="BE69">SUM($AW69:$BB69*$W12:$AB12*(IF((ROW(AX69)-$BH$62)=(COLUMN(AX69)-$BI$62),1,0)-X12))</f>
        <v>1.1612895729447025E-2</v>
      </c>
      <c r="BF69" s="1" cm="1">
        <f t="array" ref="BF69">SUM($AW69:$BB69*$W12:$AB12*(IF((ROW(AY69)-$BH$62)=(COLUMN(AY69)-$BI$62),1,0)-Y12))</f>
        <v>1.1225729263853138E-2</v>
      </c>
      <c r="BG69" s="1" cm="1">
        <f t="array" ref="BG69">SUM($AW69:$BB69*$W12:$AB12*(IF((ROW(AZ69)-$BH$62)=(COLUMN(AZ69)-$BI$62),1,0)-Z12))</f>
        <v>9.453218226372035E-3</v>
      </c>
      <c r="BH69" s="1" cm="1">
        <f t="array" ref="BH69">SUM($AW69:$BB69*$W12:$AB12*(IF((ROW(BA69)-$BH$62)=(COLUMN(BA69)-$BI$62),1,0)-AA12))</f>
        <v>7.4762170989314241E-3</v>
      </c>
      <c r="BI69" s="1" cm="1">
        <f t="array" ref="BI69">SUM($AW69:$BB69*$W12:$AB12*(IF((ROW(BB69)-$BH$62)=(COLUMN(BB69)-$BI$62),1,0)-AB12))</f>
        <v>-5.6101028523968935E-2</v>
      </c>
      <c r="BK69">
        <v>0.32896359807520115</v>
      </c>
      <c r="BL69" s="32">
        <v>5.1062002494317769E-2</v>
      </c>
      <c r="BM69" s="65"/>
      <c r="BN69" s="66"/>
      <c r="BQ69">
        <v>-4.4015446150101917E-2</v>
      </c>
      <c r="BR69">
        <v>4.4934562194999639E-2</v>
      </c>
      <c r="BS69" s="34">
        <v>0.13454611161275726</v>
      </c>
      <c r="BT69">
        <v>-0.23948549939874642</v>
      </c>
      <c r="BU69" s="34">
        <v>3.5019741843506521E-3</v>
      </c>
      <c r="BV69">
        <v>4.3639985989600436E-2</v>
      </c>
      <c r="BX69">
        <v>9.4032639647005992E-2</v>
      </c>
      <c r="BY69">
        <v>-0.15091095121414633</v>
      </c>
    </row>
    <row r="70" spans="40:77" x14ac:dyDescent="0.25">
      <c r="AN70">
        <v>5</v>
      </c>
      <c r="AO70">
        <f t="shared" si="22"/>
        <v>-4.2745620038745408E-2</v>
      </c>
      <c r="AP70">
        <f t="shared" si="22"/>
        <v>-4.2745620038745408E-2</v>
      </c>
      <c r="BL70" s="32"/>
      <c r="BM70" s="65"/>
      <c r="BN70" s="66"/>
      <c r="BS70" s="34"/>
      <c r="BU70" s="34"/>
    </row>
    <row r="71" spans="40:77" x14ac:dyDescent="0.25">
      <c r="AN71">
        <v>6</v>
      </c>
      <c r="AO71">
        <f t="shared" si="22"/>
        <v>2.846617558546246E-2</v>
      </c>
      <c r="AP71">
        <f t="shared" si="22"/>
        <v>2.846617558546246E-2</v>
      </c>
      <c r="BK71" s="20" t="s">
        <v>194</v>
      </c>
      <c r="BL71" s="32"/>
      <c r="BM71" s="65"/>
      <c r="BN71" s="66"/>
      <c r="BS71" s="34"/>
      <c r="BU71" s="34"/>
      <c r="BX71" t="s">
        <v>219</v>
      </c>
    </row>
    <row r="72" spans="40:77" x14ac:dyDescent="0.25">
      <c r="AU72" s="20" t="s">
        <v>194</v>
      </c>
      <c r="BD72" t="s">
        <v>220</v>
      </c>
      <c r="BK72" t="s">
        <v>221</v>
      </c>
      <c r="BL72" s="32" t="s">
        <v>222</v>
      </c>
      <c r="BM72" s="65" t="s">
        <v>223</v>
      </c>
      <c r="BN72" s="66" t="s">
        <v>224</v>
      </c>
      <c r="BO72" t="s">
        <v>225</v>
      </c>
      <c r="BS72" s="34"/>
      <c r="BU72" s="34"/>
      <c r="BX72" s="3" t="s">
        <v>194</v>
      </c>
    </row>
    <row r="73" spans="40:77" x14ac:dyDescent="0.25">
      <c r="AN73" s="5"/>
      <c r="AO73" s="16" t="s">
        <v>85</v>
      </c>
      <c r="AP73" s="7"/>
      <c r="AQ73" t="s">
        <v>80</v>
      </c>
      <c r="AT73" t="s">
        <v>226</v>
      </c>
      <c r="AU73" t="s">
        <v>227</v>
      </c>
      <c r="AW73" t="s">
        <v>228</v>
      </c>
      <c r="AY73" t="s">
        <v>229</v>
      </c>
      <c r="BD73" t="s">
        <v>230</v>
      </c>
      <c r="BF73">
        <f>ROW(AW75)</f>
        <v>75</v>
      </c>
      <c r="BG73">
        <f>COLUMN(AW75)</f>
        <v>49</v>
      </c>
      <c r="BH73">
        <f>IF($BF$73&gt;$BG$73,$BF$73-$BG$73,0)</f>
        <v>26</v>
      </c>
      <c r="BI73">
        <f>IF($BF$73&lt;$BG$73,$BG$73-$BF$73,0)</f>
        <v>0</v>
      </c>
      <c r="BK73" t="s">
        <v>231</v>
      </c>
      <c r="BL73" s="32" t="s">
        <v>232</v>
      </c>
      <c r="BM73" s="65" t="s">
        <v>233</v>
      </c>
      <c r="BN73" s="66" t="s">
        <v>234</v>
      </c>
      <c r="BO73" t="s">
        <v>235</v>
      </c>
      <c r="BQ73" t="s">
        <v>236</v>
      </c>
      <c r="BS73" s="34" t="s">
        <v>237</v>
      </c>
      <c r="BU73" s="34" t="s">
        <v>238</v>
      </c>
      <c r="BX73" t="s">
        <v>239</v>
      </c>
    </row>
    <row r="74" spans="40:77" x14ac:dyDescent="0.25">
      <c r="AN74" s="9"/>
      <c r="AO74">
        <v>1</v>
      </c>
      <c r="AP74" s="10">
        <v>2</v>
      </c>
      <c r="AU74">
        <v>1</v>
      </c>
      <c r="AW74">
        <v>1</v>
      </c>
      <c r="AX74">
        <v>2</v>
      </c>
      <c r="AY74">
        <v>3</v>
      </c>
      <c r="AZ74">
        <v>4</v>
      </c>
      <c r="BA74">
        <v>5</v>
      </c>
      <c r="BB74">
        <v>6</v>
      </c>
      <c r="BD74">
        <v>1</v>
      </c>
      <c r="BE74">
        <v>2</v>
      </c>
      <c r="BF74">
        <v>3</v>
      </c>
      <c r="BG74">
        <v>4</v>
      </c>
      <c r="BH74">
        <v>5</v>
      </c>
      <c r="BI74">
        <v>6</v>
      </c>
      <c r="BK74">
        <v>1</v>
      </c>
      <c r="BL74" s="32">
        <v>1</v>
      </c>
      <c r="BM74" s="65">
        <v>1</v>
      </c>
      <c r="BN74" s="66">
        <v>1</v>
      </c>
      <c r="BO74">
        <v>1</v>
      </c>
      <c r="BQ74">
        <v>1</v>
      </c>
      <c r="BR74">
        <v>2</v>
      </c>
      <c r="BS74" s="34">
        <v>1</v>
      </c>
      <c r="BT74">
        <v>2</v>
      </c>
      <c r="BU74" s="34">
        <v>1</v>
      </c>
      <c r="BV74">
        <v>2</v>
      </c>
      <c r="BX74">
        <v>1</v>
      </c>
      <c r="BY74">
        <v>2</v>
      </c>
    </row>
    <row r="75" spans="40:77" x14ac:dyDescent="0.25">
      <c r="AN75" s="9">
        <v>1</v>
      </c>
      <c r="AO75" s="17">
        <f t="shared" ref="AO75:AP80" si="23">AQ57+AO66</f>
        <v>-6.4529955069345529E-3</v>
      </c>
      <c r="AP75" s="14">
        <f>AR57+AP66</f>
        <v>0.31328876835497849</v>
      </c>
      <c r="AT75">
        <v>1</v>
      </c>
      <c r="AU75" cm="1">
        <f t="array" ref="AU75:AU80">MMULT(TRANSPOSE(W17:AB22),AV53:AV58)</f>
        <v>2.6357043105457178E-2</v>
      </c>
      <c r="AW75" cm="1">
        <f t="array" ref="AW75:BB80">MMULT(AV53:AV58,TRANSPOSE(_xlfn.ANCHORARRAY(N17)))</f>
        <v>1.2159011399069068</v>
      </c>
      <c r="AX75">
        <v>1.0986203152964762</v>
      </c>
      <c r="AY75">
        <v>1.1679056707252835</v>
      </c>
      <c r="AZ75">
        <v>0.32633396081849503</v>
      </c>
      <c r="BA75">
        <v>0.87637301099802345</v>
      </c>
      <c r="BB75">
        <v>0.66275563629108669</v>
      </c>
      <c r="BD75" s="1" cm="1">
        <f t="array" ref="BD75">SUM($AW75:$BB75*$W17:$AB17*(IF((ROW(AW75)-$BH$73)=(COLUMN(AW75)-$BI$73),1,0)-W17))</f>
        <v>0.68847160587846201</v>
      </c>
      <c r="BE75" s="1" cm="1">
        <f t="array" ref="BE75">SUM($AW75:$BB75*$W17:$AB17*(IF((ROW(AX75)-$BH$73)=(COLUMN(AX75)-$BI$73),1,0)-X17))</f>
        <v>-0.10356056083006387</v>
      </c>
      <c r="BF75" s="1" cm="1">
        <f t="array" ref="BF75">SUM($AW75:$BB75*$W17:$AB17*(IF((ROW(AY75)-$BH$73)=(COLUMN(AY75)-$BI$73),1,0)-Y17))</f>
        <v>-9.4769836641922858E-2</v>
      </c>
      <c r="BG75" s="1" cm="1">
        <f t="array" ref="BG75">SUM($AW75:$BB75*$W17:$AB17*(IF((ROW(AZ75)-$BH$73)=(COLUMN(AZ75)-$BI$73),1,0)-Z17))</f>
        <v>-0.18873575254045838</v>
      </c>
      <c r="BH75" s="1" cm="1">
        <f t="array" ref="BH75">SUM($AW75:$BB75*$W17:$AB17*(IF((ROW(BA75)-$BH$73)=(COLUMN(BA75)-$BI$73),1,0)-AA17))</f>
        <v>-9.5501470637713873E-2</v>
      </c>
      <c r="BI75" s="1" cm="1">
        <f t="array" ref="BI75">SUM($AW75:$BB75*$W17:$AB17*(IF((ROW(BB75)-$BH$73)=(COLUMN(BB75)-$BI$73),1,0)-AB17))</f>
        <v>-0.20590398522830311</v>
      </c>
      <c r="BK75" cm="1">
        <f t="array" ref="BK75:BK80">(1/SQRT($G$2))*MMULT(TRANSPOSE($BD$75:$BI$80),_xlfn.ANCHORARRAY(J17))</f>
        <v>-0.91866696166383832</v>
      </c>
      <c r="BL75" s="32" cm="1">
        <f t="array" ref="BL75:BL80">(1/SQRT($G$2))*MMULT($BD$75:$BI$80,_xlfn.ANCHORARRAY(L17))</f>
        <v>0.11509168136664792</v>
      </c>
      <c r="BM75" s="65" cm="1">
        <f t="array" ref="BM75:BM76">C31:C32-$AG$39*MMULT(TRANSPOSE(_xlfn.ANCHORARRAY($C$4)),_xlfn.ANCHORARRAY(BL75))</f>
        <v>-0.63282271546187896</v>
      </c>
      <c r="BN75" s="66" cm="1">
        <f t="array" ref="BN75:BN76">E31:E32-$AG$39*MMULT(TRANSPOSE(_xlfn.ANCHORARRAY($C$4)),_xlfn.ANCHORARRAY(BK75))</f>
        <v>0.41705307719399171</v>
      </c>
      <c r="BO75" cm="1">
        <f t="array" ref="BO75:BO76">G31:G32-$AG$39*MMULT(TRANSPOSE(_xlfn.ANCHORARRAY($C$4)),_xlfn.ANCHORARRAY(AU75))</f>
        <v>0.88473745026383188</v>
      </c>
      <c r="BQ75" cm="1">
        <f t="array" ref="BQ75:BR80">MMULT(_xlfn.ANCHORARRAY(BL75),TRANSPOSE(C31:C32))</f>
        <v>-5.604964882555754E-2</v>
      </c>
      <c r="BR75">
        <v>2.7391820165262204E-2</v>
      </c>
      <c r="BS75" s="34" cm="1">
        <f t="array" ref="BS75:BT80">MMULT(_xlfn.ANCHORARRAY(BK75),TRANSPOSE(E31:E32))</f>
        <v>-0.23058540737762342</v>
      </c>
      <c r="BT75">
        <v>7.5330690856434748E-2</v>
      </c>
      <c r="BU75" s="34" cm="1">
        <f t="array" ref="BU75:BV80">MMULT(_xlfn.ANCHORARRAY(AU75),TRANSPOSE(G31:G32))</f>
        <v>2.490740573465703E-2</v>
      </c>
      <c r="BV75">
        <v>1.1465313750873873E-2</v>
      </c>
      <c r="BX75" cm="1">
        <f t="array" ref="BX75:BY80">_xlfn.ANCHORARRAY(BQ75)+_xlfn.ANCHORARRAY(BS75)+_xlfn.ANCHORARRAY(BU75)</f>
        <v>-0.26172765046852392</v>
      </c>
      <c r="BY75">
        <v>0.11418782477257082</v>
      </c>
    </row>
    <row r="76" spans="40:77" x14ac:dyDescent="0.25">
      <c r="AN76" s="9">
        <v>2</v>
      </c>
      <c r="AO76" s="17">
        <f t="shared" si="23"/>
        <v>-1.0483436297376914E-2</v>
      </c>
      <c r="AP76" s="14">
        <f t="shared" si="23"/>
        <v>-1.210896260372879E-2</v>
      </c>
      <c r="AT76">
        <v>2</v>
      </c>
      <c r="AU76">
        <v>2.1503393423384733E-2</v>
      </c>
      <c r="AW76">
        <v>-2.0795057937296531E-2</v>
      </c>
      <c r="AX76">
        <v>-1.8789252150409493E-2</v>
      </c>
      <c r="AY76">
        <v>-1.9974211135198781E-2</v>
      </c>
      <c r="AZ76">
        <v>-5.5811557365984758E-3</v>
      </c>
      <c r="BA76">
        <v>-1.4988247761476899E-2</v>
      </c>
      <c r="BB76">
        <v>-1.133483751483132E-2</v>
      </c>
      <c r="BD76" s="1" cm="1">
        <f t="array" ref="BD76">SUM($AW76:$BB76*$W18:$AB18*(IF((ROW(AW76)-$BH$73)=(COLUMN(AW76)-$BI$73),1,0)-W18))</f>
        <v>1.8779766015391817E-3</v>
      </c>
      <c r="BE76" s="1" cm="1">
        <f t="array" ref="BE76">SUM($AW76:$BB76*$W18:$AB18*(IF((ROW(AX76)-$BH$73)=(COLUMN(AX76)-$BI$73),1,0)-X18))</f>
        <v>-1.1850753781692556E-2</v>
      </c>
      <c r="BF76" s="1" cm="1">
        <f t="array" ref="BF76">SUM($AW76:$BB76*$W18:$AB18*(IF((ROW(AY76)-$BH$73)=(COLUMN(AY76)-$BI$73),1,0)-Y18))</f>
        <v>1.4776682127241817E-3</v>
      </c>
      <c r="BG76" s="1" cm="1">
        <f t="array" ref="BG76">SUM($AW76:$BB76*$W18:$AB18*(IF((ROW(AZ76)-$BH$73)=(COLUMN(AZ76)-$BI$73),1,0)-Z18))</f>
        <v>3.3228395460404084E-3</v>
      </c>
      <c r="BH76" s="1" cm="1">
        <f t="array" ref="BH76">SUM($AW76:$BB76*$W18:$AB18*(IF((ROW(BA76)-$BH$73)=(COLUMN(BA76)-$BI$73),1,0)-AA18))</f>
        <v>1.4910963689097887E-3</v>
      </c>
      <c r="BI76" s="1" cm="1">
        <f t="array" ref="BI76">SUM($AW76:$BB76*$W18:$AB18*(IF((ROW(BB76)-$BH$73)=(COLUMN(BB76)-$BI$73),1,0)-AB18))</f>
        <v>3.6811730524789958E-3</v>
      </c>
      <c r="BK76">
        <v>0.19030516682328164</v>
      </c>
      <c r="BL76" s="32">
        <v>-3.2407574949509465E-3</v>
      </c>
      <c r="BM76" s="65">
        <v>0.1790529677176855</v>
      </c>
      <c r="BN76" s="66">
        <v>4.9520330963658543E-3</v>
      </c>
      <c r="BO76">
        <v>0.41467248208757262</v>
      </c>
      <c r="BQ76">
        <v>1.5782489000411108E-3</v>
      </c>
      <c r="BR76">
        <v>-7.7130028379832527E-4</v>
      </c>
      <c r="BS76" s="34">
        <v>4.7766596872643688E-2</v>
      </c>
      <c r="BT76">
        <v>-1.5605023679509094E-2</v>
      </c>
      <c r="BU76" s="34">
        <v>2.032070678509857E-2</v>
      </c>
      <c r="BV76">
        <v>9.3539761391723594E-3</v>
      </c>
      <c r="BX76">
        <v>6.9665552557783367E-2</v>
      </c>
      <c r="BY76">
        <v>-7.0223478241350588E-3</v>
      </c>
    </row>
    <row r="77" spans="40:77" x14ac:dyDescent="0.25">
      <c r="AN77" s="9">
        <v>3</v>
      </c>
      <c r="AO77" s="17">
        <f t="shared" si="23"/>
        <v>0.24620080458323418</v>
      </c>
      <c r="AP77" s="14">
        <f t="shared" si="23"/>
        <v>-2.5386186560540092E-2</v>
      </c>
      <c r="AT77">
        <v>3</v>
      </c>
      <c r="AU77">
        <v>1.8229767718299792E-2</v>
      </c>
      <c r="AW77">
        <v>0.54211110137891438</v>
      </c>
      <c r="AX77">
        <v>0.48982129350435666</v>
      </c>
      <c r="AY77">
        <v>0.52071225914965247</v>
      </c>
      <c r="AZ77">
        <v>0.14549641998871926</v>
      </c>
      <c r="BA77">
        <v>0.39073204442202297</v>
      </c>
      <c r="BB77">
        <v>0.2954904606490889</v>
      </c>
      <c r="BD77" s="1" cm="1">
        <f t="array" ref="BD77">SUM($AW77:$BB77*$W19:$AB19*(IF((ROW(AW77)-$BH$73)=(COLUMN(AW77)-$BI$73),1,0)-W19))</f>
        <v>-4.754604290646923E-2</v>
      </c>
      <c r="BE77" s="1" cm="1">
        <f t="array" ref="BE77">SUM($AW77:$BB77*$W19:$AB19*(IF((ROW(AX77)-$BH$73)=(COLUMN(AX77)-$BI$73),1,0)-X19))</f>
        <v>-4.1112197382256993E-2</v>
      </c>
      <c r="BF77" s="1" cm="1">
        <f t="array" ref="BF77">SUM($AW77:$BB77*$W19:$AB19*(IF((ROW(AY77)-$BH$73)=(COLUMN(AY77)-$BI$73),1,0)-Y19))</f>
        <v>0.31147598676280241</v>
      </c>
      <c r="BG77" s="1" cm="1">
        <f t="array" ref="BG77">SUM($AW77:$BB77*$W19:$AB19*(IF((ROW(AZ77)-$BH$73)=(COLUMN(AZ77)-$BI$73),1,0)-Z19))</f>
        <v>-8.7751532631288723E-2</v>
      </c>
      <c r="BH77" s="1" cm="1">
        <f t="array" ref="BH77">SUM($AW77:$BB77*$W19:$AB19*(IF((ROW(BA77)-$BH$73)=(COLUMN(BA77)-$BI$73),1,0)-AA19))</f>
        <v>-3.7112766603019882E-2</v>
      </c>
      <c r="BI77" s="1" cm="1">
        <f t="array" ref="BI77">SUM($AW77:$BB77*$W19:$AB19*(IF((ROW(BB77)-$BH$73)=(COLUMN(BB77)-$BI$73),1,0)-AB19))</f>
        <v>-9.795344723976758E-2</v>
      </c>
      <c r="BK77">
        <v>-0.45968227695531994</v>
      </c>
      <c r="BL77" s="32">
        <v>0.10836094590669759</v>
      </c>
      <c r="BM77" s="65"/>
      <c r="BN77" s="66"/>
      <c r="BQ77">
        <v>-5.2771780656561726E-2</v>
      </c>
      <c r="BR77">
        <v>2.5789905125794026E-2</v>
      </c>
      <c r="BS77" s="34">
        <v>-0.11538025151578531</v>
      </c>
      <c r="BT77">
        <v>3.7693946710336233E-2</v>
      </c>
      <c r="BU77" s="34">
        <v>1.7227130493793302E-2</v>
      </c>
      <c r="BV77">
        <v>7.9299489574604087E-3</v>
      </c>
      <c r="BX77">
        <v>-0.15092490167855374</v>
      </c>
      <c r="BY77">
        <v>7.1413800793590665E-2</v>
      </c>
    </row>
    <row r="78" spans="40:77" x14ac:dyDescent="0.25">
      <c r="AN78" s="9">
        <v>4</v>
      </c>
      <c r="AO78" s="17">
        <f t="shared" si="23"/>
        <v>-8.075974467619991E-3</v>
      </c>
      <c r="AP78" s="14">
        <f t="shared" si="23"/>
        <v>-4.9767694712779607E-2</v>
      </c>
      <c r="AT78">
        <v>4</v>
      </c>
      <c r="AU78">
        <v>5.683048844682824E-2</v>
      </c>
      <c r="AW78">
        <v>-9.0954746738681314E-2</v>
      </c>
      <c r="AX78">
        <v>-8.2181625841235534E-2</v>
      </c>
      <c r="AY78">
        <v>-8.7364474799012784E-2</v>
      </c>
      <c r="AZ78">
        <v>-2.4411213859664181E-2</v>
      </c>
      <c r="BA78">
        <v>-6.5556551143659311E-2</v>
      </c>
      <c r="BB78">
        <v>-4.9577033090950677E-2</v>
      </c>
      <c r="BD78" s="1" cm="1">
        <f t="array" ref="BD78">SUM($AW78:$BB78*$W20:$AB20*(IF((ROW(AW78)-$BH$73)=(COLUMN(AW78)-$BI$73),1,0)-W20))</f>
        <v>9.5339544822625431E-3</v>
      </c>
      <c r="BE78" s="1" cm="1">
        <f t="array" ref="BE78">SUM($AW78:$BB78*$W20:$AB20*(IF((ROW(AX78)-$BH$73)=(COLUMN(AX78)-$BI$73),1,0)-X20))</f>
        <v>8.8153510980452966E-3</v>
      </c>
      <c r="BF78" s="1" cm="1">
        <f t="array" ref="BF78">SUM($AW78:$BB78*$W20:$AB20*(IF((ROW(AY78)-$BH$73)=(COLUMN(AY78)-$BI$73),1,0)-Y20))</f>
        <v>8.2986812051554382E-3</v>
      </c>
      <c r="BG78" s="1" cm="1">
        <f t="array" ref="BG78">SUM($AW78:$BB78*$W20:$AB20*(IF((ROW(AZ78)-$BH$73)=(COLUMN(AZ78)-$BI$73),1,0)-Z20))</f>
        <v>-4.9065714208269863E-2</v>
      </c>
      <c r="BH78" s="1" cm="1">
        <f t="array" ref="BH78">SUM($AW78:$BB78*$W20:$AB20*(IF((ROW(BA78)-$BH$73)=(COLUMN(BA78)-$BI$73),1,0)-AA20))</f>
        <v>8.3422496566756196E-3</v>
      </c>
      <c r="BI78" s="1" cm="1">
        <f t="array" ref="BI78">SUM($AW78:$BB78*$W20:$AB20*(IF((ROW(BB78)-$BH$73)=(COLUMN(BB78)-$BI$73),1,0)-AB20))</f>
        <v>1.4075477766130969E-2</v>
      </c>
      <c r="BK78">
        <v>0.42271461240709113</v>
      </c>
      <c r="BL78" s="32">
        <v>1.4505308732323551E-2</v>
      </c>
      <c r="BM78" s="65"/>
      <c r="BN78" s="66"/>
      <c r="BQ78">
        <v>-7.0640853526415691E-3</v>
      </c>
      <c r="BR78">
        <v>3.4522634782930047E-3</v>
      </c>
      <c r="BS78" s="34">
        <v>0.10610136771417987</v>
      </c>
      <c r="BT78">
        <v>-3.4662598217381477E-2</v>
      </c>
      <c r="BU78" s="34">
        <v>5.3704811582252682E-2</v>
      </c>
      <c r="BV78">
        <v>2.4721262474370283E-2</v>
      </c>
      <c r="BX78">
        <v>0.15274209394379099</v>
      </c>
      <c r="BY78">
        <v>-6.4890722647181868E-3</v>
      </c>
    </row>
    <row r="79" spans="40:77" x14ac:dyDescent="0.25">
      <c r="AN79" s="9">
        <v>5</v>
      </c>
      <c r="AO79" s="17">
        <f t="shared" si="23"/>
        <v>0.10893430301453738</v>
      </c>
      <c r="AP79" s="14">
        <f t="shared" si="23"/>
        <v>-4.2745620038745408E-2</v>
      </c>
      <c r="AT79">
        <v>5</v>
      </c>
      <c r="AU79">
        <v>1.8498709272603608E-2</v>
      </c>
      <c r="AW79">
        <v>0.1190925104588392</v>
      </c>
      <c r="AX79">
        <v>0.10760533656523763</v>
      </c>
      <c r="AY79">
        <v>0.11439155186287389</v>
      </c>
      <c r="AZ79">
        <v>3.1963067856673431E-2</v>
      </c>
      <c r="BA79">
        <v>8.5837128161683734E-2</v>
      </c>
      <c r="BB79">
        <v>6.4914185829856141E-2</v>
      </c>
      <c r="BD79" s="1" cm="1">
        <f t="array" ref="BD79">SUM($AW79:$BB79*$W21:$AB21*(IF((ROW(AW79)-$BH$73)=(COLUMN(AW79)-$BI$73),1,0)-W21))</f>
        <v>-1.0160057974535647E-2</v>
      </c>
      <c r="BE79" s="1" cm="1">
        <f t="array" ref="BE79">SUM($AW79:$BB79*$W21:$AB21*(IF((ROW(AX79)-$BH$73)=(COLUMN(AX79)-$BI$73),1,0)-X21))</f>
        <v>-8.7047600508379421E-3</v>
      </c>
      <c r="BF79" s="1" cm="1">
        <f t="array" ref="BF79">SUM($AW79:$BB79*$W21:$AB21*(IF((ROW(AY79)-$BH$73)=(COLUMN(AY79)-$BI$73),1,0)-Y21))</f>
        <v>-7.726994771244792E-3</v>
      </c>
      <c r="BG79" s="1" cm="1">
        <f t="array" ref="BG79">SUM($AW79:$BB79*$W21:$AB21*(IF((ROW(AZ79)-$BH$73)=(COLUMN(AZ79)-$BI$73),1,0)-Z21))</f>
        <v>-1.9492956563855503E-2</v>
      </c>
      <c r="BH79" s="1" cm="1">
        <f t="array" ref="BH79">SUM($AW79:$BB79*$W21:$AB21*(IF((ROW(BA79)-$BH$73)=(COLUMN(BA79)-$BI$73),1,0)-AA21))</f>
        <v>6.7995924302151733E-2</v>
      </c>
      <c r="BI79" s="1" cm="1">
        <f t="array" ref="BI79">SUM($AW79:$BB79*$W21:$AB21*(IF((ROW(BB79)-$BH$73)=(COLUMN(BB79)-$BI$73),1,0)-AB21))</f>
        <v>-2.1911154941677856E-2</v>
      </c>
      <c r="BK79">
        <v>1.0122283958648559E-2</v>
      </c>
      <c r="BL79" s="32">
        <v>2.3646385450222379E-2</v>
      </c>
      <c r="BM79" s="65"/>
      <c r="BN79" s="66"/>
      <c r="BQ79">
        <v>-1.1515789714258299E-2</v>
      </c>
      <c r="BR79">
        <v>5.6278397371529263E-3</v>
      </c>
      <c r="BS79" s="34">
        <v>2.5406932736207885E-3</v>
      </c>
      <c r="BT79">
        <v>-8.3002728460918193E-4</v>
      </c>
      <c r="BU79" s="34">
        <v>1.7481280262610407E-2</v>
      </c>
      <c r="BV79">
        <v>8.0469385335825688E-3</v>
      </c>
      <c r="BX79">
        <v>8.5061838219728965E-3</v>
      </c>
      <c r="BY79">
        <v>1.2844750986126313E-2</v>
      </c>
    </row>
    <row r="80" spans="40:77" x14ac:dyDescent="0.25">
      <c r="AN80" s="11">
        <v>6</v>
      </c>
      <c r="AO80" s="18">
        <f t="shared" si="23"/>
        <v>2.846617558546246E-2</v>
      </c>
      <c r="AP80" s="15">
        <f t="shared" si="23"/>
        <v>-0.44479059412534477</v>
      </c>
      <c r="AT80">
        <v>6</v>
      </c>
      <c r="AU80">
        <v>6.4548600909943854E-2</v>
      </c>
      <c r="AW80">
        <v>-0.76364478714291195</v>
      </c>
      <c r="AX80">
        <v>-0.68998675080581751</v>
      </c>
      <c r="AY80">
        <v>-0.73350130866091046</v>
      </c>
      <c r="AZ80">
        <v>-0.20495352777267958</v>
      </c>
      <c r="BA80">
        <v>-0.55040468297662537</v>
      </c>
      <c r="BB80">
        <v>-0.41624262877327461</v>
      </c>
      <c r="BD80" s="1" cm="1">
        <f t="array" ref="BD80">SUM($AW80:$BB80*$W22:$AB22*(IF((ROW(AW80)-$BH$73)=(COLUMN(AW80)-$BI$73),1,0)-W22))</f>
        <v>8.4448667465214705E-2</v>
      </c>
      <c r="BE80" s="1" cm="1">
        <f t="array" ref="BE80">SUM($AW80:$BB80*$W22:$AB22*(IF((ROW(AX80)-$BH$73)=(COLUMN(AX80)-$BI$73),1,0)-X22))</f>
        <v>7.9986921782222067E-2</v>
      </c>
      <c r="BF80" s="1" cm="1">
        <f t="array" ref="BF80">SUM($AW80:$BB80*$W22:$AB22*(IF((ROW(AY80)-$BH$73)=(COLUMN(AY80)-$BI$73),1,0)-Y22))</f>
        <v>7.6709647683251156E-2</v>
      </c>
      <c r="BG80" s="1" cm="1">
        <f t="array" ref="BG80">SUM($AW80:$BB80*$W22:$AB22*(IF((ROW(AZ80)-$BH$73)=(COLUMN(AZ80)-$BI$73),1,0)-Z22))</f>
        <v>0.10615796659357367</v>
      </c>
      <c r="BH80" s="1" cm="1">
        <f t="array" ref="BH80">SUM($AW80:$BB80*$W22:$AB22*(IF((ROW(BA80)-$BH$73)=(COLUMN(BA80)-$BI$73),1,0)-AA22))</f>
        <v>7.6988379874896928E-2</v>
      </c>
      <c r="BI80" s="1" cm="1">
        <f t="array" ref="BI80">SUM($AW80:$BB80*$W22:$AB22*(IF((ROW(BB80)-$BH$73)=(COLUMN(BB80)-$BI$73),1,0)-AB22))</f>
        <v>-0.42429158339915857</v>
      </c>
      <c r="BK80">
        <v>0.75520717543013705</v>
      </c>
      <c r="BL80" s="32">
        <v>0.16693164798021198</v>
      </c>
      <c r="BM80" s="65"/>
      <c r="BN80" s="66"/>
      <c r="BQ80">
        <v>-8.129571256636324E-2</v>
      </c>
      <c r="BR80">
        <v>3.9729732219290451E-2</v>
      </c>
      <c r="BS80" s="34">
        <v>0.18955700103296441</v>
      </c>
      <c r="BT80">
        <v>-6.1926988385271241E-2</v>
      </c>
      <c r="BU80" s="34">
        <v>6.0998427859896939E-2</v>
      </c>
      <c r="BV80">
        <v>2.8078641395825575E-2</v>
      </c>
      <c r="BX80">
        <v>0.16925971632649811</v>
      </c>
      <c r="BY80">
        <v>5.881385229844785E-3</v>
      </c>
    </row>
    <row r="82" spans="74:81" x14ac:dyDescent="0.25">
      <c r="BV82" t="s">
        <v>219</v>
      </c>
      <c r="BX82" t="s">
        <v>240</v>
      </c>
      <c r="CA82" s="61" t="s">
        <v>56</v>
      </c>
      <c r="CB82" s="7"/>
      <c r="CC82" t="s">
        <v>219</v>
      </c>
    </row>
    <row r="83" spans="74:81" x14ac:dyDescent="0.25">
      <c r="BX83" t="s">
        <v>239</v>
      </c>
      <c r="CA83" s="9" t="s">
        <v>159</v>
      </c>
      <c r="CB83" s="10"/>
    </row>
    <row r="84" spans="74:81" x14ac:dyDescent="0.25">
      <c r="BX84">
        <v>1</v>
      </c>
      <c r="BY84">
        <v>2</v>
      </c>
      <c r="CA84" s="9">
        <v>1</v>
      </c>
      <c r="CB84" s="10">
        <v>2</v>
      </c>
    </row>
    <row r="85" spans="74:81" x14ac:dyDescent="0.25">
      <c r="BW85">
        <v>1</v>
      </c>
      <c r="BX85" cm="1">
        <f t="array" ref="BX85:BY90">_xlfn.ANCHORARRAY(BX64)+_xlfn.ANCHORARRAY(BX75)</f>
        <v>-0.18900722837094228</v>
      </c>
      <c r="BY85">
        <v>1.8920316926388459E-2</v>
      </c>
      <c r="CA85" s="63" cm="1">
        <f t="array" ref="CA85:CB90">_xlfn.ANCHORARRAY(AU35)+_xlfn.ANCHORARRAY(BX85)</f>
        <v>-0.19032161206009576</v>
      </c>
      <c r="CB85" s="14">
        <v>0.33708155385758964</v>
      </c>
    </row>
    <row r="86" spans="74:81" x14ac:dyDescent="0.25">
      <c r="BW86">
        <v>2</v>
      </c>
      <c r="BX86">
        <v>9.3835762170861051E-2</v>
      </c>
      <c r="BY86">
        <v>-4.7791578810236247E-2</v>
      </c>
      <c r="CA86" s="63">
        <v>7.633427249813525E-2</v>
      </c>
      <c r="CB86" s="14">
        <v>-4.1357579773107271E-2</v>
      </c>
    </row>
    <row r="87" spans="74:81" x14ac:dyDescent="0.25">
      <c r="BW87">
        <v>3</v>
      </c>
      <c r="BX87">
        <v>-0.40078882828569151</v>
      </c>
      <c r="BY87">
        <v>0.43351366234529498</v>
      </c>
      <c r="CA87" s="63">
        <v>-0.15458802370245733</v>
      </c>
      <c r="CB87" s="14">
        <v>0.40812747578475489</v>
      </c>
    </row>
    <row r="88" spans="74:81" x14ac:dyDescent="0.25">
      <c r="BW88">
        <v>4</v>
      </c>
      <c r="BX88">
        <v>0.18712669365829082</v>
      </c>
      <c r="BY88">
        <v>-5.8887552509747754E-2</v>
      </c>
      <c r="CA88" s="63">
        <v>0.15659341682569333</v>
      </c>
      <c r="CB88" s="14">
        <v>-6.192944929517151E-2</v>
      </c>
    </row>
    <row r="89" spans="74:81" x14ac:dyDescent="0.25">
      <c r="BW89">
        <v>5</v>
      </c>
      <c r="BX89">
        <v>-0.18172555851915956</v>
      </c>
      <c r="BY89">
        <v>0.27052794799494445</v>
      </c>
      <c r="CA89" s="63">
        <v>-7.2791255504622177E-2</v>
      </c>
      <c r="CB89" s="14">
        <v>0.22778232795619904</v>
      </c>
    </row>
    <row r="90" spans="74:81" x14ac:dyDescent="0.25">
      <c r="BW90">
        <v>6</v>
      </c>
      <c r="BX90">
        <v>0.26329235597350409</v>
      </c>
      <c r="BY90">
        <v>-0.14502956598430156</v>
      </c>
      <c r="CA90" s="64">
        <v>0.11984531242810692</v>
      </c>
      <c r="CB90" s="15">
        <v>-0.2470817801968565</v>
      </c>
    </row>
    <row r="91" spans="74:81" x14ac:dyDescent="0.25">
      <c r="CA91" t="s">
        <v>241</v>
      </c>
    </row>
  </sheetData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E95"/>
  <sheetViews>
    <sheetView zoomScale="131" workbookViewId="0">
      <selection activeCell="M34" sqref="M34"/>
    </sheetView>
  </sheetViews>
  <sheetFormatPr defaultRowHeight="15" x14ac:dyDescent="0.25"/>
  <cols>
    <col min="1" max="1" width="6.85546875" customWidth="1"/>
    <col min="2" max="2" width="4.28515625" customWidth="1"/>
    <col min="3" max="3" width="9.140625" bestFit="1" customWidth="1"/>
    <col min="4" max="4" width="6" customWidth="1"/>
    <col min="8" max="8" width="2.28515625" customWidth="1"/>
    <col min="11" max="11" width="5" customWidth="1"/>
    <col min="12" max="14" width="8.28515625" customWidth="1"/>
    <col min="15" max="15" width="5" customWidth="1"/>
    <col min="27" max="27" width="3.42578125" customWidth="1"/>
    <col min="28" max="28" width="13.28515625" customWidth="1"/>
    <col min="29" max="29" width="12.42578125" customWidth="1"/>
  </cols>
  <sheetData>
    <row r="2" spans="2:31" x14ac:dyDescent="0.25">
      <c r="E2" t="s">
        <v>8</v>
      </c>
      <c r="I2" t="s">
        <v>9</v>
      </c>
      <c r="L2" t="s">
        <v>65</v>
      </c>
      <c r="Q2" s="3" t="s">
        <v>242</v>
      </c>
      <c r="R2" s="2"/>
      <c r="T2" s="89" t="s">
        <v>243</v>
      </c>
      <c r="U2" s="89"/>
      <c r="V2" s="89"/>
      <c r="W2" s="89"/>
      <c r="X2" s="89"/>
      <c r="Y2" s="89"/>
      <c r="Z2" s="89"/>
    </row>
    <row r="3" spans="2:31" x14ac:dyDescent="0.25">
      <c r="E3" t="s">
        <v>10</v>
      </c>
      <c r="F3" t="s">
        <v>11</v>
      </c>
      <c r="G3" t="s">
        <v>12</v>
      </c>
      <c r="I3" t="s">
        <v>244</v>
      </c>
      <c r="L3" t="s">
        <v>68</v>
      </c>
      <c r="M3">
        <v>2</v>
      </c>
      <c r="N3">
        <v>3</v>
      </c>
      <c r="Q3" s="3" t="s">
        <v>10</v>
      </c>
      <c r="T3" s="89"/>
      <c r="U3" s="89"/>
      <c r="V3" s="89"/>
      <c r="W3" s="89"/>
      <c r="X3" s="89"/>
      <c r="Y3" s="89"/>
      <c r="Z3" s="89"/>
    </row>
    <row r="4" spans="2:31" x14ac:dyDescent="0.25">
      <c r="B4" s="13"/>
      <c r="C4" s="13" t="s">
        <v>245</v>
      </c>
      <c r="D4" s="13"/>
      <c r="E4" s="13">
        <v>1</v>
      </c>
      <c r="F4" s="13">
        <v>2</v>
      </c>
      <c r="G4" s="13">
        <v>3</v>
      </c>
      <c r="H4" s="13"/>
      <c r="I4" s="13">
        <v>1</v>
      </c>
      <c r="J4" s="13">
        <v>2</v>
      </c>
      <c r="L4" s="13" t="s">
        <v>10</v>
      </c>
      <c r="M4" s="13" t="s">
        <v>11</v>
      </c>
      <c r="N4" s="13" t="s">
        <v>12</v>
      </c>
      <c r="Q4" t="s">
        <v>246</v>
      </c>
      <c r="R4" t="s">
        <v>247</v>
      </c>
      <c r="T4" s="67" t="s">
        <v>248</v>
      </c>
    </row>
    <row r="5" spans="2:31" x14ac:dyDescent="0.25">
      <c r="C5" t="s">
        <v>242</v>
      </c>
      <c r="D5">
        <v>1</v>
      </c>
      <c r="E5" s="2" cm="1">
        <f t="array" ref="E5:G5">TRANSPOSE('CNN-BE2'!M28:M30)</f>
        <v>0.14689662216313995</v>
      </c>
      <c r="F5" s="2">
        <v>5.0122748110857353E-2</v>
      </c>
      <c r="G5" s="2">
        <v>0.63948085568380564</v>
      </c>
      <c r="H5" s="2"/>
      <c r="I5" t="s">
        <v>10</v>
      </c>
      <c r="J5" t="s">
        <v>12</v>
      </c>
      <c r="L5">
        <f t="shared" ref="L5:L9" si="0">COUNTIF($I5:$J5,"gembira")</f>
        <v>1</v>
      </c>
      <c r="M5">
        <f t="shared" ref="M5:M9" si="1">COUNTIF($I5:$J5,"sedih")</f>
        <v>0</v>
      </c>
      <c r="N5">
        <f t="shared" ref="N5:N9" si="2">COUNTIF($I5:$J5,"tegang")</f>
        <v>1</v>
      </c>
      <c r="P5" s="1"/>
      <c r="Q5">
        <f>E5</f>
        <v>0.14689662216313995</v>
      </c>
      <c r="R5">
        <f>L5</f>
        <v>1</v>
      </c>
    </row>
    <row r="6" spans="2:31" x14ac:dyDescent="0.25">
      <c r="B6" s="87" t="s">
        <v>17</v>
      </c>
      <c r="C6" t="s">
        <v>242</v>
      </c>
      <c r="D6">
        <v>2</v>
      </c>
      <c r="E6" s="68">
        <v>0.46872480409741202</v>
      </c>
      <c r="F6" s="68">
        <v>0.74796252013739595</v>
      </c>
      <c r="G6">
        <v>8.3341324346660001E-2</v>
      </c>
      <c r="H6" s="68"/>
      <c r="I6" t="s">
        <v>10</v>
      </c>
      <c r="J6" t="s">
        <v>11</v>
      </c>
      <c r="L6">
        <f t="shared" si="0"/>
        <v>1</v>
      </c>
      <c r="M6">
        <f t="shared" si="1"/>
        <v>1</v>
      </c>
      <c r="N6">
        <f t="shared" si="2"/>
        <v>0</v>
      </c>
      <c r="P6" s="1"/>
      <c r="Q6" cm="1">
        <f t="array" ref="Q6:Q8">E6:E8</f>
        <v>0.46872480409741202</v>
      </c>
      <c r="R6" s="1" cm="1">
        <f t="array" ref="R6:R8">L6:L8</f>
        <v>1</v>
      </c>
    </row>
    <row r="7" spans="2:31" x14ac:dyDescent="0.25">
      <c r="B7" s="87"/>
      <c r="C7" t="s">
        <v>242</v>
      </c>
      <c r="D7">
        <v>3</v>
      </c>
      <c r="E7" s="68">
        <v>6.8917472572516E-2</v>
      </c>
      <c r="F7" s="68">
        <v>0.64566804354494844</v>
      </c>
      <c r="G7" s="68">
        <v>0.979370096177136</v>
      </c>
      <c r="H7" s="68"/>
      <c r="I7" t="s">
        <v>12</v>
      </c>
      <c r="J7" t="s">
        <v>11</v>
      </c>
      <c r="L7">
        <f t="shared" si="0"/>
        <v>0</v>
      </c>
      <c r="M7">
        <f t="shared" si="1"/>
        <v>1</v>
      </c>
      <c r="N7">
        <f t="shared" si="2"/>
        <v>1</v>
      </c>
      <c r="P7" s="1"/>
      <c r="Q7">
        <v>6.8917472572516E-2</v>
      </c>
      <c r="R7" s="1">
        <v>0</v>
      </c>
    </row>
    <row r="8" spans="2:31" ht="15" customHeight="1" x14ac:dyDescent="0.25">
      <c r="B8" s="88"/>
      <c r="C8" s="13" t="s">
        <v>242</v>
      </c>
      <c r="D8" s="13">
        <v>4</v>
      </c>
      <c r="E8" s="69">
        <v>0.60618263072605905</v>
      </c>
      <c r="F8" s="69">
        <v>8.3554519071598998E-2</v>
      </c>
      <c r="G8" s="69">
        <v>7.4381321270918996E-2</v>
      </c>
      <c r="H8" s="69"/>
      <c r="I8" s="13" t="s">
        <v>10</v>
      </c>
      <c r="J8" s="13"/>
      <c r="L8" s="13">
        <f t="shared" si="0"/>
        <v>1</v>
      </c>
      <c r="M8" s="13">
        <f t="shared" si="1"/>
        <v>0</v>
      </c>
      <c r="N8" s="13">
        <f t="shared" si="2"/>
        <v>0</v>
      </c>
      <c r="P8" s="1"/>
      <c r="Q8" s="1">
        <v>0.60618263072605905</v>
      </c>
      <c r="R8" s="1">
        <v>1</v>
      </c>
    </row>
    <row r="9" spans="2:31" x14ac:dyDescent="0.25">
      <c r="C9" t="s">
        <v>86</v>
      </c>
      <c r="D9">
        <v>1</v>
      </c>
      <c r="E9" s="2" cm="1">
        <f t="array" ref="E9:G9">TRANSPOSE('GRU-BE'!W28:W30)</f>
        <v>0.44519023472506319</v>
      </c>
      <c r="F9" s="2">
        <v>0.74790871841668372</v>
      </c>
      <c r="G9" s="2">
        <v>0.87557624932731104</v>
      </c>
      <c r="H9" s="2"/>
      <c r="I9" t="s">
        <v>10</v>
      </c>
      <c r="J9" t="s">
        <v>12</v>
      </c>
      <c r="L9">
        <f t="shared" si="0"/>
        <v>1</v>
      </c>
      <c r="M9">
        <f t="shared" si="1"/>
        <v>0</v>
      </c>
      <c r="N9">
        <f t="shared" si="2"/>
        <v>1</v>
      </c>
      <c r="P9" s="1"/>
      <c r="Q9" s="1"/>
      <c r="R9" s="1"/>
      <c r="V9" t="s">
        <v>249</v>
      </c>
      <c r="Y9" t="s">
        <v>250</v>
      </c>
      <c r="Z9" t="s">
        <v>251</v>
      </c>
      <c r="AB9" s="3" t="s">
        <v>10</v>
      </c>
    </row>
    <row r="10" spans="2:31" x14ac:dyDescent="0.25">
      <c r="B10" s="87" t="s">
        <v>17</v>
      </c>
      <c r="C10" t="s">
        <v>86</v>
      </c>
      <c r="D10">
        <v>2</v>
      </c>
      <c r="E10" s="68">
        <v>0.58966366372166545</v>
      </c>
      <c r="F10" s="68">
        <v>0.61327154630066272</v>
      </c>
      <c r="G10" s="68">
        <v>0.23197773212089445</v>
      </c>
      <c r="H10" s="68"/>
      <c r="I10" t="s">
        <v>10</v>
      </c>
      <c r="J10" t="s">
        <v>11</v>
      </c>
      <c r="L10">
        <f t="shared" ref="L10:L16" si="3">COUNTIF($I10:$J10,"gembira")</f>
        <v>1</v>
      </c>
      <c r="M10">
        <f t="shared" ref="M10:M16" si="4">COUNTIF($I10:$J10,"sedih")</f>
        <v>1</v>
      </c>
      <c r="N10">
        <f t="shared" ref="N10:N16" si="5">COUNTIF($I10:$J10,"tegang")</f>
        <v>0</v>
      </c>
      <c r="P10" s="1"/>
      <c r="Q10" t="s">
        <v>252</v>
      </c>
      <c r="R10" s="1" t="s">
        <v>246</v>
      </c>
      <c r="S10" t="s">
        <v>247</v>
      </c>
      <c r="T10" t="s">
        <v>253</v>
      </c>
      <c r="U10" t="s">
        <v>254</v>
      </c>
      <c r="V10" t="s">
        <v>255</v>
      </c>
      <c r="W10" t="s">
        <v>256</v>
      </c>
      <c r="X10" t="s">
        <v>257</v>
      </c>
      <c r="Y10" t="s">
        <v>258</v>
      </c>
      <c r="Z10" t="s">
        <v>259</v>
      </c>
      <c r="AB10" t="s">
        <v>252</v>
      </c>
      <c r="AC10" t="s">
        <v>258</v>
      </c>
      <c r="AD10" t="s">
        <v>255</v>
      </c>
      <c r="AE10" t="s">
        <v>259</v>
      </c>
    </row>
    <row r="11" spans="2:31" ht="15" customHeight="1" x14ac:dyDescent="0.25">
      <c r="B11" s="87"/>
      <c r="C11" t="s">
        <v>86</v>
      </c>
      <c r="D11">
        <v>3</v>
      </c>
      <c r="E11" s="68">
        <v>0.13057053881923519</v>
      </c>
      <c r="F11" s="68">
        <v>0.60336156019166032</v>
      </c>
      <c r="G11" s="68">
        <v>0.80781190268440484</v>
      </c>
      <c r="H11" s="68"/>
      <c r="I11" t="s">
        <v>12</v>
      </c>
      <c r="J11" t="s">
        <v>11</v>
      </c>
      <c r="L11">
        <f t="shared" si="3"/>
        <v>0</v>
      </c>
      <c r="M11">
        <f t="shared" si="4"/>
        <v>1</v>
      </c>
      <c r="N11">
        <f t="shared" si="5"/>
        <v>1</v>
      </c>
      <c r="P11" s="1"/>
      <c r="Q11" s="1">
        <v>0.6</v>
      </c>
      <c r="R11" s="1">
        <f>IF($Q$5&gt;$Q11,1,0)</f>
        <v>0</v>
      </c>
      <c r="S11">
        <f>$R$5</f>
        <v>1</v>
      </c>
      <c r="T11">
        <f t="shared" ref="T11:T74" si="6">IF(AND(R11=1,S11=1),1,0)</f>
        <v>0</v>
      </c>
      <c r="U11">
        <f t="shared" ref="U11:U74" si="7">IF(AND(R11=0,S11=1),1,0)</f>
        <v>1</v>
      </c>
      <c r="V11">
        <f>SUM(T11:T14)/(SUM(T11:T14)+SUM(U11:U14))</f>
        <v>0.33333333333333331</v>
      </c>
      <c r="W11">
        <f t="shared" ref="W11:W74" si="8">IF(AND(R11=1,S11=0),1,0)</f>
        <v>0</v>
      </c>
      <c r="X11">
        <f t="shared" ref="X11:X74" si="9">IF(AND(R11=0,S11=0),1,0)</f>
        <v>0</v>
      </c>
      <c r="Y11">
        <f>SUM(W11:W14)/(SUM(W11:W14)+SUM(X11:X14))</f>
        <v>0</v>
      </c>
      <c r="Z11">
        <f>SUM(T11:T14)/(SUM(T11:T14)+SUM(W11:W14))</f>
        <v>1</v>
      </c>
      <c r="AB11" cm="1">
        <f t="array" ref="AB11:AB15">_xlfn._xlws.FILTER(Q11:Q30,Q11:Q30&lt;&gt;"")</f>
        <v>0.6</v>
      </c>
      <c r="AC11" cm="1">
        <f t="array" ref="AC11:AC15">_xlfn._xlws.FILTER(Y11:Y30,Y11:Y30&lt;&gt;"")</f>
        <v>0</v>
      </c>
      <c r="AD11" cm="1">
        <f t="array" ref="AD11:AD15">_xlfn._xlws.FILTER(V11:V30,V11:V30&lt;&gt;"")</f>
        <v>0.33333333333333331</v>
      </c>
      <c r="AE11" cm="1">
        <f t="array" ref="AE11:AE15">_xlfn._xlws.FILTER(Z11:Z30,Z11:Z30&lt;&gt;"")</f>
        <v>1</v>
      </c>
    </row>
    <row r="12" spans="2:31" x14ac:dyDescent="0.25">
      <c r="B12" s="88"/>
      <c r="C12" s="13" t="s">
        <v>86</v>
      </c>
      <c r="D12" s="13">
        <v>4</v>
      </c>
      <c r="E12" s="69">
        <v>0.86146155904484589</v>
      </c>
      <c r="F12" s="69">
        <v>0.76077951636228525</v>
      </c>
      <c r="G12" s="69">
        <v>0.4201074600013428</v>
      </c>
      <c r="H12" s="13"/>
      <c r="I12" s="13" t="s">
        <v>10</v>
      </c>
      <c r="J12" s="13"/>
      <c r="L12" s="13">
        <f t="shared" si="3"/>
        <v>1</v>
      </c>
      <c r="M12" s="13">
        <f t="shared" si="4"/>
        <v>0</v>
      </c>
      <c r="N12" s="13">
        <f t="shared" si="5"/>
        <v>0</v>
      </c>
      <c r="P12" s="1"/>
      <c r="R12" s="1">
        <f>IF($Q$6&gt;$Q11,1,0)</f>
        <v>0</v>
      </c>
      <c r="S12">
        <f>$R$6</f>
        <v>1</v>
      </c>
      <c r="T12">
        <f t="shared" si="6"/>
        <v>0</v>
      </c>
      <c r="U12">
        <f t="shared" si="7"/>
        <v>1</v>
      </c>
      <c r="W12">
        <f t="shared" si="8"/>
        <v>0</v>
      </c>
      <c r="X12">
        <f t="shared" si="9"/>
        <v>0</v>
      </c>
      <c r="AB12">
        <v>0.5</v>
      </c>
      <c r="AC12">
        <v>0</v>
      </c>
      <c r="AD12">
        <v>0.33333333333333331</v>
      </c>
      <c r="AE12">
        <v>1</v>
      </c>
    </row>
    <row r="13" spans="2:31" x14ac:dyDescent="0.25">
      <c r="C13" t="s">
        <v>260</v>
      </c>
      <c r="D13">
        <v>1</v>
      </c>
      <c r="E13" s="2" cm="1">
        <f t="array" ref="E13:G13">TRANSPOSE('ATTN-BE'!AG28:AG30)</f>
        <v>0.3834217027561802</v>
      </c>
      <c r="F13" s="2">
        <v>3.6587036142006799E-2</v>
      </c>
      <c r="G13" s="2">
        <v>0.41495661241103382</v>
      </c>
      <c r="H13" s="2"/>
      <c r="I13" t="s">
        <v>10</v>
      </c>
      <c r="J13" t="s">
        <v>12</v>
      </c>
      <c r="L13">
        <f t="shared" si="3"/>
        <v>1</v>
      </c>
      <c r="M13">
        <f t="shared" si="4"/>
        <v>0</v>
      </c>
      <c r="N13">
        <f t="shared" si="5"/>
        <v>1</v>
      </c>
      <c r="P13" s="1"/>
      <c r="R13" s="1">
        <f>IF($Q$7&gt;$Q11,1,0)</f>
        <v>0</v>
      </c>
      <c r="S13">
        <f>$R$7</f>
        <v>0</v>
      </c>
      <c r="T13">
        <f t="shared" si="6"/>
        <v>0</v>
      </c>
      <c r="U13">
        <f t="shared" si="7"/>
        <v>0</v>
      </c>
      <c r="W13">
        <f t="shared" si="8"/>
        <v>0</v>
      </c>
      <c r="X13">
        <f t="shared" si="9"/>
        <v>1</v>
      </c>
      <c r="AB13">
        <v>0.35</v>
      </c>
      <c r="AC13">
        <v>0</v>
      </c>
      <c r="AD13">
        <v>0.66666666666666663</v>
      </c>
      <c r="AE13">
        <v>1</v>
      </c>
    </row>
    <row r="14" spans="2:31" ht="15" customHeight="1" x14ac:dyDescent="0.25">
      <c r="B14" s="87" t="s">
        <v>17</v>
      </c>
      <c r="C14" t="s">
        <v>260</v>
      </c>
      <c r="D14">
        <v>2</v>
      </c>
      <c r="E14" s="68">
        <v>0.34100796990362869</v>
      </c>
      <c r="F14" s="68">
        <v>0.73501701407214781</v>
      </c>
      <c r="G14" s="68">
        <v>0.23041101083788207</v>
      </c>
      <c r="I14" t="s">
        <v>10</v>
      </c>
      <c r="J14" t="s">
        <v>11</v>
      </c>
      <c r="L14">
        <f t="shared" si="3"/>
        <v>1</v>
      </c>
      <c r="M14">
        <f t="shared" si="4"/>
        <v>1</v>
      </c>
      <c r="N14">
        <f t="shared" si="5"/>
        <v>0</v>
      </c>
      <c r="P14" s="1"/>
      <c r="R14" s="1">
        <f>IF($Q$8&gt;$Q11,1,0)</f>
        <v>1</v>
      </c>
      <c r="S14">
        <f>$R$8</f>
        <v>1</v>
      </c>
      <c r="T14">
        <f t="shared" si="6"/>
        <v>1</v>
      </c>
      <c r="U14">
        <f t="shared" si="7"/>
        <v>0</v>
      </c>
      <c r="W14">
        <f t="shared" si="8"/>
        <v>0</v>
      </c>
      <c r="X14">
        <f t="shared" si="9"/>
        <v>0</v>
      </c>
      <c r="AB14">
        <v>0.15</v>
      </c>
      <c r="AC14">
        <v>0</v>
      </c>
      <c r="AD14">
        <v>0.66666666666666663</v>
      </c>
      <c r="AE14">
        <v>1</v>
      </c>
    </row>
    <row r="15" spans="2:31" x14ac:dyDescent="0.25">
      <c r="B15" s="87"/>
      <c r="C15" t="s">
        <v>260</v>
      </c>
      <c r="D15">
        <v>3</v>
      </c>
      <c r="E15" s="68">
        <v>0.76150906039958099</v>
      </c>
      <c r="F15" s="68">
        <v>0.30006149065367593</v>
      </c>
      <c r="G15" s="68">
        <v>7.2473995966959581E-2</v>
      </c>
      <c r="I15" t="s">
        <v>12</v>
      </c>
      <c r="J15" t="s">
        <v>11</v>
      </c>
      <c r="L15">
        <f t="shared" si="3"/>
        <v>0</v>
      </c>
      <c r="M15">
        <f t="shared" si="4"/>
        <v>1</v>
      </c>
      <c r="N15">
        <f t="shared" si="5"/>
        <v>1</v>
      </c>
      <c r="P15" s="1"/>
      <c r="Q15" s="1">
        <v>0.5</v>
      </c>
      <c r="R15" s="1">
        <f>IF($Q$5&gt;$Q15,1,0)</f>
        <v>0</v>
      </c>
      <c r="S15">
        <f>$R$5</f>
        <v>1</v>
      </c>
      <c r="T15">
        <f t="shared" si="6"/>
        <v>0</v>
      </c>
      <c r="U15">
        <f t="shared" si="7"/>
        <v>1</v>
      </c>
      <c r="V15">
        <f>SUM(T15:T18)/(SUM(T15:T18)+SUM(U15:U18))</f>
        <v>0.33333333333333331</v>
      </c>
      <c r="W15">
        <f t="shared" si="8"/>
        <v>0</v>
      </c>
      <c r="X15">
        <f t="shared" si="9"/>
        <v>0</v>
      </c>
      <c r="Y15">
        <f>SUM(W15:W18)/(SUM(W15:W18)+SUM(X15:X18))</f>
        <v>0</v>
      </c>
      <c r="Z15">
        <f>SUM(T15:T18)/(SUM(T15:T18)+SUM(W15:W18))</f>
        <v>1</v>
      </c>
      <c r="AB15">
        <v>0</v>
      </c>
      <c r="AC15">
        <v>1</v>
      </c>
      <c r="AD15">
        <v>1</v>
      </c>
      <c r="AE15">
        <v>0.75</v>
      </c>
    </row>
    <row r="16" spans="2:31" x14ac:dyDescent="0.25">
      <c r="B16" s="88"/>
      <c r="C16" s="13" t="s">
        <v>260</v>
      </c>
      <c r="D16" s="13">
        <v>4</v>
      </c>
      <c r="E16" s="69">
        <v>0.72813996016512317</v>
      </c>
      <c r="F16" s="69">
        <v>0.70988097851895582</v>
      </c>
      <c r="G16" s="69">
        <v>1.3349194740536863E-2</v>
      </c>
      <c r="H16" s="13"/>
      <c r="I16" s="13" t="s">
        <v>10</v>
      </c>
      <c r="J16" s="13"/>
      <c r="L16" s="13">
        <f t="shared" si="3"/>
        <v>1</v>
      </c>
      <c r="M16" s="13">
        <f t="shared" si="4"/>
        <v>0</v>
      </c>
      <c r="N16" s="13">
        <f t="shared" si="5"/>
        <v>0</v>
      </c>
      <c r="P16" s="1"/>
      <c r="R16" s="1">
        <f>IF($Q$6&gt;$Q15,1,0)</f>
        <v>0</v>
      </c>
      <c r="S16">
        <f>$R$6</f>
        <v>1</v>
      </c>
      <c r="T16">
        <f t="shared" si="6"/>
        <v>0</v>
      </c>
      <c r="U16">
        <f t="shared" si="7"/>
        <v>1</v>
      </c>
      <c r="W16">
        <f t="shared" si="8"/>
        <v>0</v>
      </c>
      <c r="X16">
        <f t="shared" si="9"/>
        <v>0</v>
      </c>
    </row>
    <row r="17" spans="5:31" x14ac:dyDescent="0.25">
      <c r="R17" s="1">
        <f>IF($Q$7&gt;$Q15,1,0)</f>
        <v>0</v>
      </c>
      <c r="S17">
        <f>$R$7</f>
        <v>0</v>
      </c>
      <c r="T17">
        <f t="shared" si="6"/>
        <v>0</v>
      </c>
      <c r="U17">
        <f t="shared" si="7"/>
        <v>0</v>
      </c>
      <c r="W17">
        <f t="shared" si="8"/>
        <v>0</v>
      </c>
      <c r="X17">
        <f t="shared" si="9"/>
        <v>1</v>
      </c>
      <c r="AB17" t="s">
        <v>261</v>
      </c>
      <c r="AC17" t="s">
        <v>262</v>
      </c>
      <c r="AD17" t="s">
        <v>263</v>
      </c>
      <c r="AE17" t="s">
        <v>264</v>
      </c>
    </row>
    <row r="18" spans="5:31" x14ac:dyDescent="0.25">
      <c r="R18" s="1">
        <f>IF($Q$8&gt;$Q15,1,0)</f>
        <v>1</v>
      </c>
      <c r="S18">
        <f>$R$8</f>
        <v>1</v>
      </c>
      <c r="T18">
        <f t="shared" si="6"/>
        <v>1</v>
      </c>
      <c r="U18">
        <f t="shared" si="7"/>
        <v>0</v>
      </c>
      <c r="W18">
        <f t="shared" si="8"/>
        <v>0</v>
      </c>
      <c r="X18">
        <f t="shared" si="9"/>
        <v>0</v>
      </c>
      <c r="AB18" s="2" t="s">
        <v>265</v>
      </c>
      <c r="AC18">
        <f t="shared" ref="AC18:AC21" si="10">ABS(AC12-AC11)</f>
        <v>0</v>
      </c>
      <c r="AD18">
        <f t="shared" ref="AD18:AD21" si="11">(AD11+AD12)/2</f>
        <v>0.33333333333333331</v>
      </c>
      <c r="AE18">
        <f t="shared" ref="AE18:AE21" si="12">AC18*AD18</f>
        <v>0</v>
      </c>
    </row>
    <row r="19" spans="5:31" x14ac:dyDescent="0.25">
      <c r="Q19" s="1">
        <v>0.35</v>
      </c>
      <c r="R19" s="1">
        <f>IF($Q$5&gt;$Q19,1,0)</f>
        <v>0</v>
      </c>
      <c r="S19">
        <f>$R$5</f>
        <v>1</v>
      </c>
      <c r="T19">
        <f t="shared" si="6"/>
        <v>0</v>
      </c>
      <c r="U19">
        <f t="shared" si="7"/>
        <v>1</v>
      </c>
      <c r="V19">
        <f>SUM(T19:T22)/(SUM(T19:T22)+SUM(U19:U22))</f>
        <v>0.66666666666666663</v>
      </c>
      <c r="W19">
        <f t="shared" si="8"/>
        <v>0</v>
      </c>
      <c r="X19">
        <f t="shared" si="9"/>
        <v>0</v>
      </c>
      <c r="Y19">
        <f>SUM(W19:W22)/(SUM(W19:W22)+SUM(X19:X22))</f>
        <v>0</v>
      </c>
      <c r="Z19">
        <f>SUM(T19:T22)/(SUM(T19:T22)+SUM(W19:W22))</f>
        <v>1</v>
      </c>
      <c r="AC19">
        <f t="shared" si="10"/>
        <v>0</v>
      </c>
      <c r="AD19">
        <f t="shared" si="11"/>
        <v>0.5</v>
      </c>
      <c r="AE19">
        <f t="shared" si="12"/>
        <v>0</v>
      </c>
    </row>
    <row r="20" spans="5:31" x14ac:dyDescent="0.25">
      <c r="F20" t="s">
        <v>13</v>
      </c>
      <c r="M20" t="s">
        <v>266</v>
      </c>
      <c r="R20" s="1">
        <f>IF($Q$6&gt;$Q19,1,0)</f>
        <v>1</v>
      </c>
      <c r="S20">
        <f>$R$6</f>
        <v>1</v>
      </c>
      <c r="T20">
        <f t="shared" si="6"/>
        <v>1</v>
      </c>
      <c r="U20">
        <f t="shared" si="7"/>
        <v>0</v>
      </c>
      <c r="W20">
        <f t="shared" si="8"/>
        <v>0</v>
      </c>
      <c r="X20">
        <f t="shared" si="9"/>
        <v>0</v>
      </c>
      <c r="AC20">
        <f t="shared" si="10"/>
        <v>0</v>
      </c>
      <c r="AD20">
        <f t="shared" si="11"/>
        <v>0.66666666666666663</v>
      </c>
      <c r="AE20">
        <f t="shared" si="12"/>
        <v>0</v>
      </c>
    </row>
    <row r="21" spans="5:31" x14ac:dyDescent="0.25">
      <c r="F21" t="s">
        <v>15</v>
      </c>
      <c r="G21" t="s">
        <v>16</v>
      </c>
      <c r="M21" s="83" t="s">
        <v>246</v>
      </c>
      <c r="N21" s="83"/>
      <c r="R21" s="1">
        <f>IF($Q$7&gt;$Q19,1,0)</f>
        <v>0</v>
      </c>
      <c r="S21">
        <f>$R$7</f>
        <v>0</v>
      </c>
      <c r="T21">
        <f t="shared" si="6"/>
        <v>0</v>
      </c>
      <c r="U21">
        <f t="shared" si="7"/>
        <v>0</v>
      </c>
      <c r="W21">
        <f t="shared" si="8"/>
        <v>0</v>
      </c>
      <c r="X21">
        <f t="shared" si="9"/>
        <v>1</v>
      </c>
      <c r="AC21">
        <f t="shared" si="10"/>
        <v>1</v>
      </c>
      <c r="AD21">
        <f t="shared" si="11"/>
        <v>0.83333333333333326</v>
      </c>
      <c r="AE21">
        <f t="shared" si="12"/>
        <v>0.83333333333333326</v>
      </c>
    </row>
    <row r="22" spans="5:31" x14ac:dyDescent="0.25">
      <c r="E22" t="s">
        <v>10</v>
      </c>
      <c r="F22">
        <f t="shared" ref="F22:F24" si="13">G22/$G$25</f>
        <v>0.11538461538461539</v>
      </c>
      <c r="G22">
        <v>3</v>
      </c>
      <c r="K22" s="87" t="s">
        <v>247</v>
      </c>
      <c r="M22" t="s">
        <v>267</v>
      </c>
      <c r="N22" t="s">
        <v>268</v>
      </c>
      <c r="R22" s="1">
        <f>IF($Q$8&gt;$Q19,1,0)</f>
        <v>1</v>
      </c>
      <c r="S22">
        <f>$R$8</f>
        <v>1</v>
      </c>
      <c r="T22">
        <f t="shared" si="6"/>
        <v>1</v>
      </c>
      <c r="U22">
        <f t="shared" si="7"/>
        <v>0</v>
      </c>
      <c r="W22">
        <f t="shared" si="8"/>
        <v>0</v>
      </c>
      <c r="X22">
        <f t="shared" si="9"/>
        <v>0</v>
      </c>
      <c r="AD22" s="70" t="s">
        <v>269</v>
      </c>
      <c r="AE22" s="71">
        <f>SUM(AE18:AE21)</f>
        <v>0.83333333333333326</v>
      </c>
    </row>
    <row r="23" spans="5:31" ht="15" customHeight="1" x14ac:dyDescent="0.25">
      <c r="E23" t="s">
        <v>11</v>
      </c>
      <c r="F23">
        <f t="shared" si="13"/>
        <v>0.61538461538461542</v>
      </c>
      <c r="G23">
        <v>16</v>
      </c>
      <c r="K23" s="87"/>
      <c r="L23" t="s">
        <v>267</v>
      </c>
      <c r="M23" t="s">
        <v>253</v>
      </c>
      <c r="N23" t="s">
        <v>254</v>
      </c>
      <c r="Q23" s="1">
        <v>0.15</v>
      </c>
      <c r="R23" s="1">
        <f>IF($Q$5&gt;$Q23,1,0)</f>
        <v>0</v>
      </c>
      <c r="S23">
        <f>$R$5</f>
        <v>1</v>
      </c>
      <c r="T23">
        <f t="shared" si="6"/>
        <v>0</v>
      </c>
      <c r="U23">
        <f t="shared" si="7"/>
        <v>1</v>
      </c>
      <c r="V23">
        <f>SUM(T23:T26)/(SUM(T23:T26)+SUM(U23:U26))</f>
        <v>0.66666666666666663</v>
      </c>
      <c r="W23">
        <f t="shared" si="8"/>
        <v>0</v>
      </c>
      <c r="X23">
        <f t="shared" si="9"/>
        <v>0</v>
      </c>
      <c r="Y23">
        <f>SUM(W23:W26)/(SUM(W23:W26)+SUM(X23:X26))</f>
        <v>0</v>
      </c>
      <c r="Z23">
        <f>SUM(T23:T26)/(SUM(T23:T26)+SUM(W23:W26))</f>
        <v>1</v>
      </c>
    </row>
    <row r="24" spans="5:31" x14ac:dyDescent="0.25">
      <c r="E24" t="s">
        <v>12</v>
      </c>
      <c r="F24">
        <f t="shared" si="13"/>
        <v>0.26923076923076922</v>
      </c>
      <c r="G24">
        <v>7</v>
      </c>
      <c r="K24" s="87"/>
      <c r="L24" t="s">
        <v>268</v>
      </c>
      <c r="M24" t="s">
        <v>256</v>
      </c>
      <c r="N24" t="s">
        <v>257</v>
      </c>
      <c r="R24" s="1">
        <f>IF($Q$6&gt;$Q23,1,0)</f>
        <v>1</v>
      </c>
      <c r="S24">
        <f>$R$6</f>
        <v>1</v>
      </c>
      <c r="T24">
        <f t="shared" si="6"/>
        <v>1</v>
      </c>
      <c r="U24">
        <f t="shared" si="7"/>
        <v>0</v>
      </c>
      <c r="W24">
        <f t="shared" si="8"/>
        <v>0</v>
      </c>
      <c r="X24">
        <f t="shared" si="9"/>
        <v>0</v>
      </c>
      <c r="AB24" t="s">
        <v>261</v>
      </c>
      <c r="AC24" t="s">
        <v>262</v>
      </c>
      <c r="AD24" t="s">
        <v>263</v>
      </c>
      <c r="AE24" t="s">
        <v>264</v>
      </c>
    </row>
    <row r="25" spans="5:31" x14ac:dyDescent="0.25">
      <c r="G25">
        <f>SUM(G22:G24)</f>
        <v>26</v>
      </c>
      <c r="K25" s="87"/>
      <c r="R25" s="1">
        <f>IF($Q$7&gt;$Q23,1,0)</f>
        <v>0</v>
      </c>
      <c r="S25">
        <f>$R$7</f>
        <v>0</v>
      </c>
      <c r="T25">
        <f t="shared" si="6"/>
        <v>0</v>
      </c>
      <c r="U25">
        <f t="shared" si="7"/>
        <v>0</v>
      </c>
      <c r="W25">
        <f t="shared" si="8"/>
        <v>0</v>
      </c>
      <c r="X25">
        <f t="shared" si="9"/>
        <v>1</v>
      </c>
      <c r="AB25" s="2" t="s">
        <v>270</v>
      </c>
      <c r="AC25">
        <f t="shared" ref="AC25:AC28" si="14">ABS(AD12-AD11)</f>
        <v>0</v>
      </c>
      <c r="AD25">
        <f t="shared" ref="AD25:AD28" si="15">(AE11+AE12)/2</f>
        <v>1</v>
      </c>
      <c r="AE25">
        <f t="shared" ref="AE25:AE28" si="16">AC25*AD25</f>
        <v>0</v>
      </c>
    </row>
    <row r="26" spans="5:31" x14ac:dyDescent="0.25">
      <c r="F26" t="s">
        <v>271</v>
      </c>
      <c r="R26" s="1">
        <f>IF($Q$8&gt;$Q23,1,0)</f>
        <v>1</v>
      </c>
      <c r="S26">
        <f>$R$8</f>
        <v>1</v>
      </c>
      <c r="T26">
        <f t="shared" si="6"/>
        <v>1</v>
      </c>
      <c r="U26">
        <f t="shared" si="7"/>
        <v>0</v>
      </c>
      <c r="W26">
        <f t="shared" si="8"/>
        <v>0</v>
      </c>
      <c r="X26">
        <f t="shared" si="9"/>
        <v>0</v>
      </c>
      <c r="AC26">
        <f t="shared" si="14"/>
        <v>0.33333333333333331</v>
      </c>
      <c r="AD26">
        <f t="shared" si="15"/>
        <v>1</v>
      </c>
      <c r="AE26">
        <f t="shared" si="16"/>
        <v>0.33333333333333331</v>
      </c>
    </row>
    <row r="27" spans="5:31" x14ac:dyDescent="0.25">
      <c r="Q27" s="1">
        <v>0</v>
      </c>
      <c r="R27" s="1">
        <f>IF($Q$5&gt;$Q27,1,0)</f>
        <v>1</v>
      </c>
      <c r="S27">
        <f>$R$5</f>
        <v>1</v>
      </c>
      <c r="T27">
        <f t="shared" si="6"/>
        <v>1</v>
      </c>
      <c r="U27">
        <f t="shared" si="7"/>
        <v>0</v>
      </c>
      <c r="V27">
        <f>SUM(T27:T30)/(SUM(T27:T30)+SUM(U27:U30))</f>
        <v>1</v>
      </c>
      <c r="W27">
        <f t="shared" si="8"/>
        <v>0</v>
      </c>
      <c r="X27">
        <f t="shared" si="9"/>
        <v>0</v>
      </c>
      <c r="Y27">
        <f>SUM(W27:W30)/(SUM(W27:W30)+SUM(X27:X30))</f>
        <v>1</v>
      </c>
      <c r="Z27">
        <f>SUM(T27:T30)/(SUM(T27:T30)+SUM(W27:W30))</f>
        <v>0.75</v>
      </c>
      <c r="AC27">
        <f t="shared" si="14"/>
        <v>0</v>
      </c>
      <c r="AD27">
        <f t="shared" si="15"/>
        <v>1</v>
      </c>
      <c r="AE27">
        <f t="shared" si="16"/>
        <v>0</v>
      </c>
    </row>
    <row r="28" spans="5:31" x14ac:dyDescent="0.25">
      <c r="R28" s="1">
        <f>IF($Q$6&gt;$Q27,1,0)</f>
        <v>1</v>
      </c>
      <c r="S28">
        <f>$R$6</f>
        <v>1</v>
      </c>
      <c r="T28">
        <f t="shared" si="6"/>
        <v>1</v>
      </c>
      <c r="U28">
        <f t="shared" si="7"/>
        <v>0</v>
      </c>
      <c r="W28">
        <f t="shared" si="8"/>
        <v>0</v>
      </c>
      <c r="X28">
        <f t="shared" si="9"/>
        <v>0</v>
      </c>
      <c r="AC28">
        <f t="shared" si="14"/>
        <v>0.33333333333333337</v>
      </c>
      <c r="AD28">
        <f t="shared" si="15"/>
        <v>0.875</v>
      </c>
      <c r="AE28">
        <f t="shared" si="16"/>
        <v>0.29166666666666669</v>
      </c>
    </row>
    <row r="29" spans="5:31" x14ac:dyDescent="0.25">
      <c r="R29" s="1">
        <f>IF($Q$7&gt;$Q27,1,0)</f>
        <v>1</v>
      </c>
      <c r="S29">
        <f>$R$7</f>
        <v>0</v>
      </c>
      <c r="T29">
        <f t="shared" si="6"/>
        <v>0</v>
      </c>
      <c r="U29">
        <f t="shared" si="7"/>
        <v>0</v>
      </c>
      <c r="W29">
        <f t="shared" si="8"/>
        <v>1</v>
      </c>
      <c r="X29">
        <f t="shared" si="9"/>
        <v>0</v>
      </c>
      <c r="AD29" s="70" t="s">
        <v>272</v>
      </c>
      <c r="AE29" s="71">
        <f>SUM(AE25:AE28)</f>
        <v>0.625</v>
      </c>
    </row>
    <row r="30" spans="5:31" x14ac:dyDescent="0.25">
      <c r="R30" s="1">
        <f>IF($Q$8&gt;$Q27,1,0)</f>
        <v>1</v>
      </c>
      <c r="S30">
        <f>$R$8</f>
        <v>1</v>
      </c>
      <c r="T30">
        <f t="shared" si="6"/>
        <v>1</v>
      </c>
      <c r="U30">
        <f t="shared" si="7"/>
        <v>0</v>
      </c>
      <c r="W30">
        <f t="shared" si="8"/>
        <v>0</v>
      </c>
      <c r="X30">
        <f t="shared" si="9"/>
        <v>0</v>
      </c>
      <c r="AB30" t="s">
        <v>273</v>
      </c>
    </row>
    <row r="31" spans="5:31" x14ac:dyDescent="0.25">
      <c r="Q31" s="1"/>
      <c r="R31" s="1"/>
    </row>
    <row r="32" spans="5:31" x14ac:dyDescent="0.25">
      <c r="R32" s="1"/>
    </row>
    <row r="33" spans="17:31" x14ac:dyDescent="0.25">
      <c r="Q33" s="3" t="s">
        <v>11</v>
      </c>
      <c r="T33" s="2"/>
    </row>
    <row r="34" spans="17:31" x14ac:dyDescent="0.25">
      <c r="Q34" t="s">
        <v>246</v>
      </c>
      <c r="R34" t="s">
        <v>247</v>
      </c>
    </row>
    <row r="35" spans="17:31" x14ac:dyDescent="0.25">
      <c r="Q35">
        <f>$F$5</f>
        <v>5.0122748110857353E-2</v>
      </c>
      <c r="R35">
        <f>$M$5</f>
        <v>0</v>
      </c>
    </row>
    <row r="36" spans="17:31" x14ac:dyDescent="0.25">
      <c r="Q36" cm="1">
        <f t="array" ref="Q36:Q38">F6:$F$8</f>
        <v>0.74796252013739595</v>
      </c>
      <c r="R36" s="1" cm="1">
        <f t="array" ref="R36:R38">M6:$M$8</f>
        <v>1</v>
      </c>
    </row>
    <row r="37" spans="17:31" x14ac:dyDescent="0.25">
      <c r="Q37">
        <v>0.64566804354494844</v>
      </c>
      <c r="R37" s="1">
        <v>1</v>
      </c>
    </row>
    <row r="38" spans="17:31" x14ac:dyDescent="0.25">
      <c r="Q38" s="1">
        <v>8.3554519071598998E-2</v>
      </c>
      <c r="R38" s="1">
        <v>0</v>
      </c>
    </row>
    <row r="39" spans="17:31" x14ac:dyDescent="0.25">
      <c r="Q39" s="1"/>
      <c r="R39" s="1"/>
      <c r="V39" t="s">
        <v>249</v>
      </c>
      <c r="Y39" t="s">
        <v>250</v>
      </c>
      <c r="Z39" t="s">
        <v>251</v>
      </c>
      <c r="AB39" s="3" t="s">
        <v>11</v>
      </c>
    </row>
    <row r="40" spans="17:31" x14ac:dyDescent="0.25">
      <c r="Q40" t="s">
        <v>252</v>
      </c>
      <c r="R40" s="1" t="s">
        <v>246</v>
      </c>
      <c r="S40" t="s">
        <v>247</v>
      </c>
      <c r="T40" t="s">
        <v>253</v>
      </c>
      <c r="U40" t="s">
        <v>254</v>
      </c>
      <c r="V40" t="s">
        <v>255</v>
      </c>
      <c r="W40" t="s">
        <v>256</v>
      </c>
      <c r="X40" t="s">
        <v>257</v>
      </c>
      <c r="Y40" t="s">
        <v>258</v>
      </c>
      <c r="Z40" t="s">
        <v>259</v>
      </c>
      <c r="AB40" t="s">
        <v>252</v>
      </c>
      <c r="AC40" t="s">
        <v>258</v>
      </c>
      <c r="AD40" t="s">
        <v>255</v>
      </c>
      <c r="AE40" t="s">
        <v>259</v>
      </c>
    </row>
    <row r="41" spans="17:31" x14ac:dyDescent="0.25">
      <c r="Q41" s="1">
        <v>0.7</v>
      </c>
      <c r="R41" s="1">
        <f>IF($Q$35&gt;$Q41,1,0)</f>
        <v>0</v>
      </c>
      <c r="S41">
        <f>$R$35</f>
        <v>0</v>
      </c>
      <c r="T41">
        <f t="shared" si="6"/>
        <v>0</v>
      </c>
      <c r="U41">
        <f t="shared" si="7"/>
        <v>0</v>
      </c>
      <c r="V41">
        <f>SUM(T41:T44)/(SUM(T41:T44)+SUM(U41:U44))</f>
        <v>0.5</v>
      </c>
      <c r="W41">
        <f t="shared" si="8"/>
        <v>0</v>
      </c>
      <c r="X41">
        <f t="shared" si="9"/>
        <v>1</v>
      </c>
      <c r="Y41">
        <f>SUM(W41:W44)/(SUM(W41:W44)+SUM(X41:X44))</f>
        <v>0</v>
      </c>
      <c r="Z41">
        <f>SUM(T41:T44)/(SUM(T41:T44)+SUM(W41:W44))</f>
        <v>1</v>
      </c>
      <c r="AB41" cm="1">
        <f t="array" ref="AB41:AB45">_xlfn._xlws.FILTER(Q41:Q60,Q41:Q60&lt;&gt;"")</f>
        <v>0.7</v>
      </c>
      <c r="AC41" cm="1">
        <f t="array" ref="AC41:AC45">_xlfn._xlws.FILTER(Y41:Y60,Y41:Y60&lt;&gt;"")</f>
        <v>0</v>
      </c>
      <c r="AD41" cm="1">
        <f t="array" ref="AD41:AD45">_xlfn._xlws.FILTER(V41:V60,V41:V60&lt;&gt;"")</f>
        <v>0.5</v>
      </c>
      <c r="AE41" cm="1">
        <f t="array" ref="AE41:AE45">_xlfn._xlws.FILTER(Z41:Z60,Z41:Z60&lt;&gt;"")</f>
        <v>1</v>
      </c>
    </row>
    <row r="42" spans="17:31" x14ac:dyDescent="0.25">
      <c r="R42" s="1">
        <f>IF($Q$36&gt;$Q41,1,0)</f>
        <v>1</v>
      </c>
      <c r="S42">
        <f>$R$36</f>
        <v>1</v>
      </c>
      <c r="T42">
        <f t="shared" si="6"/>
        <v>1</v>
      </c>
      <c r="U42">
        <f t="shared" si="7"/>
        <v>0</v>
      </c>
      <c r="W42">
        <f t="shared" si="8"/>
        <v>0</v>
      </c>
      <c r="X42">
        <f t="shared" si="9"/>
        <v>0</v>
      </c>
      <c r="AB42">
        <v>0.6</v>
      </c>
      <c r="AC42">
        <v>0</v>
      </c>
      <c r="AD42">
        <v>1</v>
      </c>
      <c r="AE42">
        <v>1</v>
      </c>
    </row>
    <row r="43" spans="17:31" x14ac:dyDescent="0.25">
      <c r="R43" s="1">
        <f>IF($Q$37&gt;$Q41,1,0)</f>
        <v>0</v>
      </c>
      <c r="S43">
        <f>$R$37</f>
        <v>1</v>
      </c>
      <c r="T43">
        <f t="shared" si="6"/>
        <v>0</v>
      </c>
      <c r="U43">
        <f t="shared" si="7"/>
        <v>1</v>
      </c>
      <c r="W43">
        <f t="shared" si="8"/>
        <v>0</v>
      </c>
      <c r="X43">
        <f t="shared" si="9"/>
        <v>0</v>
      </c>
      <c r="AB43">
        <v>0.4</v>
      </c>
      <c r="AC43">
        <v>0</v>
      </c>
      <c r="AD43">
        <v>1</v>
      </c>
      <c r="AE43">
        <v>1</v>
      </c>
    </row>
    <row r="44" spans="17:31" x14ac:dyDescent="0.25">
      <c r="R44" s="1">
        <f>IF($Q$38&gt;$Q41,1,0)</f>
        <v>0</v>
      </c>
      <c r="S44">
        <f>$R$38</f>
        <v>0</v>
      </c>
      <c r="T44">
        <f t="shared" si="6"/>
        <v>0</v>
      </c>
      <c r="U44">
        <f t="shared" si="7"/>
        <v>0</v>
      </c>
      <c r="W44">
        <f t="shared" si="8"/>
        <v>0</v>
      </c>
      <c r="X44">
        <f t="shared" si="9"/>
        <v>1</v>
      </c>
      <c r="AB44">
        <v>0.2</v>
      </c>
      <c r="AC44">
        <v>0</v>
      </c>
      <c r="AD44">
        <v>1</v>
      </c>
      <c r="AE44">
        <v>1</v>
      </c>
    </row>
    <row r="45" spans="17:31" x14ac:dyDescent="0.25">
      <c r="Q45" s="1">
        <v>0.6</v>
      </c>
      <c r="R45" s="1">
        <f>IF($Q$35&gt;$Q45,1,0)</f>
        <v>0</v>
      </c>
      <c r="S45">
        <f>$R$35</f>
        <v>0</v>
      </c>
      <c r="T45">
        <f t="shared" si="6"/>
        <v>0</v>
      </c>
      <c r="U45">
        <f t="shared" si="7"/>
        <v>0</v>
      </c>
      <c r="V45">
        <f>SUM(T45:T48)/(SUM(T45:T48)+SUM(U45:U48))</f>
        <v>1</v>
      </c>
      <c r="W45">
        <f t="shared" si="8"/>
        <v>0</v>
      </c>
      <c r="X45">
        <f t="shared" si="9"/>
        <v>1</v>
      </c>
      <c r="Y45">
        <f>SUM(W45:W48)/(SUM(W45:W48)+SUM(X45:X48))</f>
        <v>0</v>
      </c>
      <c r="Z45">
        <f>SUM(T45:T48)/(SUM(T45:T48)+SUM(W45:W48))</f>
        <v>1</v>
      </c>
      <c r="AB45">
        <v>0</v>
      </c>
      <c r="AC45">
        <v>1</v>
      </c>
      <c r="AD45">
        <v>1</v>
      </c>
      <c r="AE45">
        <v>0.5</v>
      </c>
    </row>
    <row r="46" spans="17:31" x14ac:dyDescent="0.25">
      <c r="R46" s="1">
        <f>IF($Q$36&gt;$Q45,1,0)</f>
        <v>1</v>
      </c>
      <c r="S46">
        <f>$R$36</f>
        <v>1</v>
      </c>
      <c r="T46">
        <f t="shared" si="6"/>
        <v>1</v>
      </c>
      <c r="U46">
        <f t="shared" si="7"/>
        <v>0</v>
      </c>
      <c r="W46">
        <f t="shared" si="8"/>
        <v>0</v>
      </c>
      <c r="X46">
        <f t="shared" si="9"/>
        <v>0</v>
      </c>
    </row>
    <row r="47" spans="17:31" x14ac:dyDescent="0.25">
      <c r="R47" s="1">
        <f>IF($Q$37&gt;$Q45,1,0)</f>
        <v>1</v>
      </c>
      <c r="S47">
        <f>$R$37</f>
        <v>1</v>
      </c>
      <c r="T47">
        <f t="shared" si="6"/>
        <v>1</v>
      </c>
      <c r="U47">
        <f t="shared" si="7"/>
        <v>0</v>
      </c>
      <c r="W47">
        <f t="shared" si="8"/>
        <v>0</v>
      </c>
      <c r="X47">
        <f t="shared" si="9"/>
        <v>0</v>
      </c>
      <c r="AB47" t="s">
        <v>261</v>
      </c>
      <c r="AC47" t="s">
        <v>262</v>
      </c>
      <c r="AD47" t="s">
        <v>263</v>
      </c>
      <c r="AE47" t="s">
        <v>264</v>
      </c>
    </row>
    <row r="48" spans="17:31" x14ac:dyDescent="0.25">
      <c r="R48" s="1">
        <f>IF($Q$38&gt;$Q45,1,0)</f>
        <v>0</v>
      </c>
      <c r="S48">
        <f>$R$38</f>
        <v>0</v>
      </c>
      <c r="T48">
        <f t="shared" si="6"/>
        <v>0</v>
      </c>
      <c r="U48">
        <f t="shared" si="7"/>
        <v>0</v>
      </c>
      <c r="W48">
        <f t="shared" si="8"/>
        <v>0</v>
      </c>
      <c r="X48">
        <f t="shared" si="9"/>
        <v>1</v>
      </c>
      <c r="AB48" s="2" t="s">
        <v>265</v>
      </c>
      <c r="AC48">
        <f t="shared" ref="AC48:AC51" si="17">ABS(AC42-AC41)</f>
        <v>0</v>
      </c>
      <c r="AD48">
        <f t="shared" ref="AD48:AD51" si="18">(AD41+AD42)/2</f>
        <v>0.75</v>
      </c>
      <c r="AE48">
        <f t="shared" ref="AE48:AE51" si="19">AC48*AD48</f>
        <v>0</v>
      </c>
    </row>
    <row r="49" spans="17:31" x14ac:dyDescent="0.25">
      <c r="Q49" s="1">
        <v>0.4</v>
      </c>
      <c r="R49" s="1">
        <f>IF($Q$35&gt;$Q49,1,0)</f>
        <v>0</v>
      </c>
      <c r="S49">
        <f>$R$35</f>
        <v>0</v>
      </c>
      <c r="T49">
        <f t="shared" si="6"/>
        <v>0</v>
      </c>
      <c r="U49">
        <f t="shared" si="7"/>
        <v>0</v>
      </c>
      <c r="V49">
        <f>SUM(T49:T52)/(SUM(T49:T52)+SUM(U49:U52))</f>
        <v>1</v>
      </c>
      <c r="W49">
        <f t="shared" si="8"/>
        <v>0</v>
      </c>
      <c r="X49">
        <f t="shared" si="9"/>
        <v>1</v>
      </c>
      <c r="Y49">
        <f>SUM(W49:W52)/(SUM(W49:W52)+SUM(X49:X52))</f>
        <v>0</v>
      </c>
      <c r="Z49">
        <f>SUM(T49:T52)/(SUM(T49:T52)+SUM(W49:W52))</f>
        <v>1</v>
      </c>
      <c r="AC49">
        <f t="shared" si="17"/>
        <v>0</v>
      </c>
      <c r="AD49">
        <f t="shared" si="18"/>
        <v>1</v>
      </c>
      <c r="AE49">
        <f t="shared" si="19"/>
        <v>0</v>
      </c>
    </row>
    <row r="50" spans="17:31" x14ac:dyDescent="0.25">
      <c r="R50" s="1">
        <f>IF($Q$36&gt;$Q49,1,0)</f>
        <v>1</v>
      </c>
      <c r="S50">
        <f>$R$36</f>
        <v>1</v>
      </c>
      <c r="T50">
        <f t="shared" si="6"/>
        <v>1</v>
      </c>
      <c r="U50">
        <f t="shared" si="7"/>
        <v>0</v>
      </c>
      <c r="W50">
        <f t="shared" si="8"/>
        <v>0</v>
      </c>
      <c r="X50">
        <f t="shared" si="9"/>
        <v>0</v>
      </c>
      <c r="AC50">
        <f t="shared" si="17"/>
        <v>0</v>
      </c>
      <c r="AD50">
        <f t="shared" si="18"/>
        <v>1</v>
      </c>
      <c r="AE50">
        <f t="shared" si="19"/>
        <v>0</v>
      </c>
    </row>
    <row r="51" spans="17:31" x14ac:dyDescent="0.25">
      <c r="R51" s="1">
        <f>IF($Q$37&gt;$Q49,1,0)</f>
        <v>1</v>
      </c>
      <c r="S51">
        <f>$R$37</f>
        <v>1</v>
      </c>
      <c r="T51">
        <f t="shared" si="6"/>
        <v>1</v>
      </c>
      <c r="U51">
        <f t="shared" si="7"/>
        <v>0</v>
      </c>
      <c r="W51">
        <f t="shared" si="8"/>
        <v>0</v>
      </c>
      <c r="X51">
        <f t="shared" si="9"/>
        <v>0</v>
      </c>
      <c r="AC51">
        <f t="shared" si="17"/>
        <v>1</v>
      </c>
      <c r="AD51">
        <f t="shared" si="18"/>
        <v>1</v>
      </c>
      <c r="AE51">
        <f t="shared" si="19"/>
        <v>1</v>
      </c>
    </row>
    <row r="52" spans="17:31" x14ac:dyDescent="0.25">
      <c r="R52" s="1">
        <f>IF($Q$38&gt;$Q49,1,0)</f>
        <v>0</v>
      </c>
      <c r="S52">
        <f>$R$38</f>
        <v>0</v>
      </c>
      <c r="T52">
        <f t="shared" si="6"/>
        <v>0</v>
      </c>
      <c r="U52">
        <f t="shared" si="7"/>
        <v>0</v>
      </c>
      <c r="W52">
        <f t="shared" si="8"/>
        <v>0</v>
      </c>
      <c r="X52">
        <f t="shared" si="9"/>
        <v>1</v>
      </c>
      <c r="AD52" s="70" t="s">
        <v>269</v>
      </c>
      <c r="AE52" s="71">
        <f>SUM(AE48:AE51)</f>
        <v>1</v>
      </c>
    </row>
    <row r="53" spans="17:31" x14ac:dyDescent="0.25">
      <c r="Q53" s="1">
        <v>0.2</v>
      </c>
      <c r="R53" s="1">
        <f>IF($Q$35&gt;$Q53,1,0)</f>
        <v>0</v>
      </c>
      <c r="S53">
        <f>$R$35</f>
        <v>0</v>
      </c>
      <c r="T53">
        <f t="shared" si="6"/>
        <v>0</v>
      </c>
      <c r="U53">
        <f t="shared" si="7"/>
        <v>0</v>
      </c>
      <c r="V53">
        <f>SUM(T53:T56)/(SUM(T53:T56)+SUM(U53:U56))</f>
        <v>1</v>
      </c>
      <c r="W53">
        <f t="shared" si="8"/>
        <v>0</v>
      </c>
      <c r="X53">
        <f t="shared" si="9"/>
        <v>1</v>
      </c>
      <c r="Y53">
        <f>SUM(W53:W56)/(SUM(W53:W56)+SUM(X53:X56))</f>
        <v>0</v>
      </c>
      <c r="Z53">
        <f>SUM(T53:T56)/(SUM(T53:T56)+SUM(W53:W56))</f>
        <v>1</v>
      </c>
    </row>
    <row r="54" spans="17:31" x14ac:dyDescent="0.25">
      <c r="R54" s="1">
        <f>IF($Q$36&gt;$Q53,1,0)</f>
        <v>1</v>
      </c>
      <c r="S54">
        <f>$R$36</f>
        <v>1</v>
      </c>
      <c r="T54">
        <f t="shared" si="6"/>
        <v>1</v>
      </c>
      <c r="U54">
        <f t="shared" si="7"/>
        <v>0</v>
      </c>
      <c r="W54">
        <f t="shared" si="8"/>
        <v>0</v>
      </c>
      <c r="X54">
        <f t="shared" si="9"/>
        <v>0</v>
      </c>
      <c r="AB54" t="s">
        <v>261</v>
      </c>
      <c r="AC54" t="s">
        <v>262</v>
      </c>
      <c r="AD54" t="s">
        <v>263</v>
      </c>
      <c r="AE54" t="s">
        <v>264</v>
      </c>
    </row>
    <row r="55" spans="17:31" x14ac:dyDescent="0.25">
      <c r="R55" s="1">
        <f>IF($Q$37&gt;$Q53,1,0)</f>
        <v>1</v>
      </c>
      <c r="S55">
        <f>$R$37</f>
        <v>1</v>
      </c>
      <c r="T55">
        <f t="shared" si="6"/>
        <v>1</v>
      </c>
      <c r="U55">
        <f t="shared" si="7"/>
        <v>0</v>
      </c>
      <c r="W55">
        <f t="shared" si="8"/>
        <v>0</v>
      </c>
      <c r="X55">
        <f t="shared" si="9"/>
        <v>0</v>
      </c>
      <c r="AB55" s="2" t="s">
        <v>270</v>
      </c>
      <c r="AC55">
        <f t="shared" ref="AC55:AC58" si="20">ABS(AD42-AD41)</f>
        <v>0.5</v>
      </c>
      <c r="AD55">
        <f t="shared" ref="AD55:AD58" si="21">(AE41+AE42)/2</f>
        <v>1</v>
      </c>
      <c r="AE55">
        <f t="shared" ref="AE55:AE58" si="22">AC55*AD55</f>
        <v>0.5</v>
      </c>
    </row>
    <row r="56" spans="17:31" x14ac:dyDescent="0.25">
      <c r="R56" s="1">
        <f>IF($Q$38&gt;$Q53,1,0)</f>
        <v>0</v>
      </c>
      <c r="S56">
        <f>$R$38</f>
        <v>0</v>
      </c>
      <c r="T56">
        <f t="shared" si="6"/>
        <v>0</v>
      </c>
      <c r="U56">
        <f t="shared" si="7"/>
        <v>0</v>
      </c>
      <c r="W56">
        <f t="shared" si="8"/>
        <v>0</v>
      </c>
      <c r="X56">
        <f t="shared" si="9"/>
        <v>1</v>
      </c>
      <c r="AC56">
        <f t="shared" si="20"/>
        <v>0</v>
      </c>
      <c r="AD56">
        <f t="shared" si="21"/>
        <v>1</v>
      </c>
      <c r="AE56">
        <f t="shared" si="22"/>
        <v>0</v>
      </c>
    </row>
    <row r="57" spans="17:31" x14ac:dyDescent="0.25">
      <c r="Q57" s="1">
        <v>0</v>
      </c>
      <c r="R57" s="1">
        <f>IF($Q$35&gt;$Q57,1,0)</f>
        <v>1</v>
      </c>
      <c r="S57">
        <f>$R$35</f>
        <v>0</v>
      </c>
      <c r="T57">
        <f t="shared" si="6"/>
        <v>0</v>
      </c>
      <c r="U57">
        <f t="shared" si="7"/>
        <v>0</v>
      </c>
      <c r="V57">
        <f>SUM(T57:T60)/(SUM(T57:T60)+SUM(U57:U60))</f>
        <v>1</v>
      </c>
      <c r="W57">
        <f t="shared" si="8"/>
        <v>1</v>
      </c>
      <c r="X57">
        <f t="shared" si="9"/>
        <v>0</v>
      </c>
      <c r="Y57">
        <f>SUM(W57:W60)/(SUM(W57:W60)+SUM(X57:X60))</f>
        <v>1</v>
      </c>
      <c r="Z57">
        <f>SUM(T57:T60)/(SUM(T57:T60)+SUM(W57:W60))</f>
        <v>0.5</v>
      </c>
      <c r="AC57">
        <f t="shared" si="20"/>
        <v>0</v>
      </c>
      <c r="AD57">
        <f t="shared" si="21"/>
        <v>1</v>
      </c>
      <c r="AE57">
        <f t="shared" si="22"/>
        <v>0</v>
      </c>
    </row>
    <row r="58" spans="17:31" x14ac:dyDescent="0.25">
      <c r="R58" s="1">
        <f>IF($Q$36&gt;$Q57,1,0)</f>
        <v>1</v>
      </c>
      <c r="S58">
        <f>$R$36</f>
        <v>1</v>
      </c>
      <c r="T58">
        <f t="shared" si="6"/>
        <v>1</v>
      </c>
      <c r="U58">
        <f t="shared" si="7"/>
        <v>0</v>
      </c>
      <c r="W58">
        <f t="shared" si="8"/>
        <v>0</v>
      </c>
      <c r="X58">
        <f t="shared" si="9"/>
        <v>0</v>
      </c>
      <c r="AC58">
        <f t="shared" si="20"/>
        <v>0</v>
      </c>
      <c r="AD58">
        <f t="shared" si="21"/>
        <v>0.75</v>
      </c>
      <c r="AE58">
        <f t="shared" si="22"/>
        <v>0</v>
      </c>
    </row>
    <row r="59" spans="17:31" x14ac:dyDescent="0.25">
      <c r="R59" s="1">
        <f>IF($Q$37&gt;$Q57,1,0)</f>
        <v>1</v>
      </c>
      <c r="S59">
        <f>$R$37</f>
        <v>1</v>
      </c>
      <c r="T59">
        <f t="shared" si="6"/>
        <v>1</v>
      </c>
      <c r="U59">
        <f t="shared" si="7"/>
        <v>0</v>
      </c>
      <c r="W59">
        <f t="shared" si="8"/>
        <v>0</v>
      </c>
      <c r="X59">
        <f t="shared" si="9"/>
        <v>0</v>
      </c>
      <c r="AD59" s="70" t="s">
        <v>272</v>
      </c>
      <c r="AE59" s="71">
        <f>SUM(AE55:AE58)</f>
        <v>0.5</v>
      </c>
    </row>
    <row r="60" spans="17:31" x14ac:dyDescent="0.25">
      <c r="R60" s="1">
        <f>IF($Q$38&gt;$Q57,1,0)</f>
        <v>1</v>
      </c>
      <c r="S60">
        <f>$R$38</f>
        <v>0</v>
      </c>
      <c r="T60">
        <f t="shared" si="6"/>
        <v>0</v>
      </c>
      <c r="U60">
        <f t="shared" si="7"/>
        <v>0</v>
      </c>
      <c r="W60">
        <f t="shared" si="8"/>
        <v>1</v>
      </c>
      <c r="X60">
        <f t="shared" si="9"/>
        <v>0</v>
      </c>
      <c r="AB60" t="s">
        <v>273</v>
      </c>
    </row>
    <row r="63" spans="17:31" x14ac:dyDescent="0.25">
      <c r="Q63" s="3" t="s">
        <v>12</v>
      </c>
      <c r="T63" s="2"/>
    </row>
    <row r="64" spans="17:31" x14ac:dyDescent="0.25">
      <c r="Q64" t="s">
        <v>246</v>
      </c>
      <c r="R64" t="s">
        <v>247</v>
      </c>
    </row>
    <row r="65" spans="17:31" x14ac:dyDescent="0.25">
      <c r="Q65">
        <f>$G$5</f>
        <v>0.63948085568380564</v>
      </c>
      <c r="R65">
        <f>$N$5</f>
        <v>1</v>
      </c>
    </row>
    <row r="66" spans="17:31" x14ac:dyDescent="0.25">
      <c r="Q66" cm="1">
        <f t="array" ref="Q66:Q68">G$6:$G8</f>
        <v>8.3341324346660001E-2</v>
      </c>
      <c r="R66" s="1" cm="1">
        <f t="array" ref="R66:R68">N$6:$N8</f>
        <v>0</v>
      </c>
    </row>
    <row r="67" spans="17:31" x14ac:dyDescent="0.25">
      <c r="Q67">
        <v>0.979370096177136</v>
      </c>
      <c r="R67" s="1">
        <v>1</v>
      </c>
    </row>
    <row r="68" spans="17:31" x14ac:dyDescent="0.25">
      <c r="Q68" s="1">
        <v>7.4381321270918996E-2</v>
      </c>
      <c r="R68" s="1">
        <v>0</v>
      </c>
    </row>
    <row r="69" spans="17:31" x14ac:dyDescent="0.25">
      <c r="Q69" s="1"/>
      <c r="R69" s="1"/>
      <c r="V69" t="s">
        <v>249</v>
      </c>
      <c r="Y69" t="s">
        <v>250</v>
      </c>
      <c r="Z69" t="s">
        <v>251</v>
      </c>
      <c r="AB69" s="3" t="s">
        <v>12</v>
      </c>
    </row>
    <row r="70" spans="17:31" x14ac:dyDescent="0.25">
      <c r="Q70" t="s">
        <v>252</v>
      </c>
      <c r="R70" s="1" t="s">
        <v>246</v>
      </c>
      <c r="S70" t="s">
        <v>247</v>
      </c>
      <c r="T70" t="s">
        <v>253</v>
      </c>
      <c r="U70" t="s">
        <v>254</v>
      </c>
      <c r="V70" t="s">
        <v>255</v>
      </c>
      <c r="W70" t="s">
        <v>256</v>
      </c>
      <c r="X70" t="s">
        <v>257</v>
      </c>
      <c r="Y70" t="s">
        <v>258</v>
      </c>
      <c r="Z70" t="s">
        <v>259</v>
      </c>
      <c r="AB70" t="s">
        <v>252</v>
      </c>
      <c r="AC70" t="s">
        <v>258</v>
      </c>
      <c r="AD70" t="s">
        <v>255</v>
      </c>
      <c r="AE70" t="s">
        <v>259</v>
      </c>
    </row>
    <row r="71" spans="17:31" x14ac:dyDescent="0.25">
      <c r="Q71" s="1">
        <v>0.9</v>
      </c>
      <c r="R71" s="1">
        <f>IF($Q$65&gt;$Q71,1,0)</f>
        <v>0</v>
      </c>
      <c r="S71">
        <f>$R$65</f>
        <v>1</v>
      </c>
      <c r="T71">
        <f t="shared" si="6"/>
        <v>0</v>
      </c>
      <c r="U71">
        <f t="shared" si="7"/>
        <v>1</v>
      </c>
      <c r="V71">
        <f>SUM(T71:T74)/(SUM(T71:T74)+SUM(U71:U74))</f>
        <v>0.5</v>
      </c>
      <c r="W71">
        <f t="shared" si="8"/>
        <v>0</v>
      </c>
      <c r="X71">
        <f t="shared" si="9"/>
        <v>0</v>
      </c>
      <c r="Y71">
        <f>SUM(W71:W74)/(SUM(W71:W74)+SUM(X71:X74))</f>
        <v>0</v>
      </c>
      <c r="Z71">
        <f>SUM(T71:T74)/(SUM(T71:T74)+SUM(W71:W74))</f>
        <v>1</v>
      </c>
      <c r="AB71" cm="1">
        <f t="array" ref="AB71:AB75">_xlfn._xlws.FILTER(Q71:Q90,Q71:Q90&lt;&gt;"")</f>
        <v>0.9</v>
      </c>
      <c r="AC71" cm="1">
        <f t="array" ref="AC71:AC75">_xlfn._xlws.FILTER(Y71:Y90,Y71:Y90&lt;&gt;"")</f>
        <v>0</v>
      </c>
      <c r="AD71" cm="1">
        <f t="array" ref="AD71:AD75">_xlfn._xlws.FILTER(V71:V90,V71:V90&lt;&gt;"")</f>
        <v>0.5</v>
      </c>
      <c r="AE71" cm="1">
        <f t="array" ref="AE71:AE75">_xlfn._xlws.FILTER(Z71:Z90,Z71:Z90&lt;&gt;"")</f>
        <v>1</v>
      </c>
    </row>
    <row r="72" spans="17:31" x14ac:dyDescent="0.25">
      <c r="R72" s="1">
        <f>IF($Q$66&gt;$Q71,1,0)</f>
        <v>0</v>
      </c>
      <c r="S72">
        <f>$R$66</f>
        <v>0</v>
      </c>
      <c r="T72">
        <f t="shared" si="6"/>
        <v>0</v>
      </c>
      <c r="U72">
        <f t="shared" si="7"/>
        <v>0</v>
      </c>
      <c r="W72">
        <f t="shared" si="8"/>
        <v>0</v>
      </c>
      <c r="X72">
        <f t="shared" si="9"/>
        <v>1</v>
      </c>
      <c r="AB72">
        <v>0.75</v>
      </c>
      <c r="AC72">
        <v>0</v>
      </c>
      <c r="AD72">
        <v>0.5</v>
      </c>
      <c r="AE72">
        <v>1</v>
      </c>
    </row>
    <row r="73" spans="17:31" x14ac:dyDescent="0.25">
      <c r="R73" s="1">
        <f>IF($Q$67&gt;$Q71,1,0)</f>
        <v>1</v>
      </c>
      <c r="S73">
        <f>$R$67</f>
        <v>1</v>
      </c>
      <c r="T73">
        <f t="shared" si="6"/>
        <v>1</v>
      </c>
      <c r="U73">
        <f t="shared" si="7"/>
        <v>0</v>
      </c>
      <c r="W73">
        <f t="shared" si="8"/>
        <v>0</v>
      </c>
      <c r="X73">
        <f t="shared" si="9"/>
        <v>0</v>
      </c>
      <c r="AB73">
        <v>0.5</v>
      </c>
      <c r="AC73">
        <v>0</v>
      </c>
      <c r="AD73">
        <v>1</v>
      </c>
      <c r="AE73">
        <v>1</v>
      </c>
    </row>
    <row r="74" spans="17:31" x14ac:dyDescent="0.25">
      <c r="R74" s="1">
        <f>IF($Q$68&gt;$Q71,1,0)</f>
        <v>0</v>
      </c>
      <c r="S74">
        <f>$R$68</f>
        <v>0</v>
      </c>
      <c r="T74">
        <f t="shared" si="6"/>
        <v>0</v>
      </c>
      <c r="U74">
        <f t="shared" si="7"/>
        <v>0</v>
      </c>
      <c r="W74">
        <f t="shared" si="8"/>
        <v>0</v>
      </c>
      <c r="X74">
        <f t="shared" si="9"/>
        <v>1</v>
      </c>
      <c r="AB74">
        <v>0.25</v>
      </c>
      <c r="AC74">
        <v>0</v>
      </c>
      <c r="AD74">
        <v>1</v>
      </c>
      <c r="AE74">
        <v>1</v>
      </c>
    </row>
    <row r="75" spans="17:31" x14ac:dyDescent="0.25">
      <c r="Q75" s="1">
        <v>0.75</v>
      </c>
      <c r="R75" s="1">
        <f>IF($Q$65&gt;$Q75,1,0)</f>
        <v>0</v>
      </c>
      <c r="S75">
        <f>$R$65</f>
        <v>1</v>
      </c>
      <c r="T75">
        <f t="shared" ref="T75:T90" si="23">IF(AND(R75=1,S75=1),1,0)</f>
        <v>0</v>
      </c>
      <c r="U75">
        <f t="shared" ref="U75:U90" si="24">IF(AND(R75=0,S75=1),1,0)</f>
        <v>1</v>
      </c>
      <c r="V75">
        <f>SUM(T75:T78)/(SUM(T75:T78)+SUM(U75:U78))</f>
        <v>0.5</v>
      </c>
      <c r="W75">
        <f t="shared" ref="W75:W90" si="25">IF(AND(R75=1,S75=0),1,0)</f>
        <v>0</v>
      </c>
      <c r="X75">
        <f t="shared" ref="X75:X90" si="26">IF(AND(R75=0,S75=0),1,0)</f>
        <v>0</v>
      </c>
      <c r="Y75">
        <f>SUM(W75:W78)/(SUM(W75:W78)+SUM(X75:X78))</f>
        <v>0</v>
      </c>
      <c r="Z75">
        <f>SUM(T75:T78)/(SUM(T75:T78)+SUM(W75:W78))</f>
        <v>1</v>
      </c>
      <c r="AB75">
        <v>0</v>
      </c>
      <c r="AC75">
        <v>1</v>
      </c>
      <c r="AD75">
        <v>1</v>
      </c>
      <c r="AE75">
        <v>0.5</v>
      </c>
    </row>
    <row r="76" spans="17:31" x14ac:dyDescent="0.25">
      <c r="R76" s="1">
        <f>IF($Q$66&gt;$Q75,1,0)</f>
        <v>0</v>
      </c>
      <c r="S76">
        <f>$R$66</f>
        <v>0</v>
      </c>
      <c r="T76">
        <f t="shared" si="23"/>
        <v>0</v>
      </c>
      <c r="U76">
        <f t="shared" si="24"/>
        <v>0</v>
      </c>
      <c r="W76">
        <f t="shared" si="25"/>
        <v>0</v>
      </c>
      <c r="X76">
        <f t="shared" si="26"/>
        <v>1</v>
      </c>
    </row>
    <row r="77" spans="17:31" x14ac:dyDescent="0.25">
      <c r="R77" s="1">
        <f>IF($Q$67&gt;$Q75,1,0)</f>
        <v>1</v>
      </c>
      <c r="S77">
        <f>$R$67</f>
        <v>1</v>
      </c>
      <c r="T77">
        <f t="shared" si="23"/>
        <v>1</v>
      </c>
      <c r="U77">
        <f t="shared" si="24"/>
        <v>0</v>
      </c>
      <c r="W77">
        <f t="shared" si="25"/>
        <v>0</v>
      </c>
      <c r="X77">
        <f t="shared" si="26"/>
        <v>0</v>
      </c>
      <c r="AB77" t="s">
        <v>261</v>
      </c>
      <c r="AC77" t="s">
        <v>262</v>
      </c>
      <c r="AD77" t="s">
        <v>263</v>
      </c>
      <c r="AE77" t="s">
        <v>264</v>
      </c>
    </row>
    <row r="78" spans="17:31" x14ac:dyDescent="0.25">
      <c r="R78" s="1">
        <f>IF($Q$68&gt;$Q75,1,0)</f>
        <v>0</v>
      </c>
      <c r="S78">
        <f>$R$68</f>
        <v>0</v>
      </c>
      <c r="T78">
        <f t="shared" si="23"/>
        <v>0</v>
      </c>
      <c r="U78">
        <f t="shared" si="24"/>
        <v>0</v>
      </c>
      <c r="W78">
        <f t="shared" si="25"/>
        <v>0</v>
      </c>
      <c r="X78">
        <f t="shared" si="26"/>
        <v>1</v>
      </c>
      <c r="AB78" s="2" t="s">
        <v>265</v>
      </c>
      <c r="AC78">
        <f t="shared" ref="AC78:AC81" si="27">ABS(AC72-AC71)</f>
        <v>0</v>
      </c>
      <c r="AD78">
        <f t="shared" ref="AD78:AD81" si="28">(AD71+AD72)/2</f>
        <v>0.5</v>
      </c>
      <c r="AE78">
        <f t="shared" ref="AE78:AE81" si="29">AC78*AD78</f>
        <v>0</v>
      </c>
    </row>
    <row r="79" spans="17:31" x14ac:dyDescent="0.25">
      <c r="Q79" s="1">
        <v>0.5</v>
      </c>
      <c r="R79" s="1">
        <f>IF($Q$65&gt;$Q79,1,0)</f>
        <v>1</v>
      </c>
      <c r="S79">
        <f>$R$65</f>
        <v>1</v>
      </c>
      <c r="T79">
        <f t="shared" si="23"/>
        <v>1</v>
      </c>
      <c r="U79">
        <f t="shared" si="24"/>
        <v>0</v>
      </c>
      <c r="V79">
        <f>SUM(T79:T82)/(SUM(T79:T82)+SUM(U79:U82))</f>
        <v>1</v>
      </c>
      <c r="W79">
        <f t="shared" si="25"/>
        <v>0</v>
      </c>
      <c r="X79">
        <f t="shared" si="26"/>
        <v>0</v>
      </c>
      <c r="Y79">
        <f>SUM(W79:W82)/(SUM(W79:W82)+SUM(X79:X82))</f>
        <v>0</v>
      </c>
      <c r="Z79">
        <f>SUM(T79:T82)/(SUM(T79:T82)+SUM(W79:W82))</f>
        <v>1</v>
      </c>
      <c r="AC79">
        <f t="shared" si="27"/>
        <v>0</v>
      </c>
      <c r="AD79">
        <f t="shared" si="28"/>
        <v>0.75</v>
      </c>
      <c r="AE79">
        <f t="shared" si="29"/>
        <v>0</v>
      </c>
    </row>
    <row r="80" spans="17:31" x14ac:dyDescent="0.25">
      <c r="R80" s="1">
        <f>IF($Q$66&gt;$Q79,1,0)</f>
        <v>0</v>
      </c>
      <c r="S80">
        <f>$R$66</f>
        <v>0</v>
      </c>
      <c r="T80">
        <f t="shared" si="23"/>
        <v>0</v>
      </c>
      <c r="U80">
        <f t="shared" si="24"/>
        <v>0</v>
      </c>
      <c r="W80">
        <f t="shared" si="25"/>
        <v>0</v>
      </c>
      <c r="X80">
        <f t="shared" si="26"/>
        <v>1</v>
      </c>
      <c r="AC80">
        <f t="shared" si="27"/>
        <v>0</v>
      </c>
      <c r="AD80">
        <f t="shared" si="28"/>
        <v>1</v>
      </c>
      <c r="AE80">
        <f t="shared" si="29"/>
        <v>0</v>
      </c>
    </row>
    <row r="81" spans="17:31" x14ac:dyDescent="0.25">
      <c r="R81" s="1">
        <f>IF($Q$67&gt;$Q79,1,0)</f>
        <v>1</v>
      </c>
      <c r="S81">
        <f>$R$67</f>
        <v>1</v>
      </c>
      <c r="T81">
        <f t="shared" si="23"/>
        <v>1</v>
      </c>
      <c r="U81">
        <f t="shared" si="24"/>
        <v>0</v>
      </c>
      <c r="W81">
        <f t="shared" si="25"/>
        <v>0</v>
      </c>
      <c r="X81">
        <f t="shared" si="26"/>
        <v>0</v>
      </c>
      <c r="AC81">
        <f t="shared" si="27"/>
        <v>1</v>
      </c>
      <c r="AD81">
        <f t="shared" si="28"/>
        <v>1</v>
      </c>
      <c r="AE81">
        <f t="shared" si="29"/>
        <v>1</v>
      </c>
    </row>
    <row r="82" spans="17:31" x14ac:dyDescent="0.25">
      <c r="R82" s="1">
        <f>IF($Q$68&gt;$Q79,1,0)</f>
        <v>0</v>
      </c>
      <c r="S82">
        <f>$R$68</f>
        <v>0</v>
      </c>
      <c r="T82">
        <f t="shared" si="23"/>
        <v>0</v>
      </c>
      <c r="U82">
        <f t="shared" si="24"/>
        <v>0</v>
      </c>
      <c r="W82">
        <f t="shared" si="25"/>
        <v>0</v>
      </c>
      <c r="X82">
        <f t="shared" si="26"/>
        <v>1</v>
      </c>
      <c r="AD82" s="70" t="s">
        <v>269</v>
      </c>
      <c r="AE82" s="71">
        <f>SUM(AE78:AE81)</f>
        <v>1</v>
      </c>
    </row>
    <row r="83" spans="17:31" x14ac:dyDescent="0.25">
      <c r="Q83" s="1">
        <v>0.25</v>
      </c>
      <c r="R83" s="1">
        <f>IF($Q$65&gt;$Q83,1,0)</f>
        <v>1</v>
      </c>
      <c r="S83">
        <f>$R$65</f>
        <v>1</v>
      </c>
      <c r="T83">
        <f t="shared" si="23"/>
        <v>1</v>
      </c>
      <c r="U83">
        <f t="shared" si="24"/>
        <v>0</v>
      </c>
      <c r="V83">
        <f>SUM(T83:T86)/(SUM(T83:T86)+SUM(U83:U86))</f>
        <v>1</v>
      </c>
      <c r="W83">
        <f t="shared" si="25"/>
        <v>0</v>
      </c>
      <c r="X83">
        <f t="shared" si="26"/>
        <v>0</v>
      </c>
      <c r="Y83">
        <f>SUM(W83:W86)/(SUM(W83:W86)+SUM(X83:X86))</f>
        <v>0</v>
      </c>
      <c r="Z83">
        <f>SUM(T83:T86)/(SUM(T83:T86)+SUM(W83:W86))</f>
        <v>1</v>
      </c>
    </row>
    <row r="84" spans="17:31" x14ac:dyDescent="0.25">
      <c r="R84" s="1">
        <f>IF($Q$66&gt;$Q83,1,0)</f>
        <v>0</v>
      </c>
      <c r="S84">
        <f>$R$66</f>
        <v>0</v>
      </c>
      <c r="T84">
        <f t="shared" si="23"/>
        <v>0</v>
      </c>
      <c r="U84">
        <f t="shared" si="24"/>
        <v>0</v>
      </c>
      <c r="W84">
        <f t="shared" si="25"/>
        <v>0</v>
      </c>
      <c r="X84">
        <f t="shared" si="26"/>
        <v>1</v>
      </c>
      <c r="AB84" t="s">
        <v>261</v>
      </c>
      <c r="AC84" t="s">
        <v>262</v>
      </c>
      <c r="AD84" t="s">
        <v>263</v>
      </c>
      <c r="AE84" t="s">
        <v>264</v>
      </c>
    </row>
    <row r="85" spans="17:31" x14ac:dyDescent="0.25">
      <c r="R85" s="1">
        <f>IF($Q$67&gt;$Q83,1,0)</f>
        <v>1</v>
      </c>
      <c r="S85">
        <f>$R$67</f>
        <v>1</v>
      </c>
      <c r="T85">
        <f t="shared" si="23"/>
        <v>1</v>
      </c>
      <c r="U85">
        <f t="shared" si="24"/>
        <v>0</v>
      </c>
      <c r="W85">
        <f t="shared" si="25"/>
        <v>0</v>
      </c>
      <c r="X85">
        <f t="shared" si="26"/>
        <v>0</v>
      </c>
      <c r="AB85" s="2" t="s">
        <v>270</v>
      </c>
      <c r="AC85">
        <f t="shared" ref="AC85:AC88" si="30">ABS(AD72-AD71)</f>
        <v>0</v>
      </c>
      <c r="AD85">
        <f t="shared" ref="AD85:AD88" si="31">(AE71+AE72)/2</f>
        <v>1</v>
      </c>
      <c r="AE85">
        <f t="shared" ref="AE85:AE88" si="32">AC85*AD85</f>
        <v>0</v>
      </c>
    </row>
    <row r="86" spans="17:31" x14ac:dyDescent="0.25">
      <c r="R86" s="1">
        <f>IF($Q$68&gt;$Q83,1,0)</f>
        <v>0</v>
      </c>
      <c r="S86">
        <f>$R$68</f>
        <v>0</v>
      </c>
      <c r="T86">
        <f t="shared" si="23"/>
        <v>0</v>
      </c>
      <c r="U86">
        <f t="shared" si="24"/>
        <v>0</v>
      </c>
      <c r="W86">
        <f t="shared" si="25"/>
        <v>0</v>
      </c>
      <c r="X86">
        <f t="shared" si="26"/>
        <v>1</v>
      </c>
      <c r="AC86">
        <f t="shared" si="30"/>
        <v>0.5</v>
      </c>
      <c r="AD86">
        <f t="shared" si="31"/>
        <v>1</v>
      </c>
      <c r="AE86">
        <f t="shared" si="32"/>
        <v>0.5</v>
      </c>
    </row>
    <row r="87" spans="17:31" x14ac:dyDescent="0.25">
      <c r="Q87" s="1">
        <v>0</v>
      </c>
      <c r="R87" s="1">
        <f>IF($Q$65&gt;$Q87,1,0)</f>
        <v>1</v>
      </c>
      <c r="S87">
        <f>$R$65</f>
        <v>1</v>
      </c>
      <c r="T87">
        <f t="shared" si="23"/>
        <v>1</v>
      </c>
      <c r="U87">
        <f t="shared" si="24"/>
        <v>0</v>
      </c>
      <c r="V87">
        <f>SUM(T87:T90)/(SUM(T87:T90)+SUM(U87:U90))</f>
        <v>1</v>
      </c>
      <c r="W87">
        <f t="shared" si="25"/>
        <v>0</v>
      </c>
      <c r="X87">
        <f t="shared" si="26"/>
        <v>0</v>
      </c>
      <c r="Y87">
        <f>SUM(W87:W90)/(SUM(W87:W90)+SUM(X87:X90))</f>
        <v>1</v>
      </c>
      <c r="Z87">
        <f>SUM(T87:T90)/(SUM(T87:T90)+SUM(W87:W90))</f>
        <v>0.5</v>
      </c>
      <c r="AC87">
        <f t="shared" si="30"/>
        <v>0</v>
      </c>
      <c r="AD87">
        <f t="shared" si="31"/>
        <v>1</v>
      </c>
      <c r="AE87">
        <f t="shared" si="32"/>
        <v>0</v>
      </c>
    </row>
    <row r="88" spans="17:31" x14ac:dyDescent="0.25">
      <c r="R88" s="1">
        <f>IF($Q$66&gt;$Q87,1,0)</f>
        <v>1</v>
      </c>
      <c r="S88">
        <f>$R$66</f>
        <v>0</v>
      </c>
      <c r="T88">
        <f t="shared" si="23"/>
        <v>0</v>
      </c>
      <c r="U88">
        <f t="shared" si="24"/>
        <v>0</v>
      </c>
      <c r="W88">
        <f t="shared" si="25"/>
        <v>1</v>
      </c>
      <c r="X88">
        <f t="shared" si="26"/>
        <v>0</v>
      </c>
      <c r="AC88">
        <f t="shared" si="30"/>
        <v>0</v>
      </c>
      <c r="AD88">
        <f t="shared" si="31"/>
        <v>0.75</v>
      </c>
      <c r="AE88">
        <f t="shared" si="32"/>
        <v>0</v>
      </c>
    </row>
    <row r="89" spans="17:31" x14ac:dyDescent="0.25">
      <c r="R89" s="1">
        <f>IF($Q$67&gt;$Q87,1,0)</f>
        <v>1</v>
      </c>
      <c r="S89">
        <f>$R$67</f>
        <v>1</v>
      </c>
      <c r="T89">
        <f t="shared" si="23"/>
        <v>1</v>
      </c>
      <c r="U89">
        <f t="shared" si="24"/>
        <v>0</v>
      </c>
      <c r="W89">
        <f t="shared" si="25"/>
        <v>0</v>
      </c>
      <c r="X89">
        <f t="shared" si="26"/>
        <v>0</v>
      </c>
      <c r="AD89" s="70" t="s">
        <v>272</v>
      </c>
      <c r="AE89" s="71">
        <f>SUM(AE85:AE88)</f>
        <v>0.5</v>
      </c>
    </row>
    <row r="90" spans="17:31" x14ac:dyDescent="0.25">
      <c r="R90" s="1">
        <f>IF($Q$68&gt;$Q87,1,0)</f>
        <v>1</v>
      </c>
      <c r="S90">
        <f>$R$68</f>
        <v>0</v>
      </c>
      <c r="T90">
        <f t="shared" si="23"/>
        <v>0</v>
      </c>
      <c r="U90">
        <f t="shared" si="24"/>
        <v>0</v>
      </c>
      <c r="W90">
        <f t="shared" si="25"/>
        <v>1</v>
      </c>
      <c r="X90">
        <f t="shared" si="26"/>
        <v>0</v>
      </c>
      <c r="AB90" t="s">
        <v>273</v>
      </c>
    </row>
    <row r="92" spans="17:31" x14ac:dyDescent="0.25">
      <c r="AB92" t="s">
        <v>274</v>
      </c>
    </row>
    <row r="93" spans="17:31" ht="21" x14ac:dyDescent="0.35">
      <c r="AB93" s="72" t="s">
        <v>275</v>
      </c>
      <c r="AC93" s="73"/>
    </row>
    <row r="94" spans="17:31" ht="21" x14ac:dyDescent="0.35">
      <c r="AB94" s="74" t="s">
        <v>272</v>
      </c>
      <c r="AC94" s="75">
        <f>AVERAGE(AE29,AE59,AE89)</f>
        <v>0.54166666666666663</v>
      </c>
    </row>
    <row r="95" spans="17:31" ht="21" x14ac:dyDescent="0.35">
      <c r="AB95" s="76" t="s">
        <v>269</v>
      </c>
      <c r="AC95" s="77">
        <f>AVERAGE(AE22,AE52,AE82)</f>
        <v>0.94444444444444431</v>
      </c>
    </row>
  </sheetData>
  <mergeCells count="6">
    <mergeCell ref="B14:B16"/>
    <mergeCell ref="K22:K25"/>
    <mergeCell ref="M21:N21"/>
    <mergeCell ref="T2:Z3"/>
    <mergeCell ref="B10:B12"/>
    <mergeCell ref="B6:B8"/>
  </mergeCells>
  <pageMargins left="0.7" right="0.7" top="0.75" bottom="0.75" header="0.3" footer="0.3"/>
  <pageSetup paperSize="9" orientation="portrait" horizontalDpi="4294967293" verticalDpi="429496729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4"/>
  <sheetViews>
    <sheetView zoomScale="115" workbookViewId="0">
      <selection activeCell="I13" sqref="I13"/>
    </sheetView>
  </sheetViews>
  <sheetFormatPr defaultRowHeight="15" x14ac:dyDescent="0.25"/>
  <sheetData>
    <row r="2" spans="2:5" ht="21" x14ac:dyDescent="0.35">
      <c r="B2" s="78" t="s">
        <v>276</v>
      </c>
      <c r="C2" s="78"/>
      <c r="D2" s="78"/>
    </row>
    <row r="3" spans="2:5" ht="21" x14ac:dyDescent="0.35">
      <c r="C3" s="78" t="s">
        <v>277</v>
      </c>
      <c r="D3" s="78"/>
      <c r="E3" s="78"/>
    </row>
    <row r="4" spans="2:5" ht="21" x14ac:dyDescent="0.35">
      <c r="C4" s="78" t="s">
        <v>278</v>
      </c>
      <c r="D4" s="78"/>
      <c r="E4" s="79" t="s">
        <v>279</v>
      </c>
    </row>
    <row r="5" spans="2:5" ht="21" x14ac:dyDescent="0.35">
      <c r="C5" s="78" t="s">
        <v>280</v>
      </c>
      <c r="D5" s="78"/>
      <c r="E5" s="79" t="s">
        <v>281</v>
      </c>
    </row>
    <row r="6" spans="2:5" ht="21" x14ac:dyDescent="0.35">
      <c r="C6" s="78" t="s">
        <v>282</v>
      </c>
      <c r="D6" s="78"/>
      <c r="E6" s="79" t="s">
        <v>281</v>
      </c>
    </row>
    <row r="7" spans="2:5" ht="21" x14ac:dyDescent="0.35">
      <c r="C7" s="78" t="s">
        <v>283</v>
      </c>
      <c r="D7" s="78"/>
      <c r="E7" s="79" t="s">
        <v>281</v>
      </c>
    </row>
    <row r="8" spans="2:5" ht="21" x14ac:dyDescent="0.35">
      <c r="C8" s="78" t="s">
        <v>284</v>
      </c>
      <c r="D8" s="78"/>
      <c r="E8" s="79" t="s">
        <v>285</v>
      </c>
    </row>
    <row r="9" spans="2:5" ht="21" x14ac:dyDescent="0.35">
      <c r="C9" s="78"/>
      <c r="D9" s="78"/>
      <c r="E9" s="78"/>
    </row>
    <row r="10" spans="2:5" ht="21" x14ac:dyDescent="0.35">
      <c r="C10" s="78"/>
      <c r="D10" s="78"/>
      <c r="E10" s="78"/>
    </row>
    <row r="11" spans="2:5" ht="21" x14ac:dyDescent="0.35">
      <c r="B11" s="78" t="s">
        <v>286</v>
      </c>
      <c r="D11" s="78"/>
      <c r="E11" s="78"/>
    </row>
    <row r="12" spans="2:5" ht="21" x14ac:dyDescent="0.35">
      <c r="C12" s="78" t="s">
        <v>287</v>
      </c>
      <c r="D12" s="78"/>
      <c r="E12" s="78"/>
    </row>
    <row r="13" spans="2:5" ht="21" x14ac:dyDescent="0.35">
      <c r="C13" s="78" t="s">
        <v>86</v>
      </c>
      <c r="D13" s="78"/>
      <c r="E13" s="78"/>
    </row>
    <row r="14" spans="2:5" ht="21" x14ac:dyDescent="0.35">
      <c r="C14" s="78" t="s">
        <v>288</v>
      </c>
      <c r="D14" s="78"/>
      <c r="E14" s="78"/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W16"/>
  <sheetViews>
    <sheetView zoomScale="145" workbookViewId="0">
      <selection activeCell="V10" sqref="V10"/>
    </sheetView>
  </sheetViews>
  <sheetFormatPr defaultRowHeight="15" x14ac:dyDescent="0.25"/>
  <cols>
    <col min="2" max="4" width="3.5703125" customWidth="1"/>
    <col min="5" max="5" width="3.42578125" customWidth="1"/>
    <col min="6" max="11" width="3.5703125" customWidth="1"/>
    <col min="12" max="12" width="10.42578125" customWidth="1"/>
    <col min="13" max="44" width="3.5703125" customWidth="1"/>
  </cols>
  <sheetData>
    <row r="2" spans="3:23" x14ac:dyDescent="0.25">
      <c r="C2" s="80"/>
      <c r="D2" s="80"/>
      <c r="M2">
        <v>1</v>
      </c>
      <c r="N2">
        <v>2</v>
      </c>
      <c r="O2">
        <v>3</v>
      </c>
      <c r="Q2">
        <v>0</v>
      </c>
      <c r="R2">
        <v>0</v>
      </c>
      <c r="S2">
        <v>1</v>
      </c>
      <c r="U2" cm="1">
        <f t="array" ref="U2:W4">MMULT(M2:O4,Q2:S4)</f>
        <v>3</v>
      </c>
      <c r="V2">
        <v>2</v>
      </c>
      <c r="W2">
        <v>1</v>
      </c>
    </row>
    <row r="3" spans="3:23" x14ac:dyDescent="0.25">
      <c r="C3" s="81"/>
      <c r="D3" s="81"/>
      <c r="M3">
        <v>4</v>
      </c>
      <c r="N3">
        <v>5</v>
      </c>
      <c r="O3">
        <v>6</v>
      </c>
      <c r="Q3">
        <v>0</v>
      </c>
      <c r="R3">
        <v>1</v>
      </c>
      <c r="S3">
        <v>0</v>
      </c>
      <c r="U3">
        <v>6</v>
      </c>
      <c r="V3">
        <v>5</v>
      </c>
      <c r="W3">
        <v>4</v>
      </c>
    </row>
    <row r="4" spans="3:23" x14ac:dyDescent="0.25">
      <c r="C4" s="81"/>
      <c r="D4" s="81"/>
      <c r="M4">
        <v>7</v>
      </c>
      <c r="N4">
        <v>8</v>
      </c>
      <c r="O4">
        <v>9</v>
      </c>
      <c r="Q4">
        <v>1</v>
      </c>
      <c r="R4">
        <v>0</v>
      </c>
      <c r="S4">
        <v>0</v>
      </c>
      <c r="U4">
        <v>9</v>
      </c>
      <c r="V4">
        <v>8</v>
      </c>
      <c r="W4">
        <v>7</v>
      </c>
    </row>
    <row r="5" spans="3:23" x14ac:dyDescent="0.25">
      <c r="C5" s="81"/>
      <c r="D5" s="81"/>
    </row>
    <row r="6" spans="3:23" x14ac:dyDescent="0.25">
      <c r="C6" s="81"/>
      <c r="D6" s="81"/>
      <c r="U6" cm="1">
        <f t="array" ref="U6:W8">MMULT(Q2:S4,_xlfn.ANCHORARRAY(U2))</f>
        <v>9</v>
      </c>
      <c r="V6">
        <v>8</v>
      </c>
      <c r="W6">
        <v>7</v>
      </c>
    </row>
    <row r="7" spans="3:23" x14ac:dyDescent="0.25">
      <c r="C7" s="81"/>
      <c r="D7" s="81"/>
      <c r="U7">
        <v>6</v>
      </c>
      <c r="V7">
        <v>5</v>
      </c>
      <c r="W7">
        <v>4</v>
      </c>
    </row>
    <row r="8" spans="3:23" x14ac:dyDescent="0.25">
      <c r="C8" s="81"/>
      <c r="D8" s="81"/>
      <c r="U8">
        <v>3</v>
      </c>
      <c r="V8">
        <v>2</v>
      </c>
      <c r="W8">
        <v>1</v>
      </c>
    </row>
    <row r="9" spans="3:23" x14ac:dyDescent="0.25">
      <c r="C9" s="80"/>
      <c r="D9" s="80"/>
    </row>
    <row r="10" spans="3:23" x14ac:dyDescent="0.25">
      <c r="M10">
        <v>1</v>
      </c>
      <c r="N10">
        <v>2</v>
      </c>
      <c r="P10">
        <v>0</v>
      </c>
      <c r="Q10">
        <v>1</v>
      </c>
      <c r="U10" cm="1">
        <f t="array" ref="U10:V12">MMULT(M10:N12,P10:Q11)</f>
        <v>2</v>
      </c>
      <c r="V10">
        <v>1</v>
      </c>
    </row>
    <row r="11" spans="3:23" x14ac:dyDescent="0.25">
      <c r="M11">
        <v>3</v>
      </c>
      <c r="N11">
        <v>4</v>
      </c>
      <c r="P11">
        <v>1</v>
      </c>
      <c r="Q11">
        <v>0</v>
      </c>
      <c r="U11">
        <v>4</v>
      </c>
      <c r="V11">
        <v>3</v>
      </c>
    </row>
    <row r="12" spans="3:23" x14ac:dyDescent="0.25">
      <c r="M12">
        <v>5</v>
      </c>
      <c r="N12">
        <v>6</v>
      </c>
      <c r="U12">
        <v>6</v>
      </c>
      <c r="V12">
        <v>5</v>
      </c>
    </row>
    <row r="14" spans="3:23" x14ac:dyDescent="0.25">
      <c r="P14">
        <v>0</v>
      </c>
      <c r="Q14">
        <v>0</v>
      </c>
      <c r="R14">
        <v>1</v>
      </c>
      <c r="U14" cm="1">
        <f t="array" ref="U14:V16">MMULT(P14:R16,_xlfn.ANCHORARRAY(U10))</f>
        <v>6</v>
      </c>
      <c r="V14">
        <v>5</v>
      </c>
    </row>
    <row r="15" spans="3:23" x14ac:dyDescent="0.25">
      <c r="P15">
        <v>0</v>
      </c>
      <c r="Q15">
        <v>1</v>
      </c>
      <c r="R15">
        <v>0</v>
      </c>
      <c r="U15">
        <v>4</v>
      </c>
      <c r="V15">
        <v>3</v>
      </c>
    </row>
    <row r="16" spans="3:23" x14ac:dyDescent="0.25">
      <c r="P16">
        <v>1</v>
      </c>
      <c r="Q16">
        <v>0</v>
      </c>
      <c r="R16">
        <v>0</v>
      </c>
      <c r="U16">
        <v>2</v>
      </c>
      <c r="V16">
        <v>1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Z54"/>
  <sheetViews>
    <sheetView zoomScale="130" workbookViewId="0">
      <selection activeCell="J17" sqref="J17"/>
    </sheetView>
  </sheetViews>
  <sheetFormatPr defaultRowHeight="15" x14ac:dyDescent="0.25"/>
  <cols>
    <col min="1" max="1" width="1.42578125" customWidth="1"/>
    <col min="2" max="2" width="4.5703125" customWidth="1"/>
    <col min="3" max="6" width="12" customWidth="1"/>
    <col min="7" max="7" width="1.42578125" customWidth="1"/>
    <col min="8" max="13" width="12" customWidth="1"/>
    <col min="14" max="14" width="1.42578125" customWidth="1"/>
    <col min="15" max="26" width="5.7109375" customWidth="1"/>
  </cols>
  <sheetData>
    <row r="2" spans="2:26" x14ac:dyDescent="0.25">
      <c r="C2" t="s">
        <v>289</v>
      </c>
      <c r="H2" t="s">
        <v>290</v>
      </c>
      <c r="O2" s="83" t="s">
        <v>291</v>
      </c>
      <c r="P2" s="83"/>
      <c r="Q2" s="83" t="s">
        <v>292</v>
      </c>
      <c r="R2" s="83"/>
      <c r="S2" s="83" t="s">
        <v>293</v>
      </c>
      <c r="T2" s="83"/>
      <c r="U2" s="83" t="s">
        <v>294</v>
      </c>
      <c r="V2" s="83"/>
      <c r="W2" s="83" t="s">
        <v>295</v>
      </c>
      <c r="X2" s="83"/>
      <c r="Y2" s="83" t="s">
        <v>296</v>
      </c>
      <c r="Z2" s="83"/>
    </row>
    <row r="3" spans="2:26" x14ac:dyDescent="0.25">
      <c r="B3" t="s">
        <v>297</v>
      </c>
      <c r="C3" s="82">
        <v>0.366586962811078</v>
      </c>
      <c r="D3" s="82">
        <v>0.80304603850244616</v>
      </c>
      <c r="H3" cm="1">
        <f t="array" ref="H3:M4">TRANSPOSE(C3:D8)</f>
        <v>0.366586962811078</v>
      </c>
      <c r="I3">
        <v>5.6083031283100215E-2</v>
      </c>
      <c r="J3">
        <v>0.51948390312079595</v>
      </c>
      <c r="K3">
        <v>0.52495868577855997</v>
      </c>
      <c r="L3">
        <v>0.82312108528876915</v>
      </c>
      <c r="M3">
        <v>6.0204999742272558E-2</v>
      </c>
      <c r="O3" s="82">
        <v>0.9193892510480719</v>
      </c>
      <c r="P3" s="82">
        <v>0.35748573371324766</v>
      </c>
      <c r="Q3" s="82">
        <v>0.56229584590520698</v>
      </c>
      <c r="R3" s="82">
        <v>0.71917672159872481</v>
      </c>
      <c r="S3" s="82">
        <v>0.67047030139337271</v>
      </c>
      <c r="T3" s="82">
        <v>0.51061699565780228</v>
      </c>
      <c r="U3" s="82">
        <v>0.1369282817771893</v>
      </c>
      <c r="V3" s="82">
        <v>0.95281412552356037</v>
      </c>
      <c r="W3" s="82">
        <v>0.95806754633264402</v>
      </c>
      <c r="X3" s="82">
        <v>0.9444773670198392</v>
      </c>
      <c r="Y3" s="82">
        <v>0.93497474057032748</v>
      </c>
      <c r="Z3" s="82">
        <v>0.51061699565780228</v>
      </c>
    </row>
    <row r="4" spans="2:26" x14ac:dyDescent="0.25">
      <c r="B4" t="s">
        <v>298</v>
      </c>
      <c r="C4" s="82">
        <v>5.6083031283100215E-2</v>
      </c>
      <c r="D4" s="82">
        <v>9.8064151279440459E-2</v>
      </c>
      <c r="H4">
        <v>0.80304603850244616</v>
      </c>
      <c r="I4">
        <v>9.8064151279440459E-2</v>
      </c>
      <c r="J4">
        <v>0.50222489468694942</v>
      </c>
      <c r="K4">
        <v>0.62184138330161254</v>
      </c>
      <c r="L4">
        <v>0.68277585756872528</v>
      </c>
      <c r="M4">
        <v>0.62560616185457552</v>
      </c>
      <c r="O4" s="82">
        <v>0.11995844971184622</v>
      </c>
      <c r="P4" s="82">
        <v>0.92864036856060472</v>
      </c>
      <c r="Q4" s="82">
        <v>0.45116650357532539</v>
      </c>
      <c r="R4" s="82">
        <v>0.39489552225739799</v>
      </c>
      <c r="S4" s="82">
        <v>0.3895510568948094</v>
      </c>
      <c r="T4" s="82">
        <v>0.30089049095355536</v>
      </c>
      <c r="U4" s="82">
        <v>0.82196785755225854</v>
      </c>
      <c r="V4" s="82">
        <v>0.75416976908126088</v>
      </c>
      <c r="W4" s="82">
        <v>0.4731629249757161</v>
      </c>
      <c r="X4" s="82">
        <v>0.6984653276826972</v>
      </c>
      <c r="Y4" s="82">
        <v>0.69447529933220309</v>
      </c>
      <c r="Z4" s="82">
        <v>0.30089049095355536</v>
      </c>
    </row>
    <row r="5" spans="2:26" x14ac:dyDescent="0.25">
      <c r="B5" t="s">
        <v>299</v>
      </c>
      <c r="C5" s="82">
        <v>0.51948390312079595</v>
      </c>
      <c r="D5" s="82">
        <v>0.50222489468694942</v>
      </c>
      <c r="H5" t="str" cm="1">
        <f t="array" ref="H5:M5">TRANSPOSE(B3:B8)</f>
        <v>X_1</v>
      </c>
      <c r="I5" t="str">
        <v>X_2</v>
      </c>
      <c r="J5" t="str">
        <v>X_3</v>
      </c>
      <c r="K5" t="str">
        <v>X_4</v>
      </c>
      <c r="L5" t="str">
        <v>X_5</v>
      </c>
      <c r="M5" t="str">
        <v>X_6</v>
      </c>
    </row>
    <row r="6" spans="2:26" x14ac:dyDescent="0.25">
      <c r="B6" t="s">
        <v>300</v>
      </c>
      <c r="C6" s="82">
        <v>0.52495868577855997</v>
      </c>
      <c r="D6" s="82">
        <v>0.62184138330161254</v>
      </c>
      <c r="O6" s="83" t="s">
        <v>301</v>
      </c>
      <c r="P6" s="83"/>
      <c r="S6" s="83" t="s">
        <v>302</v>
      </c>
      <c r="T6" s="83"/>
    </row>
    <row r="7" spans="2:26" x14ac:dyDescent="0.25">
      <c r="B7" t="s">
        <v>303</v>
      </c>
      <c r="C7" s="82">
        <v>0.82312108528876915</v>
      </c>
      <c r="D7" s="82">
        <v>0.68277585756872528</v>
      </c>
      <c r="O7" s="82">
        <v>0.86561985032089839</v>
      </c>
      <c r="P7" s="82">
        <v>0.32985384728514733</v>
      </c>
      <c r="R7" t="s">
        <v>304</v>
      </c>
      <c r="S7" cm="1">
        <f t="array" ref="S7:T8">TRANSPOSE(O7:P8)</f>
        <v>0.86561985032089839</v>
      </c>
      <c r="T7" s="82">
        <v>0.60288218050147402</v>
      </c>
    </row>
    <row r="8" spans="2:26" x14ac:dyDescent="0.25">
      <c r="B8" t="s">
        <v>305</v>
      </c>
      <c r="C8" s="82">
        <v>6.0204999742272558E-2</v>
      </c>
      <c r="D8" s="82">
        <v>0.62560616185457552</v>
      </c>
      <c r="O8" s="82">
        <v>0.60288218050147402</v>
      </c>
      <c r="P8" s="82">
        <v>3.353831251399042E-2</v>
      </c>
      <c r="R8" t="s">
        <v>306</v>
      </c>
      <c r="S8" s="82">
        <v>0.32985384728514733</v>
      </c>
      <c r="T8">
        <v>3.353831251399042E-2</v>
      </c>
    </row>
    <row r="9" spans="2:26" x14ac:dyDescent="0.25">
      <c r="O9" t="s">
        <v>307</v>
      </c>
      <c r="P9" t="s">
        <v>308</v>
      </c>
    </row>
    <row r="10" spans="2:26" x14ac:dyDescent="0.25">
      <c r="C10" t="s">
        <v>309</v>
      </c>
      <c r="H10" t="s">
        <v>310</v>
      </c>
    </row>
    <row r="11" spans="2:26" x14ac:dyDescent="0.25">
      <c r="C11" t="s">
        <v>311</v>
      </c>
      <c r="D11" t="s">
        <v>312</v>
      </c>
    </row>
    <row r="12" spans="2:26" x14ac:dyDescent="0.25">
      <c r="C12" t="s">
        <v>313</v>
      </c>
      <c r="D12" t="s">
        <v>314</v>
      </c>
      <c r="E12" t="s">
        <v>239</v>
      </c>
    </row>
    <row r="13" spans="2:26" x14ac:dyDescent="0.25">
      <c r="C13" cm="1">
        <f t="array" ref="C13:C14">MMULT(O$3:P$4,H$3:H$4)</f>
        <v>0.62411361546242827</v>
      </c>
      <c r="D13" cm="1">
        <f t="array" ref="D13:D14">MMULT($U$3:$V$4,$O$7:$O$8)</f>
        <v>0.69296249638491769</v>
      </c>
      <c r="E13">
        <f t="shared" ref="E13:E19" si="0">SUM(C13:D13)</f>
        <v>1.317076111847346</v>
      </c>
    </row>
    <row r="14" spans="2:26" x14ac:dyDescent="0.25">
      <c r="C14">
        <v>0.7897161729094363</v>
      </c>
      <c r="D14">
        <v>1.1661872086749792</v>
      </c>
      <c r="E14">
        <f t="shared" si="0"/>
        <v>1.9559033815844153</v>
      </c>
    </row>
    <row r="16" spans="2:26" x14ac:dyDescent="0.25">
      <c r="C16" t="s">
        <v>315</v>
      </c>
    </row>
    <row r="17" spans="3:6" x14ac:dyDescent="0.25">
      <c r="C17" t="s">
        <v>316</v>
      </c>
      <c r="D17" t="s">
        <v>317</v>
      </c>
      <c r="E17" t="s">
        <v>239</v>
      </c>
    </row>
    <row r="18" spans="3:6" x14ac:dyDescent="0.25">
      <c r="C18" cm="1">
        <f t="array" ref="C18:C19">MMULT($Q$3:$R$4,$H$3:$H$4)</f>
        <v>0.78366234361470832</v>
      </c>
      <c r="D18" cm="1">
        <f t="array" ref="D18:D19">MMULT($W$3:$X$4,$O$7:$O$8)</f>
        <v>1.3987308605169853</v>
      </c>
      <c r="E18">
        <f t="shared" si="0"/>
        <v>2.1823932041316936</v>
      </c>
    </row>
    <row r="19" spans="3:6" x14ac:dyDescent="0.25">
      <c r="C19">
        <v>0.48251104303892989</v>
      </c>
      <c r="D19">
        <v>0.8306715200528989</v>
      </c>
      <c r="E19">
        <f t="shared" si="0"/>
        <v>1.3131825630918288</v>
      </c>
    </row>
    <row r="21" spans="3:6" x14ac:dyDescent="0.25">
      <c r="C21" t="s">
        <v>318</v>
      </c>
    </row>
    <row r="22" spans="3:6" x14ac:dyDescent="0.25">
      <c r="C22" t="s">
        <v>319</v>
      </c>
      <c r="D22" t="s">
        <v>320</v>
      </c>
      <c r="E22" t="s">
        <v>321</v>
      </c>
      <c r="F22" t="s">
        <v>239</v>
      </c>
    </row>
    <row r="23" spans="3:6" x14ac:dyDescent="0.25">
      <c r="C23" cm="1">
        <f t="array" ref="C23:C24">MMULT($S$3:$T$4,$H$3:$H$4)</f>
        <v>0.65583462699784345</v>
      </c>
      <c r="D23">
        <f>$E13*$O$7</f>
        <v>1.1400872267985305</v>
      </c>
      <c r="E23" cm="1">
        <f t="array" ref="E23:E24">MMULT($Y$3:$Z$4,$D$23:$D$24)</f>
        <v>1.6680617483339262</v>
      </c>
      <c r="F23">
        <f t="shared" ref="F23:F24" si="1">SUM(C23,E23)</f>
        <v>2.3238963753317696</v>
      </c>
    </row>
    <row r="24" spans="3:6" x14ac:dyDescent="0.25">
      <c r="C24">
        <v>0.38443325559022234</v>
      </c>
      <c r="D24">
        <f>$E14*$O$8</f>
        <v>1.1791792955398188</v>
      </c>
      <c r="E24">
        <v>1.1465662552529743</v>
      </c>
      <c r="F24">
        <f t="shared" si="1"/>
        <v>1.5309995108431966</v>
      </c>
    </row>
    <row r="25" spans="3:6" x14ac:dyDescent="0.25">
      <c r="D25" t="s">
        <v>322</v>
      </c>
    </row>
    <row r="27" spans="3:6" x14ac:dyDescent="0.25">
      <c r="C27" t="s">
        <v>323</v>
      </c>
    </row>
    <row r="28" spans="3:6" x14ac:dyDescent="0.25">
      <c r="C28" t="s">
        <v>324</v>
      </c>
      <c r="D28" t="s">
        <v>325</v>
      </c>
      <c r="E28" t="s">
        <v>326</v>
      </c>
      <c r="F28" t="s">
        <v>239</v>
      </c>
    </row>
    <row r="29" spans="3:6" x14ac:dyDescent="0.25">
      <c r="C29" cm="1">
        <f t="array" ref="C29:C30">1-$E18:$E19</f>
        <v>-1.1823932041316936</v>
      </c>
      <c r="D29">
        <f t="shared" ref="D29:D30" si="2">$C29*$F23</f>
        <v>-2.7477592812985598</v>
      </c>
      <c r="E29">
        <f t="shared" ref="E29:E30" si="3">$E18*$O7</f>
        <v>1.8891228787018224</v>
      </c>
      <c r="F29">
        <f t="shared" ref="F29:F30" si="4">SUM(D29:E29)</f>
        <v>-0.85863640259673746</v>
      </c>
    </row>
    <row r="30" spans="3:6" x14ac:dyDescent="0.25">
      <c r="C30">
        <v>-0.31318256309182879</v>
      </c>
      <c r="D30">
        <f t="shared" si="2"/>
        <v>-0.47948235089820845</v>
      </c>
      <c r="E30">
        <f t="shared" si="3"/>
        <v>0.79169436703331619</v>
      </c>
      <c r="F30">
        <f t="shared" si="4"/>
        <v>0.31221201613510774</v>
      </c>
    </row>
    <row r="31" spans="3:6" x14ac:dyDescent="0.25">
      <c r="D31" t="s">
        <v>322</v>
      </c>
      <c r="E31" t="s">
        <v>322</v>
      </c>
      <c r="F31" t="s">
        <v>307</v>
      </c>
    </row>
    <row r="34" spans="3:6" x14ac:dyDescent="0.25">
      <c r="C34" t="s">
        <v>311</v>
      </c>
      <c r="D34" t="s">
        <v>327</v>
      </c>
    </row>
    <row r="35" spans="3:6" x14ac:dyDescent="0.25">
      <c r="C35" t="s">
        <v>313</v>
      </c>
      <c r="D35" t="s">
        <v>314</v>
      </c>
      <c r="E35" t="s">
        <v>239</v>
      </c>
    </row>
    <row r="36" spans="3:6" x14ac:dyDescent="0.25">
      <c r="C36" cm="1">
        <f t="array" ref="C36:C37">MMULT(O$3:P$4,H$3:H$4)</f>
        <v>0.62411361546242827</v>
      </c>
      <c r="D36" cm="1">
        <f t="array" ref="D36:D37">MMULT($U$3:$V$4,$P$7:$P$8)</f>
        <v>7.7122098455904287E-2</v>
      </c>
      <c r="E36">
        <f t="shared" ref="E36:E42" si="5">SUM(C36:D36)</f>
        <v>0.7012357139183325</v>
      </c>
    </row>
    <row r="37" spans="3:6" x14ac:dyDescent="0.25">
      <c r="C37">
        <v>0.7897161729094363</v>
      </c>
      <c r="D37">
        <v>0.29642284156239374</v>
      </c>
      <c r="E37">
        <f t="shared" si="5"/>
        <v>1.0861390144718301</v>
      </c>
    </row>
    <row r="39" spans="3:6" x14ac:dyDescent="0.25">
      <c r="C39" t="s">
        <v>315</v>
      </c>
    </row>
    <row r="40" spans="3:6" x14ac:dyDescent="0.25">
      <c r="C40" t="s">
        <v>316</v>
      </c>
      <c r="D40" t="s">
        <v>317</v>
      </c>
      <c r="E40" t="s">
        <v>239</v>
      </c>
    </row>
    <row r="41" spans="3:6" x14ac:dyDescent="0.25">
      <c r="C41" cm="1">
        <f t="array" ref="C41:C42">MMULT($Q$3:$R$4,$H$3:$H$4)</f>
        <v>0.78366234361470832</v>
      </c>
      <c r="D41" cm="1">
        <f t="array" ref="D41:D42">MMULT($W$3:$X$4,$P$7:$P$8)</f>
        <v>0.34769844321436599</v>
      </c>
      <c r="E41">
        <f t="shared" si="5"/>
        <v>1.1313607868290743</v>
      </c>
    </row>
    <row r="42" spans="3:6" x14ac:dyDescent="0.25">
      <c r="C42">
        <v>0.48251104303892989</v>
      </c>
      <c r="D42">
        <v>0.17949995963594251</v>
      </c>
      <c r="E42">
        <f t="shared" si="5"/>
        <v>0.66201100267487245</v>
      </c>
    </row>
    <row r="44" spans="3:6" x14ac:dyDescent="0.25">
      <c r="C44" t="s">
        <v>318</v>
      </c>
    </row>
    <row r="45" spans="3:6" x14ac:dyDescent="0.25">
      <c r="C45" t="s">
        <v>319</v>
      </c>
      <c r="D45" t="s">
        <v>320</v>
      </c>
      <c r="E45" t="s">
        <v>321</v>
      </c>
      <c r="F45" t="s">
        <v>239</v>
      </c>
    </row>
    <row r="46" spans="3:6" x14ac:dyDescent="0.25">
      <c r="C46" cm="1">
        <f t="array" ref="C46:C47">MMULT($S$3:$T$4,$H$3:$H$4)</f>
        <v>0.65583462699784345</v>
      </c>
      <c r="D46">
        <f>$E36*$P$7</f>
        <v>0.2313052980897089</v>
      </c>
      <c r="E46" cm="1">
        <f t="array" ref="E46:E47">MMULT($Y$3:$Z$4,$D$46:$D$47)</f>
        <v>0.23486499408870581</v>
      </c>
      <c r="F46">
        <f t="shared" ref="F46:F47" si="6">SUM(C46,E46)</f>
        <v>0.89069962108654921</v>
      </c>
    </row>
    <row r="47" spans="3:6" x14ac:dyDescent="0.25">
      <c r="C47">
        <v>0.38443325559022234</v>
      </c>
      <c r="D47">
        <f>$E37*$P$8</f>
        <v>3.6427269700993803E-2</v>
      </c>
      <c r="E47">
        <v>0.17159643519240467</v>
      </c>
      <c r="F47">
        <f t="shared" si="6"/>
        <v>0.55602969078262698</v>
      </c>
    </row>
    <row r="48" spans="3:6" x14ac:dyDescent="0.25">
      <c r="D48" t="s">
        <v>322</v>
      </c>
    </row>
    <row r="50" spans="3:6" x14ac:dyDescent="0.25">
      <c r="C50" t="s">
        <v>323</v>
      </c>
    </row>
    <row r="51" spans="3:6" x14ac:dyDescent="0.25">
      <c r="C51" t="s">
        <v>324</v>
      </c>
      <c r="D51" t="s">
        <v>325</v>
      </c>
      <c r="E51" t="s">
        <v>326</v>
      </c>
      <c r="F51" t="s">
        <v>239</v>
      </c>
    </row>
    <row r="52" spans="3:6" x14ac:dyDescent="0.25">
      <c r="C52" cm="1">
        <f t="array" ref="C52:C53">1-$E41:$E42</f>
        <v>-0.13136078682907426</v>
      </c>
      <c r="D52">
        <f t="shared" ref="D52:D53" si="7">$C52*$F46</f>
        <v>-0.1170030030542874</v>
      </c>
      <c r="E52">
        <f>$E41*$P$7</f>
        <v>0.37318370820312158</v>
      </c>
      <c r="F52">
        <f t="shared" ref="F52:F53" si="8">SUM(D52:E52)</f>
        <v>0.25618070514883418</v>
      </c>
    </row>
    <row r="53" spans="3:6" x14ac:dyDescent="0.25">
      <c r="C53">
        <v>0.33798899732512755</v>
      </c>
      <c r="D53">
        <f t="shared" si="7"/>
        <v>0.18793191767062081</v>
      </c>
      <c r="E53">
        <f>$E42*$P$8</f>
        <v>2.220273189541002E-2</v>
      </c>
      <c r="F53">
        <f t="shared" si="8"/>
        <v>0.21013464956603084</v>
      </c>
    </row>
    <row r="54" spans="3:6" x14ac:dyDescent="0.25">
      <c r="D54" t="s">
        <v>322</v>
      </c>
      <c r="E54" t="s">
        <v>322</v>
      </c>
      <c r="F54" t="s">
        <v>308</v>
      </c>
    </row>
  </sheetData>
  <mergeCells count="8">
    <mergeCell ref="O6:P6"/>
    <mergeCell ref="S6:T6"/>
    <mergeCell ref="Y2:Z2"/>
    <mergeCell ref="W2:X2"/>
    <mergeCell ref="U2:V2"/>
    <mergeCell ref="S2:T2"/>
    <mergeCell ref="Q2:R2"/>
    <mergeCell ref="O2:P2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Z3"/>
  <sheetViews>
    <sheetView zoomScale="115" workbookViewId="0">
      <selection activeCell="C6" sqref="C6"/>
    </sheetView>
  </sheetViews>
  <sheetFormatPr defaultRowHeight="15" x14ac:dyDescent="0.25"/>
  <cols>
    <col min="1" max="1" width="3" customWidth="1"/>
    <col min="3" max="26" width="8" customWidth="1"/>
  </cols>
  <sheetData>
    <row r="2" spans="2:26" x14ac:dyDescent="0.25">
      <c r="B2" t="s">
        <v>277</v>
      </c>
      <c r="C2">
        <f ca="1">RAND()</f>
        <v>0.67813416415346117</v>
      </c>
      <c r="D2">
        <f t="shared" ref="D2:Z2" ca="1" si="0">RAND()</f>
        <v>0.35754394702222203</v>
      </c>
      <c r="E2">
        <f t="shared" ca="1" si="0"/>
        <v>0.39269569369456536</v>
      </c>
      <c r="F2">
        <f t="shared" ca="1" si="0"/>
        <v>0.66205637146823793</v>
      </c>
      <c r="G2">
        <f t="shared" ca="1" si="0"/>
        <v>0.92305280301092696</v>
      </c>
      <c r="H2">
        <f t="shared" ca="1" si="0"/>
        <v>0.42754902315680066</v>
      </c>
      <c r="I2">
        <f t="shared" ca="1" si="0"/>
        <v>0.95685924692438962</v>
      </c>
      <c r="J2">
        <f t="shared" ca="1" si="0"/>
        <v>0.98811830576198301</v>
      </c>
      <c r="K2">
        <f t="shared" ca="1" si="0"/>
        <v>0.80352740639528952</v>
      </c>
      <c r="L2">
        <f t="shared" ca="1" si="0"/>
        <v>0.26466822798634482</v>
      </c>
      <c r="M2">
        <f t="shared" ca="1" si="0"/>
        <v>3.5385036449085971E-3</v>
      </c>
      <c r="N2">
        <f t="shared" ca="1" si="0"/>
        <v>0.94761319105566011</v>
      </c>
      <c r="O2">
        <f t="shared" ca="1" si="0"/>
        <v>0.22630711774399848</v>
      </c>
      <c r="P2">
        <f t="shared" ca="1" si="0"/>
        <v>0.52802239406120766</v>
      </c>
      <c r="Q2">
        <f t="shared" ca="1" si="0"/>
        <v>0.28026120635743224</v>
      </c>
      <c r="R2">
        <f t="shared" ca="1" si="0"/>
        <v>0.40840244233230283</v>
      </c>
      <c r="S2">
        <f t="shared" ca="1" si="0"/>
        <v>0.15729790673090915</v>
      </c>
      <c r="T2">
        <f t="shared" ca="1" si="0"/>
        <v>0.84403231633087328</v>
      </c>
      <c r="U2">
        <f t="shared" ca="1" si="0"/>
        <v>0.5872845424917329</v>
      </c>
      <c r="V2">
        <f t="shared" ca="1" si="0"/>
        <v>0.52214170139185156</v>
      </c>
      <c r="W2">
        <f t="shared" ca="1" si="0"/>
        <v>0.92139751237784806</v>
      </c>
      <c r="X2">
        <f t="shared" ca="1" si="0"/>
        <v>0.48331116303006738</v>
      </c>
      <c r="Y2">
        <f t="shared" ca="1" si="0"/>
        <v>0.81021672221772101</v>
      </c>
      <c r="Z2">
        <f t="shared" ca="1" si="0"/>
        <v>0.75861366811009434</v>
      </c>
    </row>
    <row r="3" spans="2:26" x14ac:dyDescent="0.25">
      <c r="B3" t="s">
        <v>328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23"/>
  <sheetViews>
    <sheetView workbookViewId="0">
      <selection activeCell="M28" sqref="M28"/>
    </sheetView>
  </sheetViews>
  <sheetFormatPr defaultRowHeight="15" x14ac:dyDescent="0.25"/>
  <sheetData>
    <row r="2" spans="2:12" x14ac:dyDescent="0.25">
      <c r="B2" t="s">
        <v>171</v>
      </c>
      <c r="C2">
        <f>COUNT(C3:BU4)</f>
        <v>20</v>
      </c>
    </row>
    <row r="3" spans="2:12" x14ac:dyDescent="0.25">
      <c r="B3" t="s">
        <v>329</v>
      </c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</row>
    <row r="4" spans="2:12" x14ac:dyDescent="0.25">
      <c r="B4" t="s">
        <v>330</v>
      </c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</row>
    <row r="6" spans="2:12" x14ac:dyDescent="0.25">
      <c r="C6" t="s">
        <v>192</v>
      </c>
    </row>
    <row r="7" spans="2:12" x14ac:dyDescent="0.25">
      <c r="B7" t="s">
        <v>331</v>
      </c>
      <c r="C7" t="s">
        <v>332</v>
      </c>
      <c r="D7" t="s">
        <v>333</v>
      </c>
      <c r="E7" t="s">
        <v>332</v>
      </c>
      <c r="F7" t="s">
        <v>333</v>
      </c>
      <c r="G7" t="s">
        <v>334</v>
      </c>
    </row>
    <row r="8" spans="2:12" x14ac:dyDescent="0.25">
      <c r="B8">
        <v>0</v>
      </c>
      <c r="C8">
        <f t="shared" ref="C8:C23" si="0">SIN($B8/POWER(10000,(2*$C$3/$C$2)))</f>
        <v>0</v>
      </c>
      <c r="D8">
        <f t="shared" ref="D8:D23" si="1">COS($B8/POWER(10000,(2*$C$4/$C$2)))</f>
        <v>1</v>
      </c>
      <c r="E8">
        <f t="shared" ref="E8:E23" si="2">SIN($B8/POWER(10000,(2*$D$3/$C$2)))</f>
        <v>0</v>
      </c>
      <c r="F8">
        <f t="shared" ref="F8:F23" si="3">COS($B8/POWER(10000,(2*$D$4/$C$2)))</f>
        <v>1</v>
      </c>
      <c r="G8">
        <f t="shared" ref="G8:G23" si="4">SIN($B8/POWER(10000,(2*$E$3/$C$2)))</f>
        <v>0</v>
      </c>
      <c r="H8">
        <f t="shared" ref="H8:H23" si="5">COS($B8/POWER(10000,(2*$E$4/$C$2)))</f>
        <v>1</v>
      </c>
      <c r="I8">
        <f t="shared" ref="I8:I23" si="6">SIN($B8/POWER(10000,(2*$F$3/$C$2)))</f>
        <v>0</v>
      </c>
      <c r="J8">
        <f t="shared" ref="J8:J23" si="7">COS($B8/POWER(10000,(2*$F$4/$C$2)))</f>
        <v>1</v>
      </c>
    </row>
    <row r="9" spans="2:12" x14ac:dyDescent="0.25">
      <c r="B9">
        <v>1</v>
      </c>
      <c r="C9">
        <f t="shared" si="0"/>
        <v>0.8414709848078965</v>
      </c>
      <c r="D9">
        <f t="shared" si="1"/>
        <v>0.54030230586813977</v>
      </c>
      <c r="E9">
        <f t="shared" si="2"/>
        <v>0.38767423437377119</v>
      </c>
      <c r="F9">
        <f t="shared" si="3"/>
        <v>0.92179644607836841</v>
      </c>
      <c r="G9">
        <f t="shared" si="4"/>
        <v>0.15782664013030581</v>
      </c>
      <c r="H9">
        <f t="shared" si="5"/>
        <v>0.98746683572927096</v>
      </c>
      <c r="I9">
        <f t="shared" si="6"/>
        <v>6.3053878006704311E-2</v>
      </c>
      <c r="J9">
        <f t="shared" si="7"/>
        <v>0.99801012443176929</v>
      </c>
    </row>
    <row r="10" spans="2:12" x14ac:dyDescent="0.25">
      <c r="B10">
        <v>2</v>
      </c>
      <c r="C10">
        <f t="shared" si="0"/>
        <v>0.90929742682568171</v>
      </c>
      <c r="D10">
        <f t="shared" si="1"/>
        <v>-0.41614683654714241</v>
      </c>
      <c r="E10">
        <f t="shared" si="2"/>
        <v>0.71471346296378946</v>
      </c>
      <c r="F10">
        <f t="shared" si="3"/>
        <v>0.69941737600542064</v>
      </c>
      <c r="G10">
        <f t="shared" si="4"/>
        <v>0.31169714584651093</v>
      </c>
      <c r="H10">
        <f t="shared" si="5"/>
        <v>0.95018150333035789</v>
      </c>
      <c r="I10">
        <f t="shared" si="6"/>
        <v>0.12585681727075312</v>
      </c>
      <c r="J10">
        <f t="shared" si="7"/>
        <v>0.99204841693663126</v>
      </c>
    </row>
    <row r="11" spans="2:12" x14ac:dyDescent="0.25">
      <c r="B11">
        <v>3</v>
      </c>
      <c r="C11">
        <f t="shared" si="0"/>
        <v>0.14112000805986721</v>
      </c>
      <c r="D11">
        <f t="shared" si="1"/>
        <v>-0.98999249660044542</v>
      </c>
      <c r="E11">
        <f t="shared" si="2"/>
        <v>0.92996642587499811</v>
      </c>
      <c r="F11">
        <f t="shared" si="3"/>
        <v>0.36764445697614095</v>
      </c>
      <c r="G11">
        <f t="shared" si="4"/>
        <v>0.45775454849949254</v>
      </c>
      <c r="H11">
        <f t="shared" si="5"/>
        <v>0.88907860919494952</v>
      </c>
      <c r="I11">
        <f t="shared" si="6"/>
        <v>0.18815887772323728</v>
      </c>
      <c r="J11">
        <f t="shared" si="7"/>
        <v>0.98213860362676497</v>
      </c>
    </row>
    <row r="12" spans="2:12" x14ac:dyDescent="0.25">
      <c r="B12">
        <v>4</v>
      </c>
      <c r="C12">
        <f t="shared" si="0"/>
        <v>-0.7568024953079282</v>
      </c>
      <c r="D12">
        <f t="shared" si="1"/>
        <v>-0.65364362086361194</v>
      </c>
      <c r="E12">
        <f t="shared" si="2"/>
        <v>0.99976602972376205</v>
      </c>
      <c r="F12">
        <f t="shared" si="3"/>
        <v>-2.1630668283384134E-2</v>
      </c>
      <c r="G12">
        <f t="shared" si="4"/>
        <v>0.59233772524843908</v>
      </c>
      <c r="H12">
        <f t="shared" si="5"/>
        <v>0.80568977854227775</v>
      </c>
      <c r="I12">
        <f t="shared" si="6"/>
        <v>0.24971211266826704</v>
      </c>
      <c r="J12">
        <f t="shared" si="7"/>
        <v>0.96832012309295257</v>
      </c>
    </row>
    <row r="13" spans="2:12" x14ac:dyDescent="0.25">
      <c r="B13">
        <v>5</v>
      </c>
      <c r="C13">
        <f t="shared" si="0"/>
        <v>-0.95892427466313845</v>
      </c>
      <c r="D13">
        <f t="shared" si="1"/>
        <v>0.28366218546322625</v>
      </c>
      <c r="E13">
        <f t="shared" si="2"/>
        <v>0.91319512034349037</v>
      </c>
      <c r="F13">
        <f t="shared" si="3"/>
        <v>-0.40752260327598788</v>
      </c>
      <c r="G13">
        <f t="shared" si="4"/>
        <v>0.71207316996880821</v>
      </c>
      <c r="H13">
        <f t="shared" si="5"/>
        <v>0.70210526319817079</v>
      </c>
      <c r="I13">
        <f t="shared" si="6"/>
        <v>0.31027155554911712</v>
      </c>
      <c r="J13">
        <f t="shared" si="7"/>
        <v>0.95064796944880237</v>
      </c>
    </row>
    <row r="14" spans="2:12" x14ac:dyDescent="0.25">
      <c r="B14">
        <v>6</v>
      </c>
      <c r="C14">
        <f t="shared" si="0"/>
        <v>-0.27941549819892586</v>
      </c>
      <c r="D14">
        <f t="shared" si="1"/>
        <v>0.96017028665036597</v>
      </c>
      <c r="E14">
        <f t="shared" si="2"/>
        <v>0.68379400329371265</v>
      </c>
      <c r="F14">
        <f t="shared" si="3"/>
        <v>-0.7296751065094369</v>
      </c>
      <c r="G14">
        <f t="shared" si="4"/>
        <v>0.81395955466518177</v>
      </c>
      <c r="H14">
        <f t="shared" si="5"/>
        <v>0.58092154665605145</v>
      </c>
      <c r="I14">
        <f t="shared" si="6"/>
        <v>0.36959619485415895</v>
      </c>
      <c r="J14">
        <f t="shared" si="7"/>
        <v>0.92919247346786371</v>
      </c>
    </row>
    <row r="15" spans="2:12" x14ac:dyDescent="0.25">
      <c r="B15">
        <v>7</v>
      </c>
      <c r="C15">
        <f t="shared" si="0"/>
        <v>0.65698659871878906</v>
      </c>
      <c r="D15">
        <f t="shared" si="1"/>
        <v>0.7539022543433046</v>
      </c>
      <c r="E15">
        <f t="shared" si="2"/>
        <v>0.34744264382819867</v>
      </c>
      <c r="F15">
        <f t="shared" si="3"/>
        <v>-0.9377012366685199</v>
      </c>
      <c r="G15">
        <f t="shared" si="4"/>
        <v>0.89544296174485882</v>
      </c>
      <c r="H15">
        <f t="shared" si="5"/>
        <v>0.44517625976863956</v>
      </c>
      <c r="I15">
        <f t="shared" si="6"/>
        <v>0.42744993328269815</v>
      </c>
      <c r="J15">
        <f t="shared" si="7"/>
        <v>0.90403902268464986</v>
      </c>
    </row>
    <row r="16" spans="2:12" x14ac:dyDescent="0.25">
      <c r="B16">
        <v>8</v>
      </c>
      <c r="C16">
        <f t="shared" si="0"/>
        <v>0.98935824662338179</v>
      </c>
      <c r="D16">
        <f t="shared" si="1"/>
        <v>-0.14550003380861354</v>
      </c>
      <c r="E16">
        <f t="shared" si="2"/>
        <v>-4.3251214699901321E-2</v>
      </c>
      <c r="F16">
        <f t="shared" si="3"/>
        <v>-0.99906422837922837</v>
      </c>
      <c r="G16">
        <f t="shared" si="4"/>
        <v>0.95448090135530306</v>
      </c>
      <c r="H16">
        <f t="shared" si="5"/>
        <v>0.29827203849500927</v>
      </c>
      <c r="I16">
        <f t="shared" si="6"/>
        <v>0.48360252735347514</v>
      </c>
      <c r="J16">
        <f t="shared" si="7"/>
        <v>0.87528772157350143</v>
      </c>
    </row>
    <row r="17" spans="2:10" x14ac:dyDescent="0.25">
      <c r="B17">
        <v>9</v>
      </c>
      <c r="C17">
        <f t="shared" si="0"/>
        <v>0.41211848524175659</v>
      </c>
      <c r="D17">
        <f t="shared" si="1"/>
        <v>-0.91113026188467694</v>
      </c>
      <c r="E17">
        <f t="shared" si="2"/>
        <v>-0.42718027582608131</v>
      </c>
      <c r="F17">
        <f t="shared" si="3"/>
        <v>-0.90416647357948032</v>
      </c>
      <c r="G17">
        <f t="shared" si="4"/>
        <v>0.989593509105828</v>
      </c>
      <c r="H17">
        <f t="shared" si="5"/>
        <v>0.14389123230973289</v>
      </c>
      <c r="I17">
        <f t="shared" si="6"/>
        <v>0.5378305037164216</v>
      </c>
      <c r="J17">
        <f t="shared" si="7"/>
        <v>0.84305299315769011</v>
      </c>
    </row>
    <row r="18" spans="2:10" x14ac:dyDescent="0.25">
      <c r="B18">
        <v>10</v>
      </c>
      <c r="C18">
        <f t="shared" si="0"/>
        <v>-0.54402111088936977</v>
      </c>
      <c r="D18">
        <f t="shared" si="1"/>
        <v>-0.83907152907645244</v>
      </c>
      <c r="E18">
        <f t="shared" si="2"/>
        <v>-0.74429530548261646</v>
      </c>
      <c r="F18">
        <f t="shared" si="3"/>
        <v>-0.66785065563832358</v>
      </c>
      <c r="G18">
        <f t="shared" si="4"/>
        <v>0.99990064083461183</v>
      </c>
      <c r="H18">
        <f t="shared" si="5"/>
        <v>-1.4096398778854562E-2</v>
      </c>
      <c r="I18">
        <f t="shared" si="6"/>
        <v>0.58991804852097895</v>
      </c>
      <c r="J18">
        <f t="shared" si="7"/>
        <v>0.80746312363426231</v>
      </c>
    </row>
    <row r="19" spans="2:10" x14ac:dyDescent="0.25">
      <c r="B19">
        <v>11</v>
      </c>
      <c r="C19">
        <f t="shared" si="0"/>
        <v>-0.99999020655070348</v>
      </c>
      <c r="D19">
        <f t="shared" si="1"/>
        <v>4.4256979880507854E-3</v>
      </c>
      <c r="E19">
        <f t="shared" si="2"/>
        <v>-0.94499725902729759</v>
      </c>
      <c r="F19">
        <f t="shared" si="3"/>
        <v>-0.32707824817754949</v>
      </c>
      <c r="G19">
        <f t="shared" si="4"/>
        <v>0.9851439345914208</v>
      </c>
      <c r="H19">
        <f t="shared" si="5"/>
        <v>-0.17173068490440005</v>
      </c>
      <c r="I19">
        <f t="shared" si="6"/>
        <v>0.639657866301516</v>
      </c>
      <c r="J19">
        <f t="shared" si="7"/>
        <v>0.76865975182690027</v>
      </c>
    </row>
    <row r="20" spans="2:10" x14ac:dyDescent="0.25">
      <c r="B20">
        <v>12</v>
      </c>
      <c r="C20">
        <f t="shared" si="0"/>
        <v>-0.53657291800043494</v>
      </c>
      <c r="D20">
        <f t="shared" si="1"/>
        <v>0.84385395873249214</v>
      </c>
      <c r="E20">
        <f t="shared" si="2"/>
        <v>-0.9978949243677081</v>
      </c>
      <c r="F20">
        <f t="shared" si="3"/>
        <v>6.4851522119116128E-2</v>
      </c>
      <c r="G20">
        <f t="shared" si="4"/>
        <v>0.94569328682313658</v>
      </c>
      <c r="H20">
        <f t="shared" si="5"/>
        <v>-0.32506031326148199</v>
      </c>
      <c r="I20">
        <f t="shared" si="6"/>
        <v>0.68685200496169296</v>
      </c>
      <c r="J20">
        <f t="shared" si="7"/>
        <v>0.72679730549865307</v>
      </c>
    </row>
    <row r="21" spans="2:10" x14ac:dyDescent="0.25">
      <c r="B21">
        <v>13</v>
      </c>
      <c r="C21">
        <f t="shared" si="0"/>
        <v>0.42016703682664092</v>
      </c>
      <c r="D21">
        <f t="shared" si="1"/>
        <v>0.90744678145019619</v>
      </c>
      <c r="E21">
        <f t="shared" si="2"/>
        <v>-0.89471473065629348</v>
      </c>
      <c r="F21">
        <f t="shared" si="3"/>
        <v>0.44663805340189738</v>
      </c>
      <c r="G21">
        <f t="shared" si="4"/>
        <v>0.88253758042789199</v>
      </c>
      <c r="H21">
        <f t="shared" si="5"/>
        <v>-0.47024187301056253</v>
      </c>
      <c r="I21">
        <f t="shared" si="6"/>
        <v>0.73131264357454284</v>
      </c>
      <c r="J21">
        <f t="shared" si="7"/>
        <v>0.68204238676787066</v>
      </c>
    </row>
    <row r="22" spans="2:10" x14ac:dyDescent="0.25">
      <c r="B22">
        <v>14</v>
      </c>
      <c r="C22">
        <f t="shared" si="0"/>
        <v>0.99060735569487035</v>
      </c>
      <c r="D22">
        <f t="shared" si="1"/>
        <v>0.13673721820783361</v>
      </c>
      <c r="E22">
        <f t="shared" si="2"/>
        <v>-0.65159479357816397</v>
      </c>
      <c r="F22">
        <f t="shared" si="3"/>
        <v>0.75856721849934294</v>
      </c>
      <c r="G22">
        <f t="shared" si="4"/>
        <v>0.7972598970914585</v>
      </c>
      <c r="H22">
        <f t="shared" si="5"/>
        <v>-0.60363619547680947</v>
      </c>
      <c r="I22">
        <f t="shared" si="6"/>
        <v>0.7728628398630184</v>
      </c>
      <c r="J22">
        <f t="shared" si="7"/>
        <v>0.63457310907323383</v>
      </c>
    </row>
    <row r="23" spans="2:10" x14ac:dyDescent="0.25">
      <c r="B23">
        <v>15</v>
      </c>
      <c r="C23">
        <f t="shared" si="0"/>
        <v>0.65028784015711683</v>
      </c>
      <c r="D23">
        <f t="shared" si="1"/>
        <v>-0.75968791285882131</v>
      </c>
      <c r="E23">
        <f t="shared" si="2"/>
        <v>-0.30656079935074565</v>
      </c>
      <c r="F23">
        <f t="shared" si="3"/>
        <v>0.9518510788465977</v>
      </c>
      <c r="G23">
        <f t="shared" si="4"/>
        <v>0.69199783524160141</v>
      </c>
      <c r="H23">
        <f t="shared" si="5"/>
        <v>-0.72189957474771893</v>
      </c>
      <c r="I23">
        <f t="shared" si="6"/>
        <v>0.81133723438622041</v>
      </c>
      <c r="J23">
        <f t="shared" si="7"/>
        <v>0.58457838832659503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U80"/>
  <sheetViews>
    <sheetView topLeftCell="A26" workbookViewId="0">
      <selection activeCell="M53" sqref="M53"/>
    </sheetView>
  </sheetViews>
  <sheetFormatPr defaultRowHeight="15" x14ac:dyDescent="0.25"/>
  <cols>
    <col min="3" max="6" width="12.5703125" customWidth="1"/>
    <col min="9" max="9" width="14.140625" customWidth="1"/>
    <col min="10" max="10" width="12.140625" customWidth="1"/>
    <col min="13" max="13" width="15" customWidth="1"/>
    <col min="20" max="20" width="9.7109375" customWidth="1"/>
    <col min="22" max="22" width="13.5703125" customWidth="1"/>
  </cols>
  <sheetData>
    <row r="2" spans="2:42" ht="26.25" x14ac:dyDescent="0.4">
      <c r="B2" s="5"/>
      <c r="C2" s="6" t="s">
        <v>35</v>
      </c>
      <c r="D2" s="7"/>
      <c r="I2" s="4" t="s">
        <v>19</v>
      </c>
      <c r="M2" s="4" t="s">
        <v>19</v>
      </c>
      <c r="U2" s="4" t="s">
        <v>37</v>
      </c>
      <c r="AA2" s="4" t="s">
        <v>37</v>
      </c>
    </row>
    <row r="3" spans="2:42" ht="26.25" x14ac:dyDescent="0.4">
      <c r="B3" s="9"/>
      <c r="C3">
        <v>1</v>
      </c>
      <c r="D3" s="10">
        <v>2</v>
      </c>
      <c r="I3" s="4" t="s">
        <v>20</v>
      </c>
      <c r="M3" s="4" t="s">
        <v>38</v>
      </c>
      <c r="U3" s="4" t="s">
        <v>38</v>
      </c>
      <c r="AA3" s="4" t="s">
        <v>39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2:42" x14ac:dyDescent="0.25">
      <c r="B4" s="9">
        <v>1</v>
      </c>
      <c r="C4" s="17" cm="1">
        <f t="array" ref="C4:D9">FRONTEND!M49:N54</f>
        <v>4.0296676785617889</v>
      </c>
      <c r="D4" s="14">
        <v>1.426184227044502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2:42" x14ac:dyDescent="0.25">
      <c r="B5" s="9">
        <v>2</v>
      </c>
      <c r="C5" s="17">
        <v>3.1757752467270279</v>
      </c>
      <c r="D5" s="14">
        <v>0.83446165212430812</v>
      </c>
      <c r="H5" s="5"/>
      <c r="I5" s="16" t="s">
        <v>22</v>
      </c>
      <c r="J5" s="7"/>
      <c r="M5" t="s">
        <v>3</v>
      </c>
      <c r="O5" s="5"/>
      <c r="P5" s="16" t="s">
        <v>40</v>
      </c>
      <c r="Q5" s="6"/>
      <c r="R5" s="7"/>
      <c r="T5" s="5"/>
      <c r="U5" s="6" t="s">
        <v>41</v>
      </c>
      <c r="V5" s="7" t="s">
        <v>42</v>
      </c>
      <c r="AA5" t="s">
        <v>43</v>
      </c>
      <c r="AB5" t="s">
        <v>44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2:42" x14ac:dyDescent="0.25">
      <c r="B6" s="9">
        <v>3</v>
      </c>
      <c r="C6" s="17">
        <v>3.3789276309323317</v>
      </c>
      <c r="D6" s="14">
        <v>1.8393159934697598</v>
      </c>
      <c r="H6" s="9"/>
      <c r="I6">
        <v>1</v>
      </c>
      <c r="J6" s="10">
        <v>2</v>
      </c>
      <c r="M6">
        <v>1</v>
      </c>
      <c r="O6" s="9"/>
      <c r="P6">
        <v>1</v>
      </c>
      <c r="Q6">
        <v>2</v>
      </c>
      <c r="R6" s="10">
        <v>3</v>
      </c>
      <c r="T6" s="9"/>
      <c r="U6">
        <v>1</v>
      </c>
      <c r="V6" s="10"/>
      <c r="AA6">
        <v>1</v>
      </c>
      <c r="AB6">
        <v>2</v>
      </c>
      <c r="AI6">
        <v>0</v>
      </c>
      <c r="AJ6">
        <v>0</v>
      </c>
      <c r="AK6">
        <v>0</v>
      </c>
      <c r="AL6" s="5">
        <f t="shared" ref="AL6:AM11" si="0">C4</f>
        <v>4.0296676785617889</v>
      </c>
      <c r="AM6" s="7">
        <f t="shared" si="0"/>
        <v>1.426184227044502</v>
      </c>
      <c r="AN6">
        <v>0</v>
      </c>
      <c r="AO6">
        <v>0</v>
      </c>
      <c r="AP6">
        <v>0</v>
      </c>
    </row>
    <row r="7" spans="2:42" x14ac:dyDescent="0.25">
      <c r="B7" s="9">
        <v>4</v>
      </c>
      <c r="C7" s="17">
        <v>1.5094131886761968</v>
      </c>
      <c r="D7" s="14">
        <v>0.40501335750777256</v>
      </c>
      <c r="H7" s="9">
        <v>1</v>
      </c>
      <c r="I7">
        <v>-0.20399999999999999</v>
      </c>
      <c r="J7" s="10">
        <v>-0.74</v>
      </c>
      <c r="L7">
        <v>1</v>
      </c>
      <c r="M7" s="17">
        <f t="shared" ref="M7:M18" si="1">I55</f>
        <v>3.7265025686892908</v>
      </c>
      <c r="O7" s="9">
        <v>1</v>
      </c>
      <c r="P7">
        <v>-0.13400000000000001</v>
      </c>
      <c r="Q7">
        <v>-0.67100000000000004</v>
      </c>
      <c r="R7" s="10">
        <v>-0.77800000000000002</v>
      </c>
      <c r="T7" s="9">
        <v>1</v>
      </c>
      <c r="U7" s="1">
        <f>-1/3*((2/(1+DATA!$I$16))*N34/M28-((2*DATA!$I$16)/(1+DATA!$I$16))*(1-N34)*(1-M28))</f>
        <v>-4.0688556389097528</v>
      </c>
      <c r="V7" s="10"/>
      <c r="Z7">
        <v>1</v>
      </c>
      <c r="AA7" s="17">
        <f t="shared" ref="AA7:AA12" si="2">U75*IF(U75&gt;0,1,0)</f>
        <v>0.25854997551608538</v>
      </c>
      <c r="AB7" s="20">
        <f t="shared" ref="AB7:AB12" si="3">V75*IF(V75&gt;0,1,0)</f>
        <v>2.4897186374374027E-2</v>
      </c>
      <c r="AI7">
        <v>0</v>
      </c>
      <c r="AJ7">
        <v>0</v>
      </c>
      <c r="AK7">
        <v>0</v>
      </c>
      <c r="AL7" s="9">
        <f t="shared" si="0"/>
        <v>3.1757752467270279</v>
      </c>
      <c r="AM7" s="10">
        <f t="shared" si="0"/>
        <v>0.83446165212430812</v>
      </c>
      <c r="AN7">
        <v>0</v>
      </c>
      <c r="AO7">
        <v>0</v>
      </c>
      <c r="AP7">
        <v>0</v>
      </c>
    </row>
    <row r="8" spans="2:42" x14ac:dyDescent="0.25">
      <c r="B8" s="9">
        <v>5</v>
      </c>
      <c r="C8" s="17">
        <v>4.5198656803290973</v>
      </c>
      <c r="D8" s="14">
        <v>0.53701995183003415</v>
      </c>
      <c r="H8" s="9">
        <v>2</v>
      </c>
      <c r="I8">
        <v>0.80500000000000005</v>
      </c>
      <c r="J8" s="10">
        <v>-0.97699999999999998</v>
      </c>
      <c r="L8">
        <v>2</v>
      </c>
      <c r="M8" s="17">
        <f t="shared" si="1"/>
        <v>2.3298871002733854</v>
      </c>
      <c r="O8" s="9">
        <v>2</v>
      </c>
      <c r="P8">
        <v>-0.94499999999999995</v>
      </c>
      <c r="Q8">
        <v>-0.04</v>
      </c>
      <c r="R8" s="10">
        <v>0.99099999999999999</v>
      </c>
      <c r="T8" s="9">
        <v>2</v>
      </c>
      <c r="U8" s="1">
        <f>-1/3*((2/(1+DATA!$I$16))*N35/M29-((2*DATA!$I$16)/(1+DATA!$I$16))*(1-N35)*(1-M29))</f>
        <v>6.5508775992354662E-2</v>
      </c>
      <c r="V8" s="10"/>
      <c r="Z8">
        <v>2</v>
      </c>
      <c r="AA8" s="17">
        <f t="shared" si="2"/>
        <v>0</v>
      </c>
      <c r="AB8" s="20">
        <f t="shared" si="3"/>
        <v>0.18325925690277059</v>
      </c>
      <c r="AI8">
        <v>0</v>
      </c>
      <c r="AJ8">
        <v>0</v>
      </c>
      <c r="AK8">
        <v>0</v>
      </c>
      <c r="AL8" s="9">
        <f t="shared" si="0"/>
        <v>3.3789276309323317</v>
      </c>
      <c r="AM8" s="10">
        <f t="shared" si="0"/>
        <v>1.8393159934697598</v>
      </c>
      <c r="AN8">
        <v>0</v>
      </c>
      <c r="AO8">
        <v>0</v>
      </c>
      <c r="AP8">
        <v>0</v>
      </c>
    </row>
    <row r="9" spans="2:42" x14ac:dyDescent="0.25">
      <c r="B9" s="11">
        <v>6</v>
      </c>
      <c r="C9" s="18">
        <v>3.0540707238032767</v>
      </c>
      <c r="D9" s="15">
        <v>1.2588938475691771</v>
      </c>
      <c r="H9" s="11">
        <v>3</v>
      </c>
      <c r="I9" s="13">
        <v>0.51600000000000001</v>
      </c>
      <c r="J9" s="12">
        <v>-0.91400000000000003</v>
      </c>
      <c r="L9">
        <v>3</v>
      </c>
      <c r="M9" s="17">
        <f t="shared" si="1"/>
        <v>2.5194060901838085</v>
      </c>
      <c r="O9" s="9">
        <v>3</v>
      </c>
      <c r="P9">
        <v>-0.62</v>
      </c>
      <c r="Q9">
        <v>0.312</v>
      </c>
      <c r="R9" s="10">
        <v>-0.121</v>
      </c>
      <c r="T9" s="11">
        <v>3</v>
      </c>
      <c r="U9" s="21">
        <f>-1/3*((2/(1+DATA!$I$16))*N36/M30-((2*DATA!$I$16)/(1+DATA!$I$16))*(1-N36)*(1-M30))</f>
        <v>-0.93466621262048144</v>
      </c>
      <c r="V9" s="12"/>
      <c r="Z9">
        <v>3</v>
      </c>
      <c r="AA9" s="17">
        <f t="shared" si="2"/>
        <v>0</v>
      </c>
      <c r="AB9" s="20">
        <f t="shared" si="3"/>
        <v>0.18675867741169788</v>
      </c>
      <c r="AI9">
        <v>0</v>
      </c>
      <c r="AJ9">
        <v>0</v>
      </c>
      <c r="AK9">
        <v>0</v>
      </c>
      <c r="AL9" s="9">
        <f t="shared" si="0"/>
        <v>1.5094131886761968</v>
      </c>
      <c r="AM9" s="10">
        <f t="shared" si="0"/>
        <v>0.40501335750777256</v>
      </c>
      <c r="AN9">
        <v>0</v>
      </c>
      <c r="AO9">
        <v>0</v>
      </c>
      <c r="AP9">
        <v>0</v>
      </c>
    </row>
    <row r="10" spans="2:42" x14ac:dyDescent="0.25">
      <c r="B10" t="s">
        <v>45</v>
      </c>
      <c r="L10">
        <v>4</v>
      </c>
      <c r="M10" s="17">
        <f t="shared" si="1"/>
        <v>1.61039894979859</v>
      </c>
      <c r="O10" s="9">
        <v>4</v>
      </c>
      <c r="P10">
        <v>-0.29099999999999998</v>
      </c>
      <c r="Q10">
        <v>-0.20200000000000001</v>
      </c>
      <c r="R10" s="10">
        <v>0.186</v>
      </c>
      <c r="Z10">
        <v>4</v>
      </c>
      <c r="AA10" s="17">
        <f t="shared" si="2"/>
        <v>1.0964669349876444E-2</v>
      </c>
      <c r="AB10" s="20">
        <f t="shared" si="3"/>
        <v>0</v>
      </c>
      <c r="AI10">
        <v>0</v>
      </c>
      <c r="AJ10">
        <v>0</v>
      </c>
      <c r="AK10">
        <v>0</v>
      </c>
      <c r="AL10" s="9">
        <f t="shared" si="0"/>
        <v>4.5198656803290973</v>
      </c>
      <c r="AM10" s="10">
        <f t="shared" si="0"/>
        <v>0.53701995183003415</v>
      </c>
      <c r="AN10">
        <v>0</v>
      </c>
      <c r="AO10">
        <v>0</v>
      </c>
      <c r="AP10">
        <v>0</v>
      </c>
    </row>
    <row r="11" spans="2:42" x14ac:dyDescent="0.25">
      <c r="H11" s="5"/>
      <c r="I11" s="8" t="s">
        <v>23</v>
      </c>
      <c r="L11">
        <v>5</v>
      </c>
      <c r="M11" s="17">
        <f t="shared" si="1"/>
        <v>3.9314647214855474</v>
      </c>
      <c r="O11" s="9">
        <v>5</v>
      </c>
      <c r="P11">
        <v>-0.57699999999999996</v>
      </c>
      <c r="Q11">
        <v>-0.185</v>
      </c>
      <c r="R11" s="10">
        <v>0.17299999999999999</v>
      </c>
      <c r="Z11">
        <v>5</v>
      </c>
      <c r="AA11" s="17">
        <f t="shared" si="2"/>
        <v>0.19633817774343448</v>
      </c>
      <c r="AB11" s="20">
        <f t="shared" si="3"/>
        <v>0</v>
      </c>
      <c r="AI11">
        <v>0</v>
      </c>
      <c r="AJ11">
        <v>0</v>
      </c>
      <c r="AK11">
        <v>0</v>
      </c>
      <c r="AL11" s="11">
        <f t="shared" si="0"/>
        <v>3.0540707238032767</v>
      </c>
      <c r="AM11" s="12">
        <f t="shared" si="0"/>
        <v>1.2588938475691771</v>
      </c>
      <c r="AN11">
        <v>0</v>
      </c>
      <c r="AO11">
        <v>0</v>
      </c>
      <c r="AP11">
        <v>0</v>
      </c>
    </row>
    <row r="12" spans="2:42" x14ac:dyDescent="0.25">
      <c r="C12" t="s">
        <v>46</v>
      </c>
      <c r="H12" s="9"/>
      <c r="I12" s="10">
        <v>1</v>
      </c>
      <c r="L12">
        <v>6</v>
      </c>
      <c r="M12" s="17">
        <f t="shared" si="1"/>
        <v>1.9038574771198606</v>
      </c>
      <c r="O12" s="9">
        <v>6</v>
      </c>
      <c r="P12">
        <v>0.57199999999999995</v>
      </c>
      <c r="Q12">
        <v>0.89200000000000002</v>
      </c>
      <c r="R12" s="10">
        <v>0.75700000000000001</v>
      </c>
      <c r="T12" s="5" t="s">
        <v>47</v>
      </c>
      <c r="U12" s="6" t="s">
        <v>48</v>
      </c>
      <c r="V12" s="7"/>
      <c r="Z12">
        <v>6</v>
      </c>
      <c r="AA12" s="17">
        <f t="shared" si="2"/>
        <v>4.0735369253453321E-2</v>
      </c>
      <c r="AB12" s="20">
        <f t="shared" si="3"/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2:42" x14ac:dyDescent="0.25">
      <c r="C13">
        <v>1</v>
      </c>
      <c r="D13">
        <v>2</v>
      </c>
      <c r="E13">
        <v>3</v>
      </c>
      <c r="H13" s="11">
        <v>1</v>
      </c>
      <c r="I13" s="12">
        <v>1</v>
      </c>
      <c r="L13">
        <v>7</v>
      </c>
      <c r="M13" s="20">
        <f t="shared" si="1"/>
        <v>3.1525815419781287</v>
      </c>
      <c r="O13" s="9">
        <v>7</v>
      </c>
      <c r="P13">
        <v>-0.21</v>
      </c>
      <c r="Q13">
        <v>-0.86299999999999999</v>
      </c>
      <c r="R13" s="10">
        <v>0.252</v>
      </c>
      <c r="T13" s="9"/>
      <c r="U13">
        <v>1</v>
      </c>
      <c r="V13" s="10"/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2:42" x14ac:dyDescent="0.25">
      <c r="B14">
        <v>1</v>
      </c>
      <c r="C14">
        <v>0</v>
      </c>
      <c r="D14">
        <v>0</v>
      </c>
      <c r="E14">
        <v>0</v>
      </c>
      <c r="L14">
        <v>8</v>
      </c>
      <c r="M14" s="20">
        <f t="shared" si="1"/>
        <v>1.6280402224266901</v>
      </c>
      <c r="O14" s="9">
        <v>8</v>
      </c>
      <c r="P14">
        <v>0.54900000000000004</v>
      </c>
      <c r="Q14">
        <v>0.185</v>
      </c>
      <c r="R14" s="10">
        <v>-0.50800000000000001</v>
      </c>
      <c r="T14" s="9">
        <v>1</v>
      </c>
      <c r="U14">
        <f>-1/3*((2/(1+DATA!$I$16))*N34*(1-M28)-((2*DATA!$I$16)/(1+DATA!$I$16))*(1-N34)*M28)</f>
        <v>-0.50990086951168645</v>
      </c>
      <c r="V14" s="10"/>
      <c r="Z14" s="5"/>
      <c r="AA14" s="16" t="s">
        <v>22</v>
      </c>
      <c r="AB14" s="7" t="s">
        <v>49</v>
      </c>
      <c r="AD14" s="5"/>
      <c r="AE14" s="8" t="s">
        <v>23</v>
      </c>
      <c r="AF14" t="s">
        <v>50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2:42" x14ac:dyDescent="0.25">
      <c r="B15">
        <v>2</v>
      </c>
      <c r="C15" s="17">
        <f t="shared" ref="C15:C20" si="4">C4</f>
        <v>4.0296676785617889</v>
      </c>
      <c r="D15" s="20">
        <f t="shared" ref="D15:D20" si="5">D4</f>
        <v>1.426184227044502</v>
      </c>
      <c r="E15">
        <v>0</v>
      </c>
      <c r="I15" t="s">
        <v>25</v>
      </c>
      <c r="J15" t="s">
        <v>51</v>
      </c>
      <c r="L15">
        <v>9</v>
      </c>
      <c r="M15" s="20">
        <f t="shared" si="1"/>
        <v>1.7928731655774461</v>
      </c>
      <c r="O15" s="9">
        <v>9</v>
      </c>
      <c r="P15">
        <v>0.99</v>
      </c>
      <c r="Q15">
        <v>-0.94699999999999995</v>
      </c>
      <c r="R15" s="10">
        <v>-0.90500000000000003</v>
      </c>
      <c r="T15" s="9">
        <v>2</v>
      </c>
      <c r="U15">
        <f>-1/3*((2/(1+DATA!$I$16))*N35*(1-M29)-((2*DATA!$I$16)/(1+DATA!$I$16))*(1-N35)*M29)</f>
        <v>3.4567412490246448E-3</v>
      </c>
      <c r="V15" s="10"/>
      <c r="Z15" s="9"/>
      <c r="AA15">
        <v>1</v>
      </c>
      <c r="AB15" s="10">
        <v>2</v>
      </c>
      <c r="AD15" s="9"/>
      <c r="AE15" s="10">
        <v>1</v>
      </c>
      <c r="AI15" t="s">
        <v>52</v>
      </c>
    </row>
    <row r="16" spans="2:42" x14ac:dyDescent="0.25">
      <c r="B16">
        <v>3</v>
      </c>
      <c r="C16" s="17">
        <f t="shared" si="4"/>
        <v>3.1757752467270279</v>
      </c>
      <c r="D16" s="20">
        <f t="shared" si="5"/>
        <v>0.83446165212430812</v>
      </c>
      <c r="E16">
        <v>0</v>
      </c>
      <c r="I16">
        <v>1</v>
      </c>
      <c r="J16">
        <v>2</v>
      </c>
      <c r="L16">
        <v>10</v>
      </c>
      <c r="M16" s="20">
        <f t="shared" si="1"/>
        <v>1.4191582675344068</v>
      </c>
      <c r="O16" s="9">
        <v>10</v>
      </c>
      <c r="P16">
        <v>0.46899999999999997</v>
      </c>
      <c r="Q16">
        <v>0.36499999999999999</v>
      </c>
      <c r="R16" s="10">
        <v>-0.20699999999999999</v>
      </c>
      <c r="T16" s="11">
        <v>3</v>
      </c>
      <c r="U16" s="13">
        <f>-1/3*((2/(1+DATA!$I$16))*N36*(1-M30)-((2*DATA!$I$16)/(1+DATA!$I$16))*(1-N36)*M30)</f>
        <v>-0.21548270694761043</v>
      </c>
      <c r="V16" s="12"/>
      <c r="Z16" s="9">
        <v>1</v>
      </c>
      <c r="AA16" cm="1">
        <f t="array" ref="AA16">I7-M39*SUM($AA$7:$AB$12*AL5:AM10)</f>
        <v>-0.29747270727772862</v>
      </c>
      <c r="AB16" s="10" cm="1">
        <f t="array" ref="AB16">J7-N39*SUM($AA$7:$AB$12*AM5:AN10)</f>
        <v>-0.74</v>
      </c>
      <c r="AD16" s="11">
        <v>1</v>
      </c>
      <c r="AE16" s="12">
        <f>I13-M39*SUM(AA7:AB12)</f>
        <v>0.90984966874483075</v>
      </c>
    </row>
    <row r="17" spans="2:47" x14ac:dyDescent="0.25">
      <c r="B17">
        <v>4</v>
      </c>
      <c r="C17" s="17">
        <f t="shared" si="4"/>
        <v>3.3789276309323317</v>
      </c>
      <c r="D17" s="20">
        <f t="shared" si="5"/>
        <v>1.8393159934697598</v>
      </c>
      <c r="E17">
        <v>0</v>
      </c>
      <c r="H17">
        <v>1</v>
      </c>
      <c r="I17" cm="1">
        <f t="array" ref="I17">SUM(C14:D16*$I$7:$J$9)+$I$13</f>
        <v>3.7265025686892908</v>
      </c>
      <c r="J17" cm="1">
        <f t="array" ref="J17">SUM(D14:E16*$I$7:$J$9)+$I$13</f>
        <v>2.578660515266967</v>
      </c>
      <c r="L17">
        <v>11</v>
      </c>
      <c r="M17" s="20">
        <f t="shared" si="1"/>
        <v>2.9653661415614172</v>
      </c>
      <c r="O17" s="9">
        <v>11</v>
      </c>
      <c r="P17">
        <v>0.24099999999999999</v>
      </c>
      <c r="Q17">
        <v>0.48599999999999999</v>
      </c>
      <c r="R17" s="10">
        <v>-6.0000000000000001E-3</v>
      </c>
      <c r="Z17" s="9">
        <v>2</v>
      </c>
      <c r="AA17" cm="1">
        <f t="array" ref="AA17">I8-M40*SUM($AA$7:$AB$12*AL6:AM11)</f>
        <v>0.80500000000000005</v>
      </c>
      <c r="AB17" s="10" cm="1">
        <f t="array" ref="AB17">J8-N40*SUM($AA$7:$AB$12*AM6:AN11)</f>
        <v>-0.97699999999999998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S17">
        <v>0</v>
      </c>
      <c r="AT17">
        <v>1</v>
      </c>
    </row>
    <row r="18" spans="2:47" x14ac:dyDescent="0.25">
      <c r="B18">
        <v>5</v>
      </c>
      <c r="C18" s="17">
        <f t="shared" si="4"/>
        <v>1.5094131886761968</v>
      </c>
      <c r="D18" s="20">
        <f t="shared" si="5"/>
        <v>0.40501335750777256</v>
      </c>
      <c r="E18">
        <v>0</v>
      </c>
      <c r="H18">
        <v>2</v>
      </c>
      <c r="I18" cm="1">
        <f t="array" ref="I18">SUM(C15:D17*$I$7:$J$9)+$I$13</f>
        <v>0.9261933445799948</v>
      </c>
      <c r="J18" cm="1">
        <f t="array" ref="J18">SUM(D15:E17*$I$7:$J$9)+$I$13</f>
        <v>2.3298871002733854</v>
      </c>
      <c r="L18">
        <v>12</v>
      </c>
      <c r="M18" s="20">
        <f t="shared" si="1"/>
        <v>1.4064988787825257</v>
      </c>
      <c r="O18" s="11">
        <v>12</v>
      </c>
      <c r="P18" s="13">
        <v>-0.16700000000000001</v>
      </c>
      <c r="Q18" s="13">
        <v>-0.442</v>
      </c>
      <c r="R18" s="12">
        <v>0.01</v>
      </c>
      <c r="Z18" s="11">
        <v>3</v>
      </c>
      <c r="AA18" s="13" cm="1">
        <f t="array" ref="AA18">I9-M41*SUM($AA$7:$AB$12*AL7:AM12)</f>
        <v>0.51600000000000001</v>
      </c>
      <c r="AB18" s="12" cm="1">
        <f t="array" ref="AB18">J9-N41*SUM($AA$7:$AB$12*AM7:AN12)</f>
        <v>-0.91400000000000003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S18">
        <v>1</v>
      </c>
      <c r="AT18">
        <v>0</v>
      </c>
    </row>
    <row r="19" spans="2:47" x14ac:dyDescent="0.25">
      <c r="B19">
        <v>6</v>
      </c>
      <c r="C19" s="17">
        <f t="shared" si="4"/>
        <v>4.5198656803290973</v>
      </c>
      <c r="D19" s="20">
        <f t="shared" si="5"/>
        <v>0.53701995183003415</v>
      </c>
      <c r="E19">
        <v>0</v>
      </c>
      <c r="H19">
        <v>3</v>
      </c>
      <c r="I19" cm="1">
        <f t="array" ref="I19">SUM(C16:D18*$I$7:$J$9)+$I$13</f>
        <v>1.0663402409710838</v>
      </c>
      <c r="J19" cm="1">
        <f t="array" ref="J19">SUM(D16:E18*$I$7:$J$9)+$I$13</f>
        <v>2.5194060901838085</v>
      </c>
      <c r="T19" s="5"/>
      <c r="U19" s="16" t="s">
        <v>40</v>
      </c>
      <c r="V19" s="6" t="s">
        <v>53</v>
      </c>
      <c r="W19" s="7"/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2:47" x14ac:dyDescent="0.25">
      <c r="B20">
        <v>7</v>
      </c>
      <c r="C20" s="17">
        <f t="shared" si="4"/>
        <v>3.0540707238032767</v>
      </c>
      <c r="D20" s="20">
        <f t="shared" si="5"/>
        <v>1.2588938475691771</v>
      </c>
      <c r="E20">
        <v>0</v>
      </c>
      <c r="H20">
        <v>4</v>
      </c>
      <c r="I20" cm="1">
        <f t="array" ref="I20">SUM(C17:D19*$I$7:$J$9)+$I$13</f>
        <v>1.61039894979859</v>
      </c>
      <c r="J20" cm="1">
        <f t="array" ref="J20">SUM(D17:E19*$I$7:$J$9)+$I$13</f>
        <v>1.2279175852702235</v>
      </c>
      <c r="M20" t="s">
        <v>54</v>
      </c>
      <c r="N20" t="s">
        <v>55</v>
      </c>
      <c r="O20" s="5"/>
      <c r="P20" s="8" t="s">
        <v>23</v>
      </c>
      <c r="T20" s="9"/>
      <c r="U20">
        <v>1</v>
      </c>
      <c r="V20">
        <v>2</v>
      </c>
      <c r="W20" s="10">
        <v>3</v>
      </c>
      <c r="Z20" s="5"/>
      <c r="AA20" s="16" t="s">
        <v>56</v>
      </c>
      <c r="AB20" s="7"/>
      <c r="AC20" t="s">
        <v>57</v>
      </c>
      <c r="AI20">
        <v>0</v>
      </c>
      <c r="AJ20">
        <v>0</v>
      </c>
      <c r="AK20">
        <v>0</v>
      </c>
      <c r="AL20" s="5" cm="1">
        <f t="array" ref="AL20:AM25">AA7:AB12</f>
        <v>0.25854997551608538</v>
      </c>
      <c r="AM20" s="7">
        <v>2.4897186374374027E-2</v>
      </c>
      <c r="AN20">
        <v>0</v>
      </c>
      <c r="AO20">
        <v>0</v>
      </c>
      <c r="AP20">
        <v>0</v>
      </c>
      <c r="AS20">
        <v>0</v>
      </c>
      <c r="AT20">
        <v>0</v>
      </c>
      <c r="AU20">
        <v>1</v>
      </c>
    </row>
    <row r="21" spans="2:47" x14ac:dyDescent="0.25">
      <c r="B21">
        <v>8</v>
      </c>
      <c r="C21">
        <v>0</v>
      </c>
      <c r="D21">
        <v>0</v>
      </c>
      <c r="E21">
        <v>0</v>
      </c>
      <c r="H21">
        <v>5</v>
      </c>
      <c r="I21" cm="1">
        <f t="array" ref="I21">SUM(C18:D20*$I$7:$J$9)+$I$13</f>
        <v>3.9314647214855474</v>
      </c>
      <c r="J21" cm="1">
        <f t="array" ref="J21">SUM(D18:E20*$I$7:$J$9)+$I$13</f>
        <v>1.9992675616372875</v>
      </c>
      <c r="M21">
        <v>1</v>
      </c>
      <c r="O21" s="9"/>
      <c r="P21" s="10">
        <v>1</v>
      </c>
      <c r="T21" s="9">
        <v>1</v>
      </c>
      <c r="U21" cm="1">
        <f t="array" ref="U21:U32">P7:P18-$M$39*$U14*$M$7:$M$18</f>
        <v>5.6014690001220252E-2</v>
      </c>
      <c r="V21" cm="1">
        <f t="array" ref="V21:V32">Q7:Q18-$M$39*$U15*$M$7:$M$18</f>
        <v>-0.67228815551437848</v>
      </c>
      <c r="W21" s="10" cm="1">
        <f t="array" ref="W21:W32">R7:R18-$M$39*$U16*$M$7:$M$18</f>
        <v>-0.69770031390516085</v>
      </c>
      <c r="Z21" s="9"/>
      <c r="AA21">
        <v>1</v>
      </c>
      <c r="AB21" s="10">
        <v>2</v>
      </c>
      <c r="AI21">
        <v>0</v>
      </c>
      <c r="AJ21">
        <v>0</v>
      </c>
      <c r="AK21">
        <v>0</v>
      </c>
      <c r="AL21" s="9">
        <v>0</v>
      </c>
      <c r="AM21" s="10">
        <v>0.18325925690277059</v>
      </c>
      <c r="AN21">
        <v>0</v>
      </c>
      <c r="AO21">
        <v>0</v>
      </c>
      <c r="AP21">
        <v>0</v>
      </c>
      <c r="AS21">
        <v>0</v>
      </c>
      <c r="AT21">
        <v>1</v>
      </c>
      <c r="AU21">
        <v>0</v>
      </c>
    </row>
    <row r="22" spans="2:47" x14ac:dyDescent="0.25">
      <c r="H22">
        <v>6</v>
      </c>
      <c r="I22" cm="1">
        <f t="array" ref="I22">SUM(C19:D21*$I$7:$J$9)+$I$13</f>
        <v>0.90914028044519068</v>
      </c>
      <c r="J22" cm="1">
        <f t="array" ref="J22">SUM(D19:E21*$I$7:$J$9)+$I$13</f>
        <v>1.9038574771198606</v>
      </c>
      <c r="L22">
        <v>1</v>
      </c>
      <c r="M22" cm="1">
        <f t="array" ref="M22:M24">TRANSPOSE(MMULT(TRANSPOSE(M7:M18),P7:R18)+TRANSPOSE(P22:P24))</f>
        <v>-1.7591516446008924</v>
      </c>
      <c r="O22" s="9">
        <v>1</v>
      </c>
      <c r="P22" s="10">
        <v>1</v>
      </c>
      <c r="T22" s="9">
        <v>2</v>
      </c>
      <c r="U22">
        <v>-0.82619885417065386</v>
      </c>
      <c r="V22">
        <v>-4.0805381684508542E-2</v>
      </c>
      <c r="W22" s="10">
        <v>1.0412050379249227</v>
      </c>
      <c r="Z22" s="9">
        <v>1</v>
      </c>
      <c r="AA22" s="17" cm="1">
        <f t="array" ref="AA22">SUM(MMULT($AS$20:$AU$22,MMULT(AL19:AM21,$AS$17:$AT$18))*$AA$16:$AB$18)</f>
        <v>-0.2870757183324163</v>
      </c>
      <c r="AB22" s="14" cm="1">
        <f t="array" ref="AB22">SUM(MMULT($AS$20:$AU$22,MMULT(AM19:AN21,$AS$17:$AT$18))*$AA$16:$AB$18)</f>
        <v>-0.15993640119581368</v>
      </c>
      <c r="AI22">
        <v>0</v>
      </c>
      <c r="AJ22">
        <v>0</v>
      </c>
      <c r="AK22">
        <v>0</v>
      </c>
      <c r="AL22" s="9">
        <v>0</v>
      </c>
      <c r="AM22" s="10">
        <v>0.18675867741169788</v>
      </c>
      <c r="AN22">
        <v>0</v>
      </c>
      <c r="AO22">
        <v>0</v>
      </c>
      <c r="AP22">
        <v>0</v>
      </c>
      <c r="AS22">
        <v>1</v>
      </c>
      <c r="AT22">
        <v>0</v>
      </c>
      <c r="AU22">
        <v>0</v>
      </c>
    </row>
    <row r="23" spans="2:47" x14ac:dyDescent="0.25">
      <c r="L23">
        <v>2</v>
      </c>
      <c r="M23">
        <v>-2.9418578085603255</v>
      </c>
      <c r="O23" s="9">
        <v>2</v>
      </c>
      <c r="P23" s="10">
        <v>1</v>
      </c>
      <c r="T23" s="9">
        <v>3</v>
      </c>
      <c r="U23">
        <v>-0.49153526439622375</v>
      </c>
      <c r="V23">
        <v>0.31112910650450176</v>
      </c>
      <c r="W23" s="10">
        <v>-6.6711155578689729E-2</v>
      </c>
      <c r="Z23" s="9">
        <v>2</v>
      </c>
      <c r="AA23" s="17" cm="1">
        <f t="array" ref="AA23">SUM(MMULT($AS$20:$AU$22,MMULT(AL20:AM22,$AS$17:$AT$18))*$AA$16:$AB$18)</f>
        <v>-0.13149963702306047</v>
      </c>
      <c r="AB23" s="14" cm="1">
        <f t="array" ref="AB23">SUM(MMULT($AS$20:$AU$22,MMULT(AM20:AN22,$AS$17:$AT$18))*$AA$16:$AB$18)</f>
        <v>-0.34000174362484115</v>
      </c>
      <c r="AI23">
        <v>0</v>
      </c>
      <c r="AJ23">
        <v>0</v>
      </c>
      <c r="AK23">
        <v>0</v>
      </c>
      <c r="AL23" s="9">
        <v>1.0964669349876444E-2</v>
      </c>
      <c r="AM23" s="10">
        <v>0</v>
      </c>
      <c r="AN23">
        <v>0</v>
      </c>
      <c r="AO23">
        <v>0</v>
      </c>
      <c r="AP23">
        <v>0</v>
      </c>
    </row>
    <row r="24" spans="2:47" x14ac:dyDescent="0.25">
      <c r="I24" t="s">
        <v>28</v>
      </c>
      <c r="J24" t="s">
        <v>58</v>
      </c>
      <c r="L24">
        <v>3</v>
      </c>
      <c r="M24">
        <v>0.57311162397466386</v>
      </c>
      <c r="O24" s="11">
        <v>3</v>
      </c>
      <c r="P24" s="12">
        <v>1</v>
      </c>
      <c r="T24" s="9">
        <v>4</v>
      </c>
      <c r="U24">
        <v>-0.20888561752369922</v>
      </c>
      <c r="V24">
        <v>-0.20255667324771548</v>
      </c>
      <c r="W24" s="10">
        <v>0.2207013124968189</v>
      </c>
      <c r="Z24" s="9">
        <v>3</v>
      </c>
      <c r="AA24" s="17" cm="1">
        <f t="array" ref="AA24">SUM(MMULT($AS$20:$AU$22,MMULT(AL21:AM23,$AS$17:$AT$18))*$AA$16:$AB$18)</f>
        <v>0.23678865655933787</v>
      </c>
      <c r="AB24" s="14" cm="1">
        <f t="array" ref="AB24">SUM(MMULT($AS$20:$AU$22,MMULT(AM21:AN23,$AS$17:$AT$18))*$AA$16:$AB$18)</f>
        <v>-0.3499621886403611</v>
      </c>
      <c r="AI24">
        <v>0</v>
      </c>
      <c r="AJ24">
        <v>0</v>
      </c>
      <c r="AK24">
        <v>0</v>
      </c>
      <c r="AL24" s="9">
        <v>0.19633817774343448</v>
      </c>
      <c r="AM24" s="10">
        <v>0</v>
      </c>
      <c r="AN24">
        <v>0</v>
      </c>
      <c r="AO24">
        <v>0</v>
      </c>
      <c r="AP24">
        <v>0</v>
      </c>
    </row>
    <row r="25" spans="2:47" x14ac:dyDescent="0.25">
      <c r="I25">
        <v>1</v>
      </c>
      <c r="J25">
        <v>2</v>
      </c>
      <c r="T25" s="9">
        <v>5</v>
      </c>
      <c r="U25">
        <v>-0.37653427200599987</v>
      </c>
      <c r="V25">
        <v>-0.18635900562718444</v>
      </c>
      <c r="W25" s="10">
        <v>0.25771626604547393</v>
      </c>
      <c r="Z25" s="9">
        <v>4</v>
      </c>
      <c r="AA25" s="17" cm="1">
        <f t="array" ref="AA25">SUM(MMULT($AS$20:$AU$22,MMULT(AL22:AM24,$AS$17:$AT$18))*$AA$16:$AB$18)</f>
        <v>-5.9635255940534704E-2</v>
      </c>
      <c r="AB25" s="14" cm="1">
        <f t="array" ref="AB25">SUM(MMULT($AS$20:$AU$22,MMULT(AM22:AN24,$AS$17:$AT$18))*$AA$16:$AB$18)</f>
        <v>-0.17069743115429187</v>
      </c>
      <c r="AI25">
        <v>0</v>
      </c>
      <c r="AJ25">
        <v>0</v>
      </c>
      <c r="AK25">
        <v>0</v>
      </c>
      <c r="AL25" s="11">
        <v>4.0735369253453321E-2</v>
      </c>
      <c r="AM25" s="12">
        <v>0</v>
      </c>
      <c r="AN25">
        <v>0</v>
      </c>
      <c r="AO25">
        <v>0</v>
      </c>
      <c r="AP25">
        <v>0</v>
      </c>
    </row>
    <row r="26" spans="2:47" x14ac:dyDescent="0.25">
      <c r="H26">
        <v>1</v>
      </c>
      <c r="I26">
        <f t="shared" ref="I26:J31" si="6">MAX(0,I17)</f>
        <v>3.7265025686892908</v>
      </c>
      <c r="J26">
        <f>MAX(0,J17)</f>
        <v>2.578660515266967</v>
      </c>
      <c r="L26" s="5"/>
      <c r="M26" s="16" t="s">
        <v>59</v>
      </c>
      <c r="N26" s="7"/>
      <c r="O26" t="s">
        <v>60</v>
      </c>
      <c r="T26" s="9">
        <v>6</v>
      </c>
      <c r="U26">
        <v>0.66907785830097422</v>
      </c>
      <c r="V26">
        <v>0.8913418857326576</v>
      </c>
      <c r="W26" s="10">
        <v>0.79802483628122356</v>
      </c>
      <c r="Z26" s="9">
        <v>5</v>
      </c>
      <c r="AA26" s="17" cm="1">
        <f t="array" ref="AA26">SUM(MMULT($AS$20:$AU$22,MMULT(AL23:AM25,$AS$17:$AT$18))*$AA$16:$AB$18)</f>
        <v>-0.23198828068867802</v>
      </c>
      <c r="AB26" s="14" cm="1">
        <f t="array" ref="AB26">SUM(MMULT($AS$20:$AU$22,MMULT(AM23:AN25,$AS$17:$AT$18))*$AA$16:$AB$18)</f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2:47" x14ac:dyDescent="0.25">
      <c r="H27">
        <v>2</v>
      </c>
      <c r="I27">
        <f t="shared" si="6"/>
        <v>0.9261933445799948</v>
      </c>
      <c r="J27">
        <f t="shared" si="6"/>
        <v>2.3298871002733854</v>
      </c>
      <c r="L27" s="9"/>
      <c r="M27">
        <v>1</v>
      </c>
      <c r="N27" s="10"/>
      <c r="T27" s="9">
        <v>7</v>
      </c>
      <c r="U27">
        <v>-4.9249593053885876E-2</v>
      </c>
      <c r="V27">
        <v>-0.86408976586570696</v>
      </c>
      <c r="W27" s="10">
        <v>0.31993268045385193</v>
      </c>
      <c r="Z27" s="11">
        <v>6</v>
      </c>
      <c r="AA27" s="18" cm="1">
        <f t="array" ref="AA27">SUM(MMULT($AS$20:$AU$22,MMULT(AL24:AM26,$AS$17:$AT$18))*$AA$16:$AB$18)</f>
        <v>-0.21925155021812304</v>
      </c>
      <c r="AB27" s="15" cm="1">
        <f t="array" ref="AB27">SUM(MMULT($AS$20:$AU$22,MMULT(AM24:AN26,$AS$17:$AT$18))*$AA$16:$AB$18)</f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2:47" x14ac:dyDescent="0.25">
      <c r="H28">
        <v>3</v>
      </c>
      <c r="I28">
        <f t="shared" si="6"/>
        <v>1.0663402409710838</v>
      </c>
      <c r="J28">
        <f t="shared" si="6"/>
        <v>2.5194060901838085</v>
      </c>
      <c r="L28" s="9">
        <v>1</v>
      </c>
      <c r="M28">
        <f t="shared" ref="M28:M30" si="7">1/(1+EXP(-M22))</f>
        <v>0.14689662216313995</v>
      </c>
      <c r="N28" s="10" t="s">
        <v>10</v>
      </c>
      <c r="T28" s="9">
        <v>8</v>
      </c>
      <c r="U28">
        <v>0.63201391250153693</v>
      </c>
      <c r="V28">
        <v>0.18443722862080664</v>
      </c>
      <c r="W28" s="10">
        <v>-0.47291854858519072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2:47" x14ac:dyDescent="0.25">
      <c r="H29">
        <v>4</v>
      </c>
      <c r="I29">
        <f t="shared" si="6"/>
        <v>1.61039894979859</v>
      </c>
      <c r="J29">
        <f t="shared" si="6"/>
        <v>1.2279175852702235</v>
      </c>
      <c r="L29" s="9">
        <v>2</v>
      </c>
      <c r="M29">
        <f t="shared" si="7"/>
        <v>5.0122748110857353E-2</v>
      </c>
      <c r="N29" s="10" t="s">
        <v>11</v>
      </c>
      <c r="T29" s="9">
        <v>9</v>
      </c>
      <c r="U29">
        <v>1.0814187586052109</v>
      </c>
      <c r="V29">
        <v>-0.94761974986257203</v>
      </c>
      <c r="W29" s="10">
        <v>-0.86636668370676406</v>
      </c>
      <c r="AI29" t="s">
        <v>61</v>
      </c>
    </row>
    <row r="30" spans="2:47" x14ac:dyDescent="0.25">
      <c r="H30">
        <v>5</v>
      </c>
      <c r="I30">
        <f t="shared" si="6"/>
        <v>3.9314647214855474</v>
      </c>
      <c r="J30">
        <f t="shared" si="6"/>
        <v>1.9992675616372875</v>
      </c>
      <c r="L30" s="11">
        <v>3</v>
      </c>
      <c r="M30" s="13">
        <f t="shared" si="7"/>
        <v>0.63948085568380564</v>
      </c>
      <c r="N30" s="12" t="s">
        <v>12</v>
      </c>
      <c r="T30" s="9">
        <v>10</v>
      </c>
      <c r="U30">
        <v>0.5413630034590492</v>
      </c>
      <c r="V30">
        <v>0.36450943370777195</v>
      </c>
      <c r="W30" s="10">
        <v>-0.17641959349246047</v>
      </c>
    </row>
    <row r="31" spans="2:47" x14ac:dyDescent="0.25">
      <c r="H31">
        <v>6</v>
      </c>
      <c r="I31">
        <f t="shared" si="6"/>
        <v>0.90914028044519068</v>
      </c>
      <c r="J31">
        <f t="shared" si="6"/>
        <v>1.9038574771198606</v>
      </c>
      <c r="T31" s="9">
        <v>11</v>
      </c>
      <c r="U31">
        <v>0.39220427740026814</v>
      </c>
      <c r="V31">
        <v>0.48497494965400034</v>
      </c>
      <c r="W31" s="10">
        <v>5.7898512327444522E-2</v>
      </c>
    </row>
    <row r="32" spans="2:47" ht="26.25" x14ac:dyDescent="0.4">
      <c r="L32" s="5"/>
      <c r="M32" s="16" t="s">
        <v>62</v>
      </c>
      <c r="N32" s="7"/>
      <c r="O32" t="s">
        <v>63</v>
      </c>
      <c r="T32" s="11">
        <v>12</v>
      </c>
      <c r="U32" s="13">
        <v>-9.5282499874157808E-2</v>
      </c>
      <c r="V32" s="13">
        <v>-0.44248619026909947</v>
      </c>
      <c r="W32" s="12">
        <v>4.0307618571883766E-2</v>
      </c>
      <c r="AA32" s="4" t="s">
        <v>64</v>
      </c>
    </row>
    <row r="33" spans="4:45" ht="26.25" x14ac:dyDescent="0.4">
      <c r="I33" t="s">
        <v>33</v>
      </c>
      <c r="L33" s="9"/>
      <c r="M33">
        <v>1</v>
      </c>
      <c r="N33" s="22" t="s">
        <v>65</v>
      </c>
      <c r="AA33" s="4" t="s">
        <v>20</v>
      </c>
    </row>
    <row r="34" spans="4:45" x14ac:dyDescent="0.25">
      <c r="I34" t="s">
        <v>66</v>
      </c>
      <c r="J34" t="s">
        <v>67</v>
      </c>
      <c r="L34" s="23" t="s">
        <v>68</v>
      </c>
      <c r="M34" s="1">
        <f>((2/(1+DATA!$I$16))*N34*LN(M28)+((2*DATA!$I$16)/(1+DATA!$I$16))*(1-N34)*LN(1-M28))</f>
        <v>-3.4392193755148552</v>
      </c>
      <c r="N34" s="10">
        <v>1</v>
      </c>
      <c r="T34" s="5"/>
      <c r="U34" s="8" t="s">
        <v>23</v>
      </c>
      <c r="V34" t="s">
        <v>69</v>
      </c>
      <c r="AA34" t="s">
        <v>70</v>
      </c>
      <c r="AC34" t="s">
        <v>25</v>
      </c>
      <c r="AD34" t="s">
        <v>71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4:45" x14ac:dyDescent="0.25">
      <c r="E35">
        <v>1</v>
      </c>
      <c r="F35">
        <v>2</v>
      </c>
      <c r="I35">
        <v>1</v>
      </c>
      <c r="L35" s="9">
        <v>2</v>
      </c>
      <c r="M35" s="1">
        <f>((2/(1+DATA!$I$17))*N35*LN(M29)+((2*DATA!$I$17)/(1+DATA!$I$17))*(1-N35)*LN(1-M29))</f>
        <v>-3.9179056208333229E-2</v>
      </c>
      <c r="N35" s="10">
        <v>0</v>
      </c>
      <c r="T35" s="9"/>
      <c r="U35" s="10">
        <v>1</v>
      </c>
      <c r="AA35">
        <v>1</v>
      </c>
      <c r="AB35" s="2" t="s">
        <v>72</v>
      </c>
      <c r="AC35">
        <v>1</v>
      </c>
      <c r="AD35">
        <v>2</v>
      </c>
      <c r="AE35">
        <v>3</v>
      </c>
      <c r="AF35">
        <v>4</v>
      </c>
      <c r="AG35">
        <v>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4:45" x14ac:dyDescent="0.25">
      <c r="D36">
        <v>1</v>
      </c>
      <c r="E36">
        <f>MAX(I26:I31)</f>
        <v>3.9314647214855474</v>
      </c>
      <c r="F36">
        <f>MAX(J26:J31)</f>
        <v>2.578660515266967</v>
      </c>
      <c r="H36">
        <v>1</v>
      </c>
      <c r="I36" s="17">
        <f t="shared" ref="I36:I41" si="8">MAX(I26:J26)</f>
        <v>3.7265025686892908</v>
      </c>
      <c r="L36" s="9">
        <v>3</v>
      </c>
      <c r="M36" s="1">
        <f>((2/(1+DATA!$I$18))*N36*LN(M30)+((2*DATA!$I$18)/(1+DATA!$I$18))*(1-N36)*LN(1-M30))</f>
        <v>-0.7045189978559423</v>
      </c>
      <c r="N36" s="10">
        <v>1</v>
      </c>
      <c r="T36" s="9">
        <v>1</v>
      </c>
      <c r="U36" s="10">
        <f t="shared" ref="U36:U38" si="9">P22-$M$39*$U14</f>
        <v>1.0509900869511686</v>
      </c>
      <c r="Z36">
        <v>1</v>
      </c>
      <c r="AA36" s="17">
        <f t="shared" ref="AA36:AA41" si="10">AA22</f>
        <v>-0.2870757183324163</v>
      </c>
      <c r="AB36">
        <f>MATCH(MAX(FRONTEND!M28:Q28),FRONTEND!M28:Q28,0)</f>
        <v>4</v>
      </c>
      <c r="AC36">
        <f t="shared" ref="AC36:AG41" si="11">IF($AB36=AC$35,$AA36,0)</f>
        <v>0</v>
      </c>
      <c r="AD36">
        <f t="shared" si="11"/>
        <v>0</v>
      </c>
      <c r="AE36">
        <f t="shared" si="11"/>
        <v>0</v>
      </c>
      <c r="AF36">
        <f t="shared" si="11"/>
        <v>-0.2870757183324163</v>
      </c>
      <c r="AG36">
        <f t="shared" si="11"/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4:45" x14ac:dyDescent="0.25">
      <c r="H37">
        <v>2</v>
      </c>
      <c r="I37" s="17">
        <f t="shared" si="8"/>
        <v>2.3298871002733854</v>
      </c>
      <c r="L37" s="24" t="s">
        <v>6</v>
      </c>
      <c r="M37" s="13">
        <f>-1*SUM(M34:M36)/3</f>
        <v>1.3943058098597103</v>
      </c>
      <c r="N37" s="12"/>
      <c r="T37" s="9">
        <v>2</v>
      </c>
      <c r="U37" s="10">
        <f t="shared" si="9"/>
        <v>0.9996543258750975</v>
      </c>
      <c r="Z37">
        <v>2</v>
      </c>
      <c r="AA37" s="17">
        <f t="shared" si="10"/>
        <v>-0.13149963702306047</v>
      </c>
      <c r="AB37">
        <f>MATCH(MAX(FRONTEND!M29:Q29),FRONTEND!M29:Q29,0)</f>
        <v>2</v>
      </c>
      <c r="AC37">
        <f t="shared" si="11"/>
        <v>0</v>
      </c>
      <c r="AD37">
        <f t="shared" si="11"/>
        <v>-0.13149963702306047</v>
      </c>
      <c r="AE37">
        <f t="shared" si="11"/>
        <v>0</v>
      </c>
      <c r="AF37">
        <f t="shared" si="11"/>
        <v>0</v>
      </c>
      <c r="AG37">
        <f t="shared" si="11"/>
        <v>0</v>
      </c>
      <c r="AI37">
        <v>0</v>
      </c>
      <c r="AJ37">
        <v>0</v>
      </c>
      <c r="AK37">
        <v>0</v>
      </c>
      <c r="AL37" s="5" cm="1">
        <f t="array" ref="AL37:AP42">FRONTEND!B4:F9</f>
        <v>9.8070127981472688E-2</v>
      </c>
      <c r="AM37" s="6">
        <v>0.76989837351610546</v>
      </c>
      <c r="AN37" s="6">
        <v>1.0888675284528564</v>
      </c>
      <c r="AO37" s="6">
        <v>0.41864132753818439</v>
      </c>
      <c r="AP37" s="7">
        <v>-0.54807215149909738</v>
      </c>
      <c r="AQ37">
        <v>0</v>
      </c>
      <c r="AR37">
        <v>0</v>
      </c>
      <c r="AS37">
        <v>0</v>
      </c>
    </row>
    <row r="38" spans="4:45" x14ac:dyDescent="0.25">
      <c r="H38">
        <v>3</v>
      </c>
      <c r="I38" s="17">
        <f t="shared" si="8"/>
        <v>2.5194060901838085</v>
      </c>
      <c r="T38" s="11">
        <v>3</v>
      </c>
      <c r="U38" s="12">
        <f t="shared" si="9"/>
        <v>1.021548270694761</v>
      </c>
      <c r="Z38">
        <v>3</v>
      </c>
      <c r="AA38" s="17">
        <f t="shared" si="10"/>
        <v>0.23678865655933787</v>
      </c>
      <c r="AB38">
        <f>MATCH(MAX(FRONTEND!M30:Q30),FRONTEND!M30:Q30,0)</f>
        <v>3</v>
      </c>
      <c r="AC38">
        <f t="shared" si="11"/>
        <v>0</v>
      </c>
      <c r="AD38">
        <f t="shared" si="11"/>
        <v>0</v>
      </c>
      <c r="AE38">
        <f t="shared" si="11"/>
        <v>0.23678865655933787</v>
      </c>
      <c r="AF38">
        <f t="shared" si="11"/>
        <v>0</v>
      </c>
      <c r="AG38">
        <f t="shared" si="11"/>
        <v>0</v>
      </c>
      <c r="AI38">
        <v>0</v>
      </c>
      <c r="AJ38">
        <v>0</v>
      </c>
      <c r="AK38">
        <v>0</v>
      </c>
      <c r="AL38" s="9">
        <v>0.3947945813296071</v>
      </c>
      <c r="AM38">
        <v>0.76298402984034686</v>
      </c>
      <c r="AN38">
        <v>-1.5092547447204521</v>
      </c>
      <c r="AO38">
        <v>0.78695236170270555</v>
      </c>
      <c r="AP38" s="10">
        <v>-1.6514230540804744</v>
      </c>
      <c r="AQ38">
        <v>0</v>
      </c>
      <c r="AR38">
        <v>0</v>
      </c>
      <c r="AS38">
        <v>0</v>
      </c>
    </row>
    <row r="39" spans="4:45" x14ac:dyDescent="0.25">
      <c r="H39">
        <v>4</v>
      </c>
      <c r="I39" s="17">
        <f t="shared" si="8"/>
        <v>1.61039894979859</v>
      </c>
      <c r="L39" s="2" t="s">
        <v>73</v>
      </c>
      <c r="M39">
        <v>0.1</v>
      </c>
      <c r="Z39">
        <v>4</v>
      </c>
      <c r="AA39" s="17">
        <f t="shared" si="10"/>
        <v>-5.9635255940534704E-2</v>
      </c>
      <c r="AB39">
        <f>MATCH(MAX(FRONTEND!M31:Q31),FRONTEND!M31:Q31,0)</f>
        <v>4</v>
      </c>
      <c r="AC39">
        <f t="shared" si="11"/>
        <v>0</v>
      </c>
      <c r="AD39">
        <f t="shared" si="11"/>
        <v>0</v>
      </c>
      <c r="AE39">
        <f t="shared" si="11"/>
        <v>0</v>
      </c>
      <c r="AF39">
        <f t="shared" si="11"/>
        <v>-5.9635255940534704E-2</v>
      </c>
      <c r="AG39">
        <f t="shared" si="11"/>
        <v>0</v>
      </c>
      <c r="AI39">
        <v>0</v>
      </c>
      <c r="AJ39">
        <v>0</v>
      </c>
      <c r="AK39">
        <v>0</v>
      </c>
      <c r="AL39" s="9">
        <v>1.2610501600821225</v>
      </c>
      <c r="AM39">
        <v>1.0201001967063095</v>
      </c>
      <c r="AN39">
        <v>0.20946802791688546</v>
      </c>
      <c r="AO39">
        <v>-1.5474479187727208</v>
      </c>
      <c r="AP39" s="10">
        <v>-0.51000095484744268</v>
      </c>
      <c r="AQ39">
        <v>0</v>
      </c>
      <c r="AR39">
        <v>0</v>
      </c>
      <c r="AS39">
        <v>0</v>
      </c>
    </row>
    <row r="40" spans="4:45" x14ac:dyDescent="0.25">
      <c r="H40">
        <v>5</v>
      </c>
      <c r="I40" s="17">
        <f t="shared" si="8"/>
        <v>3.9314647214855474</v>
      </c>
      <c r="U40" t="s">
        <v>74</v>
      </c>
      <c r="Z40">
        <v>5</v>
      </c>
      <c r="AA40" s="17">
        <f t="shared" si="10"/>
        <v>-0.23198828068867802</v>
      </c>
      <c r="AB40">
        <f>MATCH(MAX(FRONTEND!M32:Q32),FRONTEND!M32:Q32,0)</f>
        <v>1</v>
      </c>
      <c r="AC40">
        <f t="shared" si="11"/>
        <v>-0.23198828068867802</v>
      </c>
      <c r="AD40">
        <f t="shared" si="11"/>
        <v>0</v>
      </c>
      <c r="AE40">
        <f t="shared" si="11"/>
        <v>0</v>
      </c>
      <c r="AF40">
        <f t="shared" si="11"/>
        <v>0</v>
      </c>
      <c r="AG40">
        <f t="shared" si="11"/>
        <v>0</v>
      </c>
      <c r="AI40">
        <v>0</v>
      </c>
      <c r="AJ40">
        <v>0</v>
      </c>
      <c r="AK40">
        <v>0</v>
      </c>
      <c r="AL40" s="9">
        <v>-1.914822845899089</v>
      </c>
      <c r="AM40">
        <v>-0.96507706088431011</v>
      </c>
      <c r="AN40">
        <v>-0.73600695036684105</v>
      </c>
      <c r="AO40">
        <v>-1.2146668976505628</v>
      </c>
      <c r="AP40" s="10">
        <v>0.61213976054071273</v>
      </c>
      <c r="AQ40">
        <v>0</v>
      </c>
      <c r="AR40">
        <v>0</v>
      </c>
      <c r="AS40">
        <v>0</v>
      </c>
    </row>
    <row r="41" spans="4:45" x14ac:dyDescent="0.25">
      <c r="H41">
        <v>6</v>
      </c>
      <c r="I41" s="17">
        <f t="shared" si="8"/>
        <v>1.9038574771198606</v>
      </c>
      <c r="U41">
        <v>1</v>
      </c>
      <c r="V41" t="s">
        <v>75</v>
      </c>
      <c r="Z41">
        <v>6</v>
      </c>
      <c r="AA41" s="17">
        <f t="shared" si="10"/>
        <v>-0.21925155021812304</v>
      </c>
      <c r="AB41">
        <f>MATCH(MAX(FRONTEND!M33:Q33),FRONTEND!M33:Q33,0)</f>
        <v>5</v>
      </c>
      <c r="AC41">
        <f t="shared" si="11"/>
        <v>0</v>
      </c>
      <c r="AD41">
        <f t="shared" si="11"/>
        <v>0</v>
      </c>
      <c r="AE41">
        <f t="shared" si="11"/>
        <v>0</v>
      </c>
      <c r="AF41">
        <f t="shared" si="11"/>
        <v>0</v>
      </c>
      <c r="AG41">
        <f t="shared" si="11"/>
        <v>-0.21925155021812304</v>
      </c>
      <c r="AI41">
        <v>0</v>
      </c>
      <c r="AJ41">
        <v>0</v>
      </c>
      <c r="AK41">
        <v>0</v>
      </c>
      <c r="AL41" s="9">
        <v>0.61185767787065537</v>
      </c>
      <c r="AM41">
        <v>-1.6862564508613829</v>
      </c>
      <c r="AN41">
        <v>-0.39331255882270999</v>
      </c>
      <c r="AO41">
        <v>1.027314449369916</v>
      </c>
      <c r="AP41" s="10">
        <v>1.3115002107703582</v>
      </c>
      <c r="AQ41">
        <v>0</v>
      </c>
      <c r="AR41">
        <v>0</v>
      </c>
      <c r="AS41">
        <v>0</v>
      </c>
    </row>
    <row r="42" spans="4:45" x14ac:dyDescent="0.25">
      <c r="T42">
        <v>1</v>
      </c>
      <c r="U42" s="17" cm="1">
        <f t="array" ref="U42">SUM(MMULT(TRANSPOSE($U$14:$U$16),TRANSPOSE(P7:R7)))</f>
        <v>0.23365278914171136</v>
      </c>
      <c r="AI42">
        <v>0</v>
      </c>
      <c r="AJ42">
        <v>0</v>
      </c>
      <c r="AK42">
        <v>0</v>
      </c>
      <c r="AL42" s="11">
        <v>-0.45094970136476858</v>
      </c>
      <c r="AM42" s="13">
        <v>9.8350911682930572E-2</v>
      </c>
      <c r="AN42" s="13">
        <v>1.3402386975402607</v>
      </c>
      <c r="AO42" s="13">
        <v>0.52920667781247754</v>
      </c>
      <c r="AP42" s="12">
        <v>0.78585618911594302</v>
      </c>
      <c r="AQ42">
        <v>0</v>
      </c>
      <c r="AR42">
        <v>0</v>
      </c>
      <c r="AS42">
        <v>0</v>
      </c>
    </row>
    <row r="43" spans="4:45" x14ac:dyDescent="0.25">
      <c r="I43" t="s">
        <v>76</v>
      </c>
      <c r="T43">
        <v>2</v>
      </c>
      <c r="U43" s="17" cm="1">
        <f t="array" ref="U43">SUM(MMULT(TRANSPOSE($U$14:$U$16),TRANSPOSE(P8:R8)))</f>
        <v>0.2681746894535007</v>
      </c>
      <c r="AA43" t="s">
        <v>43</v>
      </c>
      <c r="AB43" t="s">
        <v>77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4:45" x14ac:dyDescent="0.25">
      <c r="I44" t="s">
        <v>66</v>
      </c>
      <c r="J44" t="s">
        <v>67</v>
      </c>
      <c r="T44">
        <v>3</v>
      </c>
      <c r="U44" s="17" cm="1">
        <f t="array" ref="U44">SUM(MMULT(TRANSPOSE($U$14:$U$16),TRANSPOSE(P9:R9)))</f>
        <v>0.3432904499076021</v>
      </c>
      <c r="AA44">
        <v>1</v>
      </c>
      <c r="AB44">
        <v>2</v>
      </c>
      <c r="AC44">
        <v>3</v>
      </c>
      <c r="AD44">
        <v>4</v>
      </c>
      <c r="AE44">
        <v>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4:45" x14ac:dyDescent="0.25">
      <c r="E45">
        <v>1</v>
      </c>
      <c r="F45">
        <v>2</v>
      </c>
      <c r="I45">
        <v>1</v>
      </c>
      <c r="T45">
        <v>4</v>
      </c>
      <c r="U45" s="17" cm="1">
        <f t="array" ref="U45">SUM(MMULT(TRANSPOSE($U$14:$U$16),TRANSPOSE(P10:R10)))</f>
        <v>0.10760310780334223</v>
      </c>
      <c r="Z45">
        <v>1</v>
      </c>
      <c r="AA45">
        <f t="shared" ref="AA45:AA50" si="12">AC36*IF(AC36&gt;0,1,0)</f>
        <v>0</v>
      </c>
      <c r="AB45">
        <f t="shared" ref="AB45:AE50" si="13">AD36*IF(AD36&gt;0,1,0)</f>
        <v>0</v>
      </c>
      <c r="AC45">
        <f t="shared" si="13"/>
        <v>0</v>
      </c>
      <c r="AD45">
        <f t="shared" si="13"/>
        <v>0</v>
      </c>
      <c r="AE45">
        <f t="shared" si="13"/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4:45" x14ac:dyDescent="0.25">
      <c r="D46">
        <v>1</v>
      </c>
      <c r="E46">
        <f>AVERAGE(I26:I31)</f>
        <v>2.0283400176616162</v>
      </c>
      <c r="F46">
        <f>AVERAGE(J26:J31)</f>
        <v>2.0931660549585884</v>
      </c>
      <c r="H46">
        <v>1</v>
      </c>
      <c r="I46" s="20">
        <f t="shared" ref="I46:I51" si="14">AVERAGE(I26:J26)</f>
        <v>3.1525815419781287</v>
      </c>
      <c r="T46">
        <v>5</v>
      </c>
      <c r="U46" s="17" cm="1">
        <f t="array" ref="U46">SUM(MMULT(TRANSPOSE($U$14:$U$16),TRANSPOSE(P11:R11)))</f>
        <v>0.25629479627523688</v>
      </c>
      <c r="Z46">
        <v>2</v>
      </c>
      <c r="AA46">
        <f t="shared" si="12"/>
        <v>0</v>
      </c>
      <c r="AB46">
        <f t="shared" si="13"/>
        <v>0</v>
      </c>
      <c r="AC46">
        <f t="shared" ref="AC46:AC50" si="15">AE37*IF(AE37&gt;0,1,0)</f>
        <v>0</v>
      </c>
      <c r="AD46">
        <f t="shared" ref="AD46:AD50" si="16">AF37*IF(AF37&gt;0,1,0)</f>
        <v>0</v>
      </c>
      <c r="AE46">
        <f t="shared" ref="AE46:AE50" si="17">AG37*IF(AG37&gt;0,1,0)</f>
        <v>0</v>
      </c>
    </row>
    <row r="47" spans="4:45" x14ac:dyDescent="0.25">
      <c r="H47">
        <v>2</v>
      </c>
      <c r="I47" s="20">
        <f t="shared" si="14"/>
        <v>1.6280402224266901</v>
      </c>
      <c r="T47">
        <v>6</v>
      </c>
      <c r="U47" s="17" cm="1">
        <f t="array" ref="U47">SUM(MMULT(TRANSPOSE($U$14:$U$16),TRANSPOSE(P12:R12)))</f>
        <v>-0.45170029332589579</v>
      </c>
      <c r="Z47">
        <v>3</v>
      </c>
      <c r="AA47">
        <f t="shared" si="12"/>
        <v>0</v>
      </c>
      <c r="AB47">
        <f t="shared" si="13"/>
        <v>0</v>
      </c>
      <c r="AC47">
        <f t="shared" si="15"/>
        <v>0.23678865655933787</v>
      </c>
      <c r="AD47">
        <f t="shared" si="16"/>
        <v>0</v>
      </c>
      <c r="AE47">
        <f t="shared" si="17"/>
        <v>0</v>
      </c>
    </row>
    <row r="48" spans="4:45" x14ac:dyDescent="0.25">
      <c r="H48">
        <v>3</v>
      </c>
      <c r="I48" s="20">
        <f t="shared" si="14"/>
        <v>1.7928731655774461</v>
      </c>
      <c r="T48">
        <v>7</v>
      </c>
      <c r="U48" s="20" cm="1">
        <f t="array" ref="U48">SUM(MMULT(TRANSPOSE($U$14:$U$16),TRANSPOSE(P13:R13)))</f>
        <v>4.9794372748748053E-2</v>
      </c>
      <c r="Z48">
        <v>4</v>
      </c>
      <c r="AA48">
        <f t="shared" si="12"/>
        <v>0</v>
      </c>
      <c r="AB48">
        <f t="shared" si="13"/>
        <v>0</v>
      </c>
      <c r="AC48">
        <f t="shared" si="15"/>
        <v>0</v>
      </c>
      <c r="AD48">
        <f t="shared" si="16"/>
        <v>0</v>
      </c>
      <c r="AE48">
        <f t="shared" si="17"/>
        <v>0</v>
      </c>
    </row>
    <row r="49" spans="4:37" x14ac:dyDescent="0.25">
      <c r="H49">
        <v>4</v>
      </c>
      <c r="I49" s="20">
        <f t="shared" si="14"/>
        <v>1.4191582675344068</v>
      </c>
      <c r="T49">
        <v>8</v>
      </c>
      <c r="U49" s="20" cm="1">
        <f t="array" ref="U49">SUM(MMULT(TRANSPOSE($U$14:$U$16),TRANSPOSE(P14:R14)))</f>
        <v>-0.16983086510146023</v>
      </c>
      <c r="Z49">
        <v>5</v>
      </c>
      <c r="AA49">
        <f t="shared" si="12"/>
        <v>0</v>
      </c>
      <c r="AB49">
        <f t="shared" si="13"/>
        <v>0</v>
      </c>
      <c r="AC49">
        <f t="shared" si="15"/>
        <v>0</v>
      </c>
      <c r="AD49">
        <f t="shared" si="16"/>
        <v>0</v>
      </c>
      <c r="AE49">
        <f t="shared" si="17"/>
        <v>0</v>
      </c>
    </row>
    <row r="50" spans="4:37" x14ac:dyDescent="0.25">
      <c r="H50">
        <v>5</v>
      </c>
      <c r="I50" s="20">
        <f t="shared" si="14"/>
        <v>2.9653661415614172</v>
      </c>
      <c r="T50">
        <v>9</v>
      </c>
      <c r="U50" s="20" cm="1">
        <f t="array" ref="U50">SUM(MMULT(TRANSPOSE($U$14:$U$16),TRANSPOSE(P15:R15)))</f>
        <v>-0.31306354499180844</v>
      </c>
      <c r="Z50">
        <v>6</v>
      </c>
      <c r="AA50">
        <f t="shared" si="12"/>
        <v>0</v>
      </c>
      <c r="AB50">
        <f t="shared" si="13"/>
        <v>0</v>
      </c>
      <c r="AC50">
        <f t="shared" si="15"/>
        <v>0</v>
      </c>
      <c r="AD50">
        <f t="shared" si="16"/>
        <v>0</v>
      </c>
      <c r="AE50">
        <f t="shared" si="17"/>
        <v>0</v>
      </c>
    </row>
    <row r="51" spans="4:37" x14ac:dyDescent="0.25">
      <c r="H51">
        <v>6</v>
      </c>
      <c r="I51" s="20">
        <f t="shared" si="14"/>
        <v>1.4064988787825257</v>
      </c>
      <c r="T51">
        <v>10</v>
      </c>
      <c r="U51" s="20" cm="1">
        <f t="array" ref="U51">SUM(MMULT(TRANSPOSE($U$14:$U$16),TRANSPOSE(P16:R16)))</f>
        <v>-0.19327687690693157</v>
      </c>
    </row>
    <row r="52" spans="4:37" x14ac:dyDescent="0.25">
      <c r="T52">
        <v>11</v>
      </c>
      <c r="U52" s="20" cm="1">
        <f t="array" ref="U52">SUM(MMULT(TRANSPOSE($U$14:$U$16),TRANSPOSE(P17:R17)))</f>
        <v>-0.11991323706360479</v>
      </c>
      <c r="Z52" s="5"/>
      <c r="AA52" s="16" t="s">
        <v>22</v>
      </c>
      <c r="AB52" s="6" t="s">
        <v>78</v>
      </c>
      <c r="AC52" s="7"/>
      <c r="AE52" s="5"/>
      <c r="AF52" s="8" t="s">
        <v>23</v>
      </c>
      <c r="AG52" t="s">
        <v>79</v>
      </c>
    </row>
    <row r="53" spans="4:37" x14ac:dyDescent="0.25">
      <c r="H53" s="5"/>
      <c r="I53" s="16" t="s">
        <v>35</v>
      </c>
      <c r="J53" s="7" t="s">
        <v>67</v>
      </c>
      <c r="T53">
        <v>12</v>
      </c>
      <c r="U53" s="20" cm="1">
        <f t="array" ref="U53">SUM(MMULT(TRANSPOSE($U$14:$U$16),TRANSPOSE(P18:R18)))</f>
        <v>8.1470738506906643E-2</v>
      </c>
      <c r="Z53" s="9"/>
      <c r="AA53">
        <v>1</v>
      </c>
      <c r="AB53">
        <v>2</v>
      </c>
      <c r="AC53" s="10">
        <v>3</v>
      </c>
      <c r="AE53" s="9"/>
      <c r="AF53" s="10">
        <v>1</v>
      </c>
    </row>
    <row r="54" spans="4:37" x14ac:dyDescent="0.25">
      <c r="E54">
        <v>1</v>
      </c>
      <c r="H54" s="9"/>
      <c r="I54">
        <v>1</v>
      </c>
      <c r="J54" s="10"/>
      <c r="Z54" s="9">
        <v>1</v>
      </c>
      <c r="AA54" cm="1">
        <f t="array" ref="AA54">FRONTEND!$M7-$M$39*SUM($AA$45:$AE$50*AK35:AO40)</f>
        <v>-0.53023032015520977</v>
      </c>
      <c r="AB54" cm="1">
        <f t="array" ref="AB54">FRONTEND!$N7-$M$39*SUM($AA$45:$AE$50*AL35:AP40)</f>
        <v>0.87121685207665622</v>
      </c>
      <c r="AC54" s="10" cm="1">
        <f t="array" ref="AC54">FRONTEND!$O7-$M$39*SUM($AA$45:$AE$50*AM35:AQ40)</f>
        <v>-0.53291295175279851</v>
      </c>
      <c r="AE54" s="11">
        <v>1</v>
      </c>
      <c r="AF54" s="12">
        <f>FRONTEND!$W$7-$M$39*SUM(AA22:AA27)</f>
        <v>1.0692661785643476</v>
      </c>
    </row>
    <row r="55" spans="4:37" x14ac:dyDescent="0.25">
      <c r="D55">
        <v>1</v>
      </c>
      <c r="E55">
        <f t="array" ref="E55:E56">TRANSPOSE(E36:F36)</f>
        <v>3.9314647214855474</v>
      </c>
      <c r="H55" s="9">
        <v>1</v>
      </c>
      <c r="I55" s="17">
        <f t="shared" ref="I55:I60" si="18">I36</f>
        <v>3.7265025686892908</v>
      </c>
      <c r="J55" s="10"/>
      <c r="T55" t="s">
        <v>80</v>
      </c>
      <c r="U55" s="17" t="s">
        <v>33</v>
      </c>
      <c r="W55" s="2" t="s">
        <v>25</v>
      </c>
      <c r="Z55" s="9">
        <v>2</v>
      </c>
      <c r="AA55" cm="1">
        <f t="array" ref="AA55">FRONTEND!$M8-$M$39*SUM($AA$45:$AE$50*AK36:AO41)</f>
        <v>0.10393340365978745</v>
      </c>
      <c r="AB55" cm="1">
        <f t="array" ref="AB55">FRONTEND!$N8-$M$39*SUM($AA$45:$AE$50*AL36:AP41)</f>
        <v>-0.16826255965918374</v>
      </c>
      <c r="AC55" s="10" cm="1">
        <f t="array" ref="AC55">FRONTEND!$O8-$M$39*SUM($AA$45:$AE$50*AM36:AQ41)</f>
        <v>-0.75863413925037815</v>
      </c>
    </row>
    <row r="56" spans="4:37" x14ac:dyDescent="0.25">
      <c r="D56">
        <v>2</v>
      </c>
      <c r="E56">
        <v>2.578660515266967</v>
      </c>
      <c r="H56" s="9">
        <v>2</v>
      </c>
      <c r="I56" s="17">
        <f t="shared" si="18"/>
        <v>2.3298871002733854</v>
      </c>
      <c r="J56" s="10"/>
      <c r="U56">
        <v>1</v>
      </c>
      <c r="V56" s="2" t="s">
        <v>72</v>
      </c>
      <c r="W56">
        <v>1</v>
      </c>
      <c r="X56">
        <v>2</v>
      </c>
      <c r="Z56" s="9">
        <v>3</v>
      </c>
      <c r="AA56" cm="1">
        <f t="array" ref="AA56">FRONTEND!$M9-$M$39*SUM($AA$45:$AE$50*AK37:AO42)</f>
        <v>0.71784518448659962</v>
      </c>
      <c r="AB56" cm="1">
        <f t="array" ref="AB56">FRONTEND!$N9-$M$39*SUM($AA$45:$AE$50*AL37:AP42)</f>
        <v>0.80004003470774276</v>
      </c>
      <c r="AC56" s="10" cm="1">
        <f t="array" ref="AC56">FRONTEND!$O9-$M$39*SUM($AA$45:$AE$50*AM37:AQ42)</f>
        <v>-0.94035818862182641</v>
      </c>
    </row>
    <row r="57" spans="4:37" x14ac:dyDescent="0.25">
      <c r="D57">
        <v>3</v>
      </c>
      <c r="E57">
        <f t="array" ref="E57:E58">TRANSPOSE(E46:F46)</f>
        <v>2.0283400176616162</v>
      </c>
      <c r="H57" s="9">
        <v>3</v>
      </c>
      <c r="I57" s="17">
        <f t="shared" si="18"/>
        <v>2.5194060901838085</v>
      </c>
      <c r="J57" s="10"/>
      <c r="T57">
        <v>1</v>
      </c>
      <c r="U57" s="1">
        <f t="shared" ref="U57:U62" si="19">U42</f>
        <v>0.23365278914171136</v>
      </c>
      <c r="V57">
        <f t="shared" ref="V57:V62" si="20">MATCH(MAX(I26:J26),I26:J26,0)</f>
        <v>1</v>
      </c>
      <c r="W57">
        <f t="shared" ref="W57:W62" si="21">IF($V57=W$56,$U57,0)</f>
        <v>0.23365278914171136</v>
      </c>
      <c r="X57">
        <f t="shared" ref="X57:X62" si="22">IF($V57=X$56,$U57,0)</f>
        <v>0</v>
      </c>
      <c r="Z57" s="9">
        <v>4</v>
      </c>
      <c r="AA57" cm="1">
        <f t="array" ref="AA57">FRONTEND!$M10-$M$39*SUM($AA$45:$AE$50*AK38:AO43)</f>
        <v>0.80485193007230305</v>
      </c>
      <c r="AB57" cm="1">
        <f t="array" ref="AB57">FRONTEND!$N10-$M$39*SUM($AA$45:$AE$50*AL38:AP43)</f>
        <v>0.53342780969956993</v>
      </c>
      <c r="AC57" s="10" cm="1">
        <f t="array" ref="AC57">FRONTEND!$O10-$M$39*SUM($AA$45:$AE$50*AM38:AQ43)</f>
        <v>-0.88523806571382246</v>
      </c>
    </row>
    <row r="58" spans="4:37" x14ac:dyDescent="0.25">
      <c r="D58">
        <v>4</v>
      </c>
      <c r="E58">
        <v>2.0931660549585884</v>
      </c>
      <c r="H58" s="9">
        <v>4</v>
      </c>
      <c r="I58" s="17">
        <f t="shared" si="18"/>
        <v>1.61039894979859</v>
      </c>
      <c r="J58" s="10"/>
      <c r="T58">
        <v>2</v>
      </c>
      <c r="U58" s="1">
        <f t="shared" si="19"/>
        <v>0.2681746894535007</v>
      </c>
      <c r="V58">
        <f t="shared" si="20"/>
        <v>2</v>
      </c>
      <c r="W58">
        <f t="shared" si="21"/>
        <v>0</v>
      </c>
      <c r="X58">
        <f t="shared" si="22"/>
        <v>0.2681746894535007</v>
      </c>
      <c r="Z58" s="11">
        <v>5</v>
      </c>
      <c r="AA58" s="13" cm="1">
        <f t="array" ref="AA58">FRONTEND!$M11-$M$39*SUM($AA$45:$AE$50*AK39:AO44)</f>
        <v>0.44892863996139837</v>
      </c>
      <c r="AB58" s="13" cm="1">
        <f t="array" ref="AB58">FRONTEND!$N11-$M$39*SUM($AA$45:$AE$50*AL39:AP44)</f>
        <v>-0.42868680475884552</v>
      </c>
      <c r="AC58" s="12" cm="1">
        <f t="array" ref="AC58">FRONTEND!$O11-$M$39*SUM($AA$45:$AE$50*AM39:AQ44)</f>
        <v>0.26867435916697013</v>
      </c>
    </row>
    <row r="59" spans="4:37" x14ac:dyDescent="0.25">
      <c r="H59" s="9">
        <v>5</v>
      </c>
      <c r="I59" s="17">
        <f t="shared" si="18"/>
        <v>3.9314647214855474</v>
      </c>
      <c r="J59" s="10"/>
      <c r="T59">
        <v>3</v>
      </c>
      <c r="U59" s="1">
        <f t="shared" si="19"/>
        <v>0.3432904499076021</v>
      </c>
      <c r="V59">
        <f t="shared" si="20"/>
        <v>2</v>
      </c>
      <c r="W59">
        <f t="shared" si="21"/>
        <v>0</v>
      </c>
      <c r="X59">
        <f t="shared" si="22"/>
        <v>0.3432904499076021</v>
      </c>
    </row>
    <row r="60" spans="4:37" x14ac:dyDescent="0.25">
      <c r="H60" s="9">
        <v>6</v>
      </c>
      <c r="I60" s="17">
        <f t="shared" si="18"/>
        <v>1.9038574771198606</v>
      </c>
      <c r="J60" s="10"/>
      <c r="T60">
        <v>4</v>
      </c>
      <c r="U60" s="1">
        <f t="shared" si="19"/>
        <v>0.10760310780334223</v>
      </c>
      <c r="V60">
        <f t="shared" si="20"/>
        <v>1</v>
      </c>
      <c r="W60">
        <f t="shared" si="21"/>
        <v>0.10760310780334223</v>
      </c>
      <c r="X60">
        <f t="shared" si="22"/>
        <v>0</v>
      </c>
    </row>
    <row r="61" spans="4:37" ht="26.25" x14ac:dyDescent="0.4">
      <c r="H61" s="9">
        <v>7</v>
      </c>
      <c r="I61" s="20">
        <f t="shared" ref="I61:I66" si="23">I46</f>
        <v>3.1525815419781287</v>
      </c>
      <c r="J61" s="10"/>
      <c r="T61">
        <v>5</v>
      </c>
      <c r="U61" s="1">
        <f t="shared" si="19"/>
        <v>0.25629479627523688</v>
      </c>
      <c r="V61">
        <f t="shared" si="20"/>
        <v>1</v>
      </c>
      <c r="W61">
        <f t="shared" si="21"/>
        <v>0.25629479627523688</v>
      </c>
      <c r="X61">
        <f t="shared" si="22"/>
        <v>0</v>
      </c>
      <c r="AA61" s="4" t="s">
        <v>64</v>
      </c>
    </row>
    <row r="62" spans="4:37" ht="26.25" x14ac:dyDescent="0.4">
      <c r="H62" s="9">
        <v>8</v>
      </c>
      <c r="I62" s="20">
        <f t="shared" si="23"/>
        <v>1.6280402224266901</v>
      </c>
      <c r="J62" s="10"/>
      <c r="T62">
        <v>6</v>
      </c>
      <c r="U62" s="1">
        <f t="shared" si="19"/>
        <v>-0.45170029332589579</v>
      </c>
      <c r="V62">
        <f t="shared" si="20"/>
        <v>2</v>
      </c>
      <c r="W62">
        <f t="shared" si="21"/>
        <v>0</v>
      </c>
      <c r="X62">
        <f t="shared" si="22"/>
        <v>-0.45170029332589579</v>
      </c>
      <c r="AA62" s="4" t="s">
        <v>21</v>
      </c>
      <c r="AI62">
        <v>0</v>
      </c>
      <c r="AJ62">
        <v>0</v>
      </c>
      <c r="AK62">
        <v>0</v>
      </c>
    </row>
    <row r="63" spans="4:37" x14ac:dyDescent="0.25">
      <c r="H63" s="9">
        <v>9</v>
      </c>
      <c r="I63" s="20">
        <f t="shared" si="23"/>
        <v>1.7928731655774461</v>
      </c>
      <c r="J63" s="10"/>
      <c r="AA63" t="s">
        <v>43</v>
      </c>
      <c r="AB63" t="s">
        <v>81</v>
      </c>
      <c r="AI63">
        <v>0</v>
      </c>
      <c r="AJ63" s="25" cm="1">
        <f t="array" ref="AJ63:AJ68">FRONTEND!B26:B31</f>
        <v>0.36548104119790437</v>
      </c>
      <c r="AK63">
        <v>0</v>
      </c>
    </row>
    <row r="64" spans="4:37" x14ac:dyDescent="0.25">
      <c r="H64" s="9">
        <v>10</v>
      </c>
      <c r="I64" s="20">
        <f t="shared" si="23"/>
        <v>1.4191582675344068</v>
      </c>
      <c r="J64" s="10"/>
      <c r="T64" t="s">
        <v>80</v>
      </c>
      <c r="U64" s="20" t="s">
        <v>76</v>
      </c>
      <c r="W64" s="2" t="s">
        <v>82</v>
      </c>
      <c r="AA64">
        <v>1</v>
      </c>
      <c r="AI64">
        <v>0</v>
      </c>
      <c r="AJ64" s="26">
        <v>-0.24318936518565337</v>
      </c>
      <c r="AK64">
        <v>0</v>
      </c>
    </row>
    <row r="65" spans="8:37" x14ac:dyDescent="0.25">
      <c r="H65" s="9">
        <v>11</v>
      </c>
      <c r="I65" s="20">
        <f t="shared" si="23"/>
        <v>2.9653661415614172</v>
      </c>
      <c r="J65" s="10"/>
      <c r="U65">
        <v>1</v>
      </c>
      <c r="V65">
        <v>2</v>
      </c>
      <c r="W65" s="2">
        <v>2</v>
      </c>
      <c r="Z65">
        <v>1</v>
      </c>
      <c r="AA65" s="20">
        <f t="shared" ref="AA65:AA70" si="24">AB22*IF(AB22&gt;0,1,0)</f>
        <v>0</v>
      </c>
      <c r="AI65">
        <v>0</v>
      </c>
      <c r="AJ65" s="26">
        <v>8.6633902217030781E-2</v>
      </c>
      <c r="AK65">
        <v>0</v>
      </c>
    </row>
    <row r="66" spans="8:37" x14ac:dyDescent="0.25">
      <c r="H66" s="11">
        <v>12</v>
      </c>
      <c r="I66" s="27">
        <f t="shared" si="23"/>
        <v>1.4064988787825257</v>
      </c>
      <c r="J66" s="12"/>
      <c r="T66">
        <v>1</v>
      </c>
      <c r="U66">
        <f t="shared" ref="U66:U71" si="25">$U48*1/$W$65</f>
        <v>2.4897186374374027E-2</v>
      </c>
      <c r="V66">
        <f t="shared" ref="V66:V71" si="26">$U48*1/$W$65</f>
        <v>2.4897186374374027E-2</v>
      </c>
      <c r="Z66">
        <v>2</v>
      </c>
      <c r="AA66" s="20">
        <f t="shared" si="24"/>
        <v>0</v>
      </c>
      <c r="AI66">
        <v>0</v>
      </c>
      <c r="AJ66" s="26">
        <v>-0.84368679885201792</v>
      </c>
      <c r="AK66">
        <v>0</v>
      </c>
    </row>
    <row r="67" spans="8:37" x14ac:dyDescent="0.25">
      <c r="T67">
        <v>2</v>
      </c>
      <c r="U67">
        <f t="shared" si="25"/>
        <v>-8.4915432550730113E-2</v>
      </c>
      <c r="V67">
        <f t="shared" si="26"/>
        <v>-8.4915432550730113E-2</v>
      </c>
      <c r="Z67">
        <v>3</v>
      </c>
      <c r="AA67" s="20">
        <f t="shared" si="24"/>
        <v>0</v>
      </c>
      <c r="AI67">
        <v>0</v>
      </c>
      <c r="AJ67" s="26">
        <v>0.17422066566536737</v>
      </c>
      <c r="AK67">
        <v>0</v>
      </c>
    </row>
    <row r="68" spans="8:37" x14ac:dyDescent="0.25">
      <c r="T68">
        <v>3</v>
      </c>
      <c r="U68">
        <f t="shared" si="25"/>
        <v>-0.15653177249590422</v>
      </c>
      <c r="V68">
        <f t="shared" si="26"/>
        <v>-0.15653177249590422</v>
      </c>
      <c r="Z68">
        <v>4</v>
      </c>
      <c r="AA68" s="20">
        <f t="shared" si="24"/>
        <v>0</v>
      </c>
      <c r="AI68">
        <v>0</v>
      </c>
      <c r="AJ68" s="28">
        <v>0.46054055495736873</v>
      </c>
      <c r="AK68">
        <v>0</v>
      </c>
    </row>
    <row r="69" spans="8:37" x14ac:dyDescent="0.25">
      <c r="T69">
        <v>4</v>
      </c>
      <c r="U69">
        <f t="shared" si="25"/>
        <v>-9.6638438453465786E-2</v>
      </c>
      <c r="V69">
        <f t="shared" si="26"/>
        <v>-9.6638438453465786E-2</v>
      </c>
      <c r="Z69">
        <v>5</v>
      </c>
      <c r="AA69" s="20">
        <f t="shared" si="24"/>
        <v>0</v>
      </c>
      <c r="AI69">
        <v>0</v>
      </c>
      <c r="AJ69">
        <v>0</v>
      </c>
      <c r="AK69">
        <v>0</v>
      </c>
    </row>
    <row r="70" spans="8:37" x14ac:dyDescent="0.25">
      <c r="T70">
        <v>5</v>
      </c>
      <c r="U70">
        <f t="shared" si="25"/>
        <v>-5.9956618531802397E-2</v>
      </c>
      <c r="V70">
        <f t="shared" si="26"/>
        <v>-5.9956618531802397E-2</v>
      </c>
      <c r="Z70">
        <v>6</v>
      </c>
      <c r="AA70" s="20">
        <f t="shared" si="24"/>
        <v>0</v>
      </c>
    </row>
    <row r="71" spans="8:37" x14ac:dyDescent="0.25">
      <c r="T71">
        <v>6</v>
      </c>
      <c r="U71">
        <f t="shared" si="25"/>
        <v>4.0735369253453321E-2</v>
      </c>
      <c r="V71">
        <f t="shared" si="26"/>
        <v>4.0735369253453321E-2</v>
      </c>
    </row>
    <row r="72" spans="8:37" x14ac:dyDescent="0.25">
      <c r="Z72" s="5"/>
      <c r="AA72" s="8" t="s">
        <v>22</v>
      </c>
      <c r="AB72" t="s">
        <v>83</v>
      </c>
      <c r="AC72" s="5"/>
      <c r="AD72" s="8" t="s">
        <v>23</v>
      </c>
      <c r="AE72" t="s">
        <v>84</v>
      </c>
    </row>
    <row r="73" spans="8:37" x14ac:dyDescent="0.25">
      <c r="T73" s="5"/>
      <c r="U73" s="16" t="s">
        <v>85</v>
      </c>
      <c r="V73" s="7"/>
      <c r="W73" t="s">
        <v>80</v>
      </c>
      <c r="Z73" s="9"/>
      <c r="AA73" s="10">
        <v>1</v>
      </c>
      <c r="AC73" s="9"/>
      <c r="AD73" s="10">
        <v>1</v>
      </c>
    </row>
    <row r="74" spans="8:37" x14ac:dyDescent="0.25">
      <c r="T74" s="9"/>
      <c r="U74">
        <v>1</v>
      </c>
      <c r="V74" s="10">
        <v>2</v>
      </c>
      <c r="Z74" s="9">
        <v>1</v>
      </c>
      <c r="AA74" s="10" cm="1">
        <f t="array" ref="AA74">FRONTEND!T7-$M39*SUM($AA$65:$AA$70*AJ62:AJ67)</f>
        <v>0.122</v>
      </c>
      <c r="AC74" s="11">
        <v>1</v>
      </c>
      <c r="AD74" s="12">
        <f>FRONTEND!$W$7-$M$39*SUM(AB22:AB27)</f>
        <v>1.1020597764615307</v>
      </c>
    </row>
    <row r="75" spans="8:37" x14ac:dyDescent="0.25">
      <c r="T75" s="9">
        <v>1</v>
      </c>
      <c r="U75" s="17">
        <f t="shared" ref="U75:V80" si="27">W57+U66</f>
        <v>0.25854997551608538</v>
      </c>
      <c r="V75" s="14">
        <f>X57+V66</f>
        <v>2.4897186374374027E-2</v>
      </c>
      <c r="Z75" s="9">
        <v>2</v>
      </c>
      <c r="AA75" s="10" cm="1">
        <f t="array" ref="AA75">FRONTEND!T8-$M40*SUM($AA$65:$AA$70*AJ63:AJ68)</f>
        <v>0.51600000000000001</v>
      </c>
    </row>
    <row r="76" spans="8:37" x14ac:dyDescent="0.25">
      <c r="T76" s="9">
        <v>2</v>
      </c>
      <c r="U76" s="17">
        <f t="shared" si="27"/>
        <v>-8.4915432550730113E-2</v>
      </c>
      <c r="V76" s="14">
        <f t="shared" si="27"/>
        <v>0.18325925690277059</v>
      </c>
      <c r="Z76" s="11">
        <v>3</v>
      </c>
      <c r="AA76" s="12" cm="1">
        <f t="array" ref="AA76">FRONTEND!T9-$M41*SUM($AA$65:$AA$70*AJ64:AJ69)</f>
        <v>-0.97699999999999998</v>
      </c>
    </row>
    <row r="77" spans="8:37" x14ac:dyDescent="0.25">
      <c r="T77" s="9">
        <v>3</v>
      </c>
      <c r="U77" s="17">
        <f t="shared" si="27"/>
        <v>-0.15653177249590422</v>
      </c>
      <c r="V77" s="14">
        <f t="shared" si="27"/>
        <v>0.18675867741169788</v>
      </c>
    </row>
    <row r="78" spans="8:37" x14ac:dyDescent="0.25">
      <c r="T78" s="9">
        <v>4</v>
      </c>
      <c r="U78" s="17">
        <f t="shared" si="27"/>
        <v>1.0964669349876444E-2</v>
      </c>
      <c r="V78" s="14">
        <f t="shared" si="27"/>
        <v>-9.6638438453465786E-2</v>
      </c>
    </row>
    <row r="79" spans="8:37" x14ac:dyDescent="0.25">
      <c r="T79" s="9">
        <v>5</v>
      </c>
      <c r="U79" s="17">
        <f t="shared" si="27"/>
        <v>0.19633817774343448</v>
      </c>
      <c r="V79" s="14">
        <f t="shared" si="27"/>
        <v>-5.9956618531802397E-2</v>
      </c>
    </row>
    <row r="80" spans="8:37" x14ac:dyDescent="0.25">
      <c r="T80" s="11">
        <v>6</v>
      </c>
      <c r="U80" s="18">
        <f t="shared" si="27"/>
        <v>4.0735369253453321E-2</v>
      </c>
      <c r="V80" s="15">
        <f t="shared" si="27"/>
        <v>-0.41096492407244245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</vt:lpstr>
      <vt:lpstr>FRONTEND</vt:lpstr>
      <vt:lpstr>CNN-BE</vt:lpstr>
      <vt:lpstr>GRU-BE</vt:lpstr>
      <vt:lpstr>ATTN-BE</vt:lpstr>
      <vt:lpstr>EVAL</vt:lpstr>
      <vt:lpstr>||</vt:lpstr>
      <vt:lpstr>CONVTEST</vt:lpstr>
      <vt:lpstr>GRU</vt:lpstr>
      <vt:lpstr>LMSPEC</vt:lpstr>
      <vt:lpstr>PEMATRX</vt:lpstr>
      <vt:lpstr>CNN-BE2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Alfedo Putra</dc:creator>
  <cp:lastModifiedBy>Hugo Alfedo Putra</cp:lastModifiedBy>
  <cp:revision>1</cp:revision>
  <dcterms:created xsi:type="dcterms:W3CDTF">2026-04-14T05:22:34Z</dcterms:created>
  <dcterms:modified xsi:type="dcterms:W3CDTF">2026-05-28T16:02:59Z</dcterms:modified>
</cp:coreProperties>
</file>