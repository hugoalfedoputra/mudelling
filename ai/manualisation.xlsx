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E65D2401-0F3A-412A-A738-D2CBA9D8018B}" xr6:coauthVersionLast="47" xr6:coauthVersionMax="47" xr10:uidLastSave="{00000000-0000-0000-0000-000000000000}"/>
  <bookViews>
    <workbookView xWindow="-120" yWindow="-120" windowWidth="29040" windowHeight="15720" activeTab="4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A85" i="7" l="1" a="1"/>
  <c r="CA85" i="7" s="1"/>
  <c r="N50" i="4"/>
  <c r="N51" i="4"/>
  <c r="N52" i="4"/>
  <c r="N53" i="4"/>
  <c r="N54" i="4"/>
  <c r="N49" i="4"/>
  <c r="T23" i="4"/>
  <c r="T24" i="4"/>
  <c r="T25" i="4"/>
  <c r="T26" i="4"/>
  <c r="T27" i="4"/>
  <c r="T22" i="4"/>
  <c r="T18" i="4" a="1"/>
  <c r="T18" i="4" s="1"/>
  <c r="T17" i="4" a="1"/>
  <c r="T17" i="4" s="1"/>
  <c r="T16" i="4" a="1"/>
  <c r="T16" i="4" s="1"/>
  <c r="T15" i="4" a="1"/>
  <c r="T15" i="4" s="1"/>
  <c r="T14" i="4" a="1"/>
  <c r="T14" i="4" s="1"/>
  <c r="T13" i="4" a="1"/>
  <c r="T13" i="4"/>
  <c r="B36" i="4" a="1"/>
  <c r="B36" i="4"/>
  <c r="K5" i="3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M6" i="3" l="1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Q6" i="11" a="1"/>
  <c r="Q6" i="11" s="1"/>
  <c r="R28" i="11" s="1"/>
  <c r="Q66" i="11" a="1"/>
  <c r="Q66" i="11" s="1"/>
  <c r="R25" i="11"/>
  <c r="R58" i="11"/>
  <c r="R52" i="11"/>
  <c r="R60" i="11"/>
  <c r="R17" i="11"/>
  <c r="BI62" i="7"/>
  <c r="R42" i="11"/>
  <c r="R36" i="11" a="1"/>
  <c r="S52" i="11" s="1"/>
  <c r="R6" i="11" a="1"/>
  <c r="R6" i="11" s="1"/>
  <c r="S28" i="11" s="1"/>
  <c r="S15" i="11"/>
  <c r="R44" i="11"/>
  <c r="U44" i="11" s="1"/>
  <c r="S23" i="11"/>
  <c r="R50" i="11"/>
  <c r="S53" i="11"/>
  <c r="S45" i="11"/>
  <c r="S57" i="11"/>
  <c r="S49" i="11"/>
  <c r="S41" i="11"/>
  <c r="R36" i="11"/>
  <c r="S48" i="11"/>
  <c r="S60" i="11"/>
  <c r="S44" i="11"/>
  <c r="S59" i="11"/>
  <c r="S51" i="11"/>
  <c r="S43" i="11"/>
  <c r="S56" i="11"/>
  <c r="S55" i="11"/>
  <c r="S47" i="11"/>
  <c r="R66" i="11"/>
  <c r="S89" i="11"/>
  <c r="S85" i="11"/>
  <c r="S81" i="11"/>
  <c r="S77" i="11"/>
  <c r="S90" i="11"/>
  <c r="S86" i="11"/>
  <c r="S82" i="11"/>
  <c r="S78" i="11"/>
  <c r="S74" i="11"/>
  <c r="S73" i="11"/>
  <c r="S16" i="11"/>
  <c r="S24" i="11"/>
  <c r="R16" i="11"/>
  <c r="R24" i="11"/>
  <c r="R43" i="11"/>
  <c r="T43" i="11" s="1"/>
  <c r="R51" i="11"/>
  <c r="R59" i="11"/>
  <c r="T59" i="11" s="1"/>
  <c r="S25" i="11"/>
  <c r="S79" i="11"/>
  <c r="S87" i="11"/>
  <c r="S19" i="11"/>
  <c r="S27" i="11"/>
  <c r="R12" i="11"/>
  <c r="R20" i="11"/>
  <c r="R47" i="11"/>
  <c r="R55" i="11"/>
  <c r="W55" i="11" s="1"/>
  <c r="R18" i="11"/>
  <c r="R26" i="11"/>
  <c r="S13" i="11"/>
  <c r="S21" i="11"/>
  <c r="R13" i="11"/>
  <c r="R21" i="11"/>
  <c r="R29" i="11"/>
  <c r="R48" i="11"/>
  <c r="R56" i="11"/>
  <c r="T56" i="11" s="1"/>
  <c r="S71" i="11"/>
  <c r="S75" i="11"/>
  <c r="R46" i="11"/>
  <c r="S14" i="11"/>
  <c r="S22" i="11"/>
  <c r="S30" i="11"/>
  <c r="R14" i="11"/>
  <c r="R22" i="11"/>
  <c r="R30" i="11"/>
  <c r="BH62" i="7"/>
  <c r="BI73" i="7"/>
  <c r="BH73" i="7"/>
  <c r="H3" i="1"/>
  <c r="R89" i="11" l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X60" i="11"/>
  <c r="X44" i="11"/>
  <c r="R76" i="11"/>
  <c r="R84" i="11"/>
  <c r="R72" i="11"/>
  <c r="R78" i="11"/>
  <c r="T51" i="11"/>
  <c r="W43" i="11"/>
  <c r="R88" i="11"/>
  <c r="R80" i="11"/>
  <c r="W47" i="11"/>
  <c r="W48" i="11"/>
  <c r="CN7" i="7" a="1"/>
  <c r="CN7" i="7" s="1"/>
  <c r="W52" i="11"/>
  <c r="X52" i="11"/>
  <c r="U52" i="11"/>
  <c r="T52" i="11"/>
  <c r="X55" i="11"/>
  <c r="S26" i="11"/>
  <c r="X43" i="11"/>
  <c r="S18" i="11"/>
  <c r="S12" i="11"/>
  <c r="X48" i="11"/>
  <c r="X56" i="11"/>
  <c r="U60" i="11"/>
  <c r="W44" i="11"/>
  <c r="S20" i="11"/>
  <c r="S17" i="11"/>
  <c r="S29" i="11"/>
  <c r="X89" i="11"/>
  <c r="U89" i="11"/>
  <c r="T60" i="11"/>
  <c r="U85" i="11"/>
  <c r="W60" i="11"/>
  <c r="W85" i="11"/>
  <c r="W89" i="11"/>
  <c r="U74" i="11"/>
  <c r="T74" i="11"/>
  <c r="U55" i="11"/>
  <c r="X86" i="11"/>
  <c r="U47" i="11"/>
  <c r="S50" i="11"/>
  <c r="S58" i="11"/>
  <c r="S42" i="11"/>
  <c r="S54" i="11"/>
  <c r="S46" i="11"/>
  <c r="X46" i="11" s="1"/>
  <c r="W56" i="11"/>
  <c r="T55" i="11"/>
  <c r="U59" i="11"/>
  <c r="X59" i="11"/>
  <c r="W59" i="11"/>
  <c r="T89" i="11"/>
  <c r="T85" i="11"/>
  <c r="U48" i="11"/>
  <c r="U46" i="11"/>
  <c r="T46" i="11"/>
  <c r="W46" i="11"/>
  <c r="T48" i="11"/>
  <c r="X47" i="11"/>
  <c r="W51" i="11"/>
  <c r="X51" i="11"/>
  <c r="U51" i="11"/>
  <c r="T47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U81" i="11" l="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BW7" i="6" a="1"/>
  <c r="BW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BU33" i="6" l="1" a="1"/>
  <c r="BU33" i="6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L33" i="7" a="1"/>
  <c r="CL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M20" i="4" l="1" a="1"/>
  <c r="M20" i="4" s="1"/>
  <c r="M2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CD8" i="7" l="1"/>
  <c r="D52" i="1"/>
  <c r="F52" i="1" s="1"/>
  <c r="M41" i="4" l="1"/>
  <c r="M51" i="4" s="1"/>
  <c r="AB38" i="5"/>
  <c r="BM8" i="6"/>
  <c r="BO8" i="6" s="1"/>
  <c r="BM17" i="6" s="1"/>
  <c r="CF8" i="7"/>
  <c r="CD17" i="7" s="1"/>
  <c r="AD38" i="5"/>
  <c r="AB47" i="5" s="1"/>
  <c r="BM6" i="6" l="1"/>
  <c r="BP6" i="6" s="1"/>
  <c r="BN15" i="6" s="1"/>
  <c r="AB36" i="5"/>
  <c r="AE36" i="5" s="1"/>
  <c r="AC45" i="5" s="1"/>
  <c r="M39" i="4"/>
  <c r="M49" i="4" s="1"/>
  <c r="CD6" i="7"/>
  <c r="CG6" i="7" s="1"/>
  <c r="CE15" i="7" s="1"/>
  <c r="AB40" i="5"/>
  <c r="BM10" i="6"/>
  <c r="M43" i="4"/>
  <c r="M53" i="4" s="1"/>
  <c r="CD10" i="7"/>
  <c r="BM11" i="6"/>
  <c r="AB41" i="5"/>
  <c r="M44" i="4"/>
  <c r="M54" i="4" s="1"/>
  <c r="CD11" i="7"/>
  <c r="AB37" i="5"/>
  <c r="AE37" i="5" s="1"/>
  <c r="AC46" i="5" s="1"/>
  <c r="CD7" i="7"/>
  <c r="CG7" i="7" s="1"/>
  <c r="CE16" i="7" s="1"/>
  <c r="M40" i="4"/>
  <c r="M50" i="4" s="1"/>
  <c r="BM7" i="6"/>
  <c r="BP7" i="6" s="1"/>
  <c r="BN16" i="6" s="1"/>
  <c r="BM9" i="6"/>
  <c r="M42" i="4"/>
  <c r="M52" i="4" s="1"/>
  <c r="CD9" i="7"/>
  <c r="AB39" i="5"/>
  <c r="C4" i="6" l="1" a="1"/>
  <c r="C4" i="6" s="1"/>
  <c r="C14" i="6" s="1" a="1"/>
  <c r="C14" i="6" s="1"/>
  <c r="C4" i="7" a="1"/>
  <c r="AE39" i="5"/>
  <c r="AC48" i="5" s="1"/>
  <c r="AG39" i="5"/>
  <c r="AE48" i="5" s="1"/>
  <c r="CF10" i="7"/>
  <c r="CD19" i="7" s="1"/>
  <c r="CH10" i="7"/>
  <c r="CF19" i="7" s="1"/>
  <c r="BR9" i="6"/>
  <c r="BP18" i="6" s="1"/>
  <c r="BP9" i="6"/>
  <c r="BN18" i="6" s="1"/>
  <c r="CH11" i="7"/>
  <c r="CF20" i="7" s="1"/>
  <c r="CG11" i="7"/>
  <c r="CE20" i="7" s="1"/>
  <c r="AF40" i="5"/>
  <c r="AD49" i="5" s="1"/>
  <c r="AD40" i="5"/>
  <c r="AB49" i="5" s="1"/>
  <c r="BQ10" i="6"/>
  <c r="BO19" i="6" s="1"/>
  <c r="BO10" i="6"/>
  <c r="BM19" i="6" s="1"/>
  <c r="C4" i="5" a="1"/>
  <c r="D19" i="5" s="1"/>
  <c r="AF41" i="5"/>
  <c r="AD50" i="5" s="1"/>
  <c r="AE41" i="5"/>
  <c r="AC50" i="5" s="1"/>
  <c r="CG9" i="7"/>
  <c r="CE18" i="7" s="1"/>
  <c r="CI9" i="7"/>
  <c r="CG18" i="7" s="1"/>
  <c r="BP11" i="6"/>
  <c r="BN20" i="6" s="1"/>
  <c r="BQ11" i="6"/>
  <c r="BO20" i="6" s="1"/>
  <c r="C4" i="7" l="1"/>
  <c r="C14" i="7" s="1"/>
  <c r="C15" i="7"/>
  <c r="D15" i="7"/>
  <c r="D16" i="7"/>
  <c r="D14" i="7"/>
  <c r="C16" i="7"/>
  <c r="C18" i="7"/>
  <c r="C19" i="7"/>
  <c r="C17" i="7"/>
  <c r="D17" i="7"/>
  <c r="D18" i="7"/>
  <c r="D19" i="7"/>
  <c r="AL9" i="5"/>
  <c r="AM7" i="5"/>
  <c r="E19" i="5"/>
  <c r="D16" i="5"/>
  <c r="E16" i="5"/>
  <c r="AM8" i="5"/>
  <c r="AM10" i="5"/>
  <c r="AL8" i="5"/>
  <c r="C4" i="5"/>
  <c r="D15" i="5" s="1"/>
  <c r="AM6" i="5"/>
  <c r="D17" i="5"/>
  <c r="AL7" i="5"/>
  <c r="AM11" i="5"/>
  <c r="E17" i="5"/>
  <c r="AL11" i="5"/>
  <c r="E20" i="5"/>
  <c r="AL10" i="5"/>
  <c r="D18" i="5"/>
  <c r="E15" i="5"/>
  <c r="D20" i="5"/>
  <c r="I22" i="5" s="1" a="1"/>
  <c r="I22" i="5" s="1"/>
  <c r="I31" i="5" s="1"/>
  <c r="AM9" i="5"/>
  <c r="E18" i="5"/>
  <c r="K29" i="6" a="1"/>
  <c r="N29" i="6" a="1"/>
  <c r="L7" i="7" l="1" a="1"/>
  <c r="L7" i="7" s="1"/>
  <c r="N17" i="7" a="1"/>
  <c r="N17" i="7" s="1"/>
  <c r="N7" i="7" a="1"/>
  <c r="N7" i="7" s="1"/>
  <c r="J17" i="7" a="1"/>
  <c r="L17" i="7" a="1"/>
  <c r="L17" i="7" s="1"/>
  <c r="J7" i="7" a="1"/>
  <c r="J17" i="5" a="1"/>
  <c r="J17" i="5" s="1"/>
  <c r="J26" i="5" s="1"/>
  <c r="J20" i="5" a="1"/>
  <c r="J20" i="5" s="1"/>
  <c r="J29" i="5" s="1"/>
  <c r="I18" i="5" a="1"/>
  <c r="I18" i="5" s="1"/>
  <c r="I27" i="5" s="1"/>
  <c r="I20" i="5" a="1"/>
  <c r="I20" i="5" s="1"/>
  <c r="I29" i="5" s="1"/>
  <c r="I19" i="5" a="1"/>
  <c r="I19" i="5" s="1"/>
  <c r="I28" i="5" s="1"/>
  <c r="J22" i="5" a="1"/>
  <c r="J22" i="5" s="1"/>
  <c r="J31" i="5" s="1"/>
  <c r="V48" i="5" s="1"/>
  <c r="I17" i="5" a="1"/>
  <c r="I17" i="5" s="1"/>
  <c r="I26" i="5" s="1"/>
  <c r="AL6" i="5"/>
  <c r="J18" i="5" a="1"/>
  <c r="J18" i="5" s="1"/>
  <c r="J27" i="5" s="1"/>
  <c r="J19" i="5" a="1"/>
  <c r="J19" i="5" s="1"/>
  <c r="J28" i="5" s="1"/>
  <c r="J21" i="5" a="1"/>
  <c r="J21" i="5" s="1"/>
  <c r="J30" i="5" s="1"/>
  <c r="I21" i="5" a="1"/>
  <c r="I21" i="5" s="1"/>
  <c r="I30" i="5" s="1"/>
  <c r="K29" i="6"/>
  <c r="L29" i="6" s="1"/>
  <c r="L30" i="6"/>
  <c r="O30" i="6"/>
  <c r="N29" i="6"/>
  <c r="O29" i="6" s="1"/>
  <c r="J17" i="7" l="1"/>
  <c r="P17" i="7" a="1"/>
  <c r="P17" i="7" s="1"/>
  <c r="W17" i="7" s="1" a="1"/>
  <c r="W17" i="7" s="1"/>
  <c r="J7" i="7"/>
  <c r="P7" i="7" a="1"/>
  <c r="V46" i="5"/>
  <c r="AB21" i="7" a="1"/>
  <c r="AB21" i="7" s="1"/>
  <c r="AB20" i="7" a="1"/>
  <c r="AB20" i="7" s="1"/>
  <c r="AA21" i="7" a="1"/>
  <c r="AA21" i="7" s="1"/>
  <c r="X18" i="7" a="1"/>
  <c r="X18" i="7" s="1"/>
  <c r="AB10" i="7" a="1"/>
  <c r="AB10" i="7" s="1"/>
  <c r="X8" i="7" a="1"/>
  <c r="X8" i="7" s="1"/>
  <c r="W8" i="7" a="1"/>
  <c r="W8" i="7" s="1"/>
  <c r="Y18" i="7" a="1"/>
  <c r="Y18" i="7" s="1"/>
  <c r="AB12" i="7" a="1"/>
  <c r="AB12" i="7" s="1"/>
  <c r="AA18" i="7" a="1"/>
  <c r="AA18" i="7" s="1"/>
  <c r="AA19" i="7" a="1"/>
  <c r="AA19" i="7" s="1"/>
  <c r="AA8" i="7" a="1"/>
  <c r="AA8" i="7" s="1"/>
  <c r="AA11" i="7" a="1"/>
  <c r="AA11" i="7" s="1"/>
  <c r="Z18" i="7" a="1"/>
  <c r="Z18" i="7" s="1"/>
  <c r="X9" i="7" a="1"/>
  <c r="X9" i="7" s="1"/>
  <c r="Y10" i="7" a="1"/>
  <c r="Y10" i="7" s="1"/>
  <c r="W18" i="7" a="1"/>
  <c r="W18" i="7" s="1"/>
  <c r="Z9" i="7" a="1"/>
  <c r="Z9" i="7" s="1"/>
  <c r="Z11" i="7" a="1"/>
  <c r="Z11" i="7" s="1"/>
  <c r="W19" i="7" a="1"/>
  <c r="W19" i="7" s="1"/>
  <c r="Z21" i="7" a="1"/>
  <c r="Z21" i="7" s="1"/>
  <c r="AB8" i="7" a="1"/>
  <c r="AB8" i="7" s="1"/>
  <c r="W10" i="7" a="1"/>
  <c r="W10" i="7" s="1"/>
  <c r="X10" i="7" a="1"/>
  <c r="X10" i="7" s="1"/>
  <c r="AA9" i="7" a="1"/>
  <c r="AA9" i="7" s="1"/>
  <c r="Y9" i="7" a="1"/>
  <c r="Y9" i="7" s="1"/>
  <c r="I47" i="5"/>
  <c r="I62" i="5" s="1"/>
  <c r="M14" i="5" s="1"/>
  <c r="W20" i="7" a="1"/>
  <c r="W20" i="7" s="1"/>
  <c r="V43" i="5"/>
  <c r="AB9" i="7" a="1"/>
  <c r="AB9" i="7" s="1"/>
  <c r="W9" i="7" a="1"/>
  <c r="W9" i="7" s="1"/>
  <c r="AA12" i="7" a="1"/>
  <c r="AA12" i="7" s="1"/>
  <c r="X11" i="7" a="1"/>
  <c r="X11" i="7" s="1"/>
  <c r="AA20" i="7" a="1"/>
  <c r="AA20" i="7" s="1"/>
  <c r="Z10" i="7" a="1"/>
  <c r="Z10" i="7" s="1"/>
  <c r="AB11" i="7" a="1"/>
  <c r="AB11" i="7" s="1"/>
  <c r="Z12" i="7" a="1"/>
  <c r="Z12" i="7" s="1"/>
  <c r="Y8" i="7" a="1"/>
  <c r="Y8" i="7" s="1"/>
  <c r="X20" i="7" a="1"/>
  <c r="X20" i="7" s="1"/>
  <c r="Z20" i="7" a="1"/>
  <c r="Z20" i="7" s="1"/>
  <c r="AB19" i="7" a="1"/>
  <c r="AB19" i="7" s="1"/>
  <c r="X22" i="7" a="1"/>
  <c r="X22" i="7" s="1"/>
  <c r="Y21" i="7" a="1"/>
  <c r="Y21" i="7" s="1"/>
  <c r="Z22" i="7" a="1"/>
  <c r="Z22" i="7" s="1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W22" i="7" a="1"/>
  <c r="W22" i="7" s="1"/>
  <c r="X21" i="7" a="1"/>
  <c r="X21" i="7" s="1"/>
  <c r="Y20" i="7" a="1"/>
  <c r="Y20" i="7" s="1"/>
  <c r="I51" i="5"/>
  <c r="I66" i="5" s="1"/>
  <c r="M18" i="5" s="1"/>
  <c r="V45" i="5"/>
  <c r="I38" i="5"/>
  <c r="I57" i="5" s="1"/>
  <c r="M9" i="5" s="1"/>
  <c r="V47" i="5"/>
  <c r="V44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Q29" i="6" a="1"/>
  <c r="R30" i="6" s="1"/>
  <c r="P7" i="7" l="1"/>
  <c r="W7" i="7" s="1" a="1"/>
  <c r="W7" i="7" s="1"/>
  <c r="Z8" i="7" a="1"/>
  <c r="Z8" i="7" s="1"/>
  <c r="Y19" i="7" a="1"/>
  <c r="Y19" i="7" s="1"/>
  <c r="AB18" i="7" a="1"/>
  <c r="AB18" i="7" s="1"/>
  <c r="W21" i="7" a="1"/>
  <c r="W21" i="7" s="1"/>
  <c r="Y11" i="7" a="1"/>
  <c r="Y11" i="7" s="1"/>
  <c r="W11" i="7" a="1"/>
  <c r="W11" i="7" s="1"/>
  <c r="W12" i="7" a="1"/>
  <c r="W12" i="7" s="1"/>
  <c r="X19" i="7" a="1"/>
  <c r="X19" i="7" s="1"/>
  <c r="AB22" i="7" a="1"/>
  <c r="AB22" i="7" s="1"/>
  <c r="AA22" i="7" a="1"/>
  <c r="AA22" i="7" s="1"/>
  <c r="Y22" i="7" a="1"/>
  <c r="Y22" i="7" s="1"/>
  <c r="AA10" i="7" a="1"/>
  <c r="AA10" i="7" s="1"/>
  <c r="X12" i="7" a="1"/>
  <c r="X12" i="7" s="1"/>
  <c r="Y12" i="7" a="1"/>
  <c r="Y12" i="7" s="1"/>
  <c r="Z19" i="7" a="1"/>
  <c r="Z19" i="7" s="1"/>
  <c r="Y7" i="7" a="1"/>
  <c r="Y7" i="7" s="1"/>
  <c r="X17" i="7" a="1"/>
  <c r="X17" i="7" s="1"/>
  <c r="Z7" i="7" a="1"/>
  <c r="Z7" i="7" s="1"/>
  <c r="AB7" i="7" a="1"/>
  <c r="AB7" i="7" s="1"/>
  <c r="AA7" i="7" a="1"/>
  <c r="AA7" i="7" s="1"/>
  <c r="X7" i="7" a="1"/>
  <c r="X7" i="7" s="1"/>
  <c r="Y17" i="7" a="1"/>
  <c r="Y17" i="7" s="1"/>
  <c r="Z17" i="7" a="1"/>
  <c r="Z17" i="7" s="1"/>
  <c r="AA17" i="7" a="1"/>
  <c r="AA17" i="7" s="1"/>
  <c r="AB17" i="7" a="1"/>
  <c r="AB17" i="7" s="1"/>
  <c r="M22" i="5" a="1"/>
  <c r="M29" i="5" s="1"/>
  <c r="M35" i="5" s="1"/>
  <c r="Q29" i="6"/>
  <c r="R29" i="6" s="1"/>
  <c r="T29" i="6" s="1" a="1"/>
  <c r="T29" i="6" s="1"/>
  <c r="N35" i="6" s="1" a="1"/>
  <c r="AD7" i="7" l="1" a="1"/>
  <c r="M30" i="5"/>
  <c r="M36" i="5" s="1"/>
  <c r="W7" i="5" s="1" a="1"/>
  <c r="W7" i="5" s="1"/>
  <c r="AD17" i="7" a="1"/>
  <c r="M22" i="5"/>
  <c r="M28" i="5" s="1"/>
  <c r="M34" i="5" s="1"/>
  <c r="K65" i="6" a="1"/>
  <c r="K65" i="6" s="1"/>
  <c r="N65" i="6" s="1"/>
  <c r="K35" i="6" a="1"/>
  <c r="K35" i="6" s="1"/>
  <c r="L35" i="6" s="1"/>
  <c r="N35" i="6"/>
  <c r="O35" i="6" s="1"/>
  <c r="O36" i="6"/>
  <c r="U23" i="5"/>
  <c r="V7" i="5" a="1"/>
  <c r="V7" i="5" s="1"/>
  <c r="AD17" i="7" l="1"/>
  <c r="K27" i="7" a="1"/>
  <c r="K27" i="7" s="1"/>
  <c r="AD7" i="7"/>
  <c r="J27" i="7" a="1"/>
  <c r="J27" i="7" s="1"/>
  <c r="M27" i="7" s="1" a="1"/>
  <c r="M27" i="7" s="1"/>
  <c r="U29" i="5" a="1"/>
  <c r="U29" i="5" s="1"/>
  <c r="U44" i="5" s="1"/>
  <c r="X44" i="5" s="1"/>
  <c r="U24" i="5"/>
  <c r="E5" i="11" a="1"/>
  <c r="E5" i="11" s="1"/>
  <c r="Q5" i="11" s="1"/>
  <c r="AF43" i="6"/>
  <c r="U22" i="5"/>
  <c r="U28" i="5" a="1"/>
  <c r="U28" i="5" s="1"/>
  <c r="U43" i="5" s="1"/>
  <c r="X43" i="5" s="1"/>
  <c r="L36" i="6"/>
  <c r="Q35" i="6" s="1" a="1"/>
  <c r="U7" i="5" a="1"/>
  <c r="U7" i="5" s="1"/>
  <c r="U39" i="5" a="1"/>
  <c r="U39" i="5" s="1"/>
  <c r="V57" i="5" s="1"/>
  <c r="U31" i="5" a="1"/>
  <c r="U31" i="5" s="1"/>
  <c r="U46" i="5" s="1"/>
  <c r="U37" i="5" a="1"/>
  <c r="U37" i="5" s="1"/>
  <c r="V55" i="5" s="1"/>
  <c r="U33" i="5" a="1"/>
  <c r="U33" i="5" s="1"/>
  <c r="U48" i="5" s="1"/>
  <c r="X48" i="5" s="1"/>
  <c r="U38" i="5" a="1"/>
  <c r="U38" i="5" s="1"/>
  <c r="U56" i="5" s="1"/>
  <c r="U32" i="5" a="1"/>
  <c r="U32" i="5" s="1"/>
  <c r="U47" i="5" s="1"/>
  <c r="X47" i="5" s="1"/>
  <c r="W44" i="5"/>
  <c r="P65" i="6"/>
  <c r="U35" i="5" a="1"/>
  <c r="U35" i="5" s="1"/>
  <c r="U34" i="5" a="1"/>
  <c r="U34" i="5" s="1"/>
  <c r="U30" i="5" a="1"/>
  <c r="U30" i="5" s="1"/>
  <c r="U45" i="5" s="1"/>
  <c r="U36" i="5" a="1"/>
  <c r="U36" i="5" s="1"/>
  <c r="J41" i="7" l="1" a="1"/>
  <c r="J41" i="7" s="1"/>
  <c r="M41" i="7" s="1"/>
  <c r="J38" i="7" a="1"/>
  <c r="J38" i="7" s="1"/>
  <c r="M38" i="7" s="1"/>
  <c r="J43" i="7" a="1"/>
  <c r="J43" i="7" s="1"/>
  <c r="M43" i="7" s="1"/>
  <c r="N41" i="7"/>
  <c r="J40" i="7" a="1"/>
  <c r="J40" i="7" s="1"/>
  <c r="M40" i="7" s="1"/>
  <c r="J42" i="7" a="1"/>
  <c r="J42" i="7" s="1"/>
  <c r="M42" i="7" s="1"/>
  <c r="J39" i="7" a="1"/>
  <c r="J39" i="7" s="1"/>
  <c r="M39" i="7" s="1"/>
  <c r="Q35" i="11"/>
  <c r="R41" i="11" s="1"/>
  <c r="Q65" i="11"/>
  <c r="R79" i="11" s="1"/>
  <c r="W48" i="5"/>
  <c r="W43" i="5"/>
  <c r="W47" i="5"/>
  <c r="U65" i="5" s="1"/>
  <c r="AA11" i="5" s="1"/>
  <c r="AM21" i="5" s="1"/>
  <c r="W46" i="5"/>
  <c r="X46" i="5"/>
  <c r="V64" i="5" s="1"/>
  <c r="AB10" i="5" s="1"/>
  <c r="AL22" i="5" s="1"/>
  <c r="W45" i="5"/>
  <c r="X45" i="5"/>
  <c r="U57" i="5"/>
  <c r="V66" i="5"/>
  <c r="AB12" i="5" s="1"/>
  <c r="AL20" i="5" s="1"/>
  <c r="U55" i="5"/>
  <c r="V56" i="5"/>
  <c r="V65" i="5" s="1"/>
  <c r="AB11" i="5" s="1"/>
  <c r="AL21" i="5" s="1"/>
  <c r="R27" i="11"/>
  <c r="R11" i="11"/>
  <c r="R19" i="11"/>
  <c r="R23" i="11"/>
  <c r="R15" i="11"/>
  <c r="V52" i="5"/>
  <c r="V61" i="5" s="1"/>
  <c r="AB7" i="5" s="1"/>
  <c r="AL25" i="5" s="1"/>
  <c r="U52" i="5"/>
  <c r="V53" i="5"/>
  <c r="V62" i="5" s="1"/>
  <c r="AB8" i="5" s="1"/>
  <c r="AL24" i="5" s="1"/>
  <c r="U53" i="5"/>
  <c r="U62" i="5" s="1"/>
  <c r="AA8" i="5" s="1"/>
  <c r="AM24" i="5" s="1"/>
  <c r="Q35" i="6"/>
  <c r="R35" i="6" s="1"/>
  <c r="R36" i="6"/>
  <c r="V54" i="5"/>
  <c r="U54" i="5"/>
  <c r="J52" i="7" l="1" a="1"/>
  <c r="J52" i="7" s="1"/>
  <c r="J50" i="7" a="1"/>
  <c r="J50" i="7" s="1"/>
  <c r="M50" i="7" s="1"/>
  <c r="N38" i="7"/>
  <c r="N43" i="7"/>
  <c r="N40" i="7"/>
  <c r="R71" i="11"/>
  <c r="T71" i="11" s="1"/>
  <c r="R49" i="11"/>
  <c r="W49" i="11" s="1"/>
  <c r="R57" i="11"/>
  <c r="T57" i="11" s="1"/>
  <c r="R87" i="11"/>
  <c r="X87" i="11" s="1"/>
  <c r="R75" i="11"/>
  <c r="X75" i="11" s="1"/>
  <c r="R83" i="11"/>
  <c r="T83" i="11" s="1"/>
  <c r="R45" i="11"/>
  <c r="W45" i="11" s="1"/>
  <c r="R53" i="11"/>
  <c r="X53" i="11" s="1"/>
  <c r="N42" i="7"/>
  <c r="N39" i="7"/>
  <c r="J48" i="7" s="1" a="1"/>
  <c r="J48" i="7" s="1"/>
  <c r="U66" i="5"/>
  <c r="AA12" i="5" s="1"/>
  <c r="AM20" i="5" s="1"/>
  <c r="U61" i="5"/>
  <c r="AA7" i="5" s="1"/>
  <c r="AM25" i="5" s="1"/>
  <c r="U63" i="5"/>
  <c r="AA9" i="5" s="1"/>
  <c r="AM23" i="5" s="1"/>
  <c r="V63" i="5"/>
  <c r="AB9" i="5" s="1"/>
  <c r="AL23" i="5" s="1"/>
  <c r="U64" i="5"/>
  <c r="AA10" i="5" s="1"/>
  <c r="AM22" i="5" s="1"/>
  <c r="X71" i="11"/>
  <c r="U71" i="11"/>
  <c r="X41" i="11"/>
  <c r="U41" i="11"/>
  <c r="W41" i="11"/>
  <c r="T41" i="11"/>
  <c r="T49" i="11"/>
  <c r="X11" i="11"/>
  <c r="W11" i="11"/>
  <c r="T11" i="11"/>
  <c r="U11" i="11"/>
  <c r="U79" i="11"/>
  <c r="X79" i="11"/>
  <c r="W79" i="11"/>
  <c r="T79" i="11"/>
  <c r="T53" i="11"/>
  <c r="W53" i="11"/>
  <c r="U53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T35" i="6" a="1"/>
  <c r="N50" i="7" l="1"/>
  <c r="P50" i="7" s="1"/>
  <c r="M51" i="7"/>
  <c r="J49" i="7" a="1"/>
  <c r="J49" i="7" s="1"/>
  <c r="M49" i="7" s="1"/>
  <c r="J47" i="7" a="1"/>
  <c r="J47" i="7" s="1"/>
  <c r="M47" i="7" s="1"/>
  <c r="J51" i="7" a="1"/>
  <c r="J51" i="7" s="1"/>
  <c r="M52" i="7"/>
  <c r="AP46" i="7"/>
  <c r="AQ46" i="7" s="1"/>
  <c r="AP48" i="7"/>
  <c r="AQ48" i="7" s="1"/>
  <c r="N52" i="7"/>
  <c r="P52" i="7" s="1"/>
  <c r="X49" i="11"/>
  <c r="U75" i="11"/>
  <c r="W75" i="11"/>
  <c r="X57" i="11"/>
  <c r="W71" i="11"/>
  <c r="Y71" i="11" s="1"/>
  <c r="U49" i="11"/>
  <c r="V49" i="11" s="1"/>
  <c r="U83" i="11"/>
  <c r="V83" i="11" s="1"/>
  <c r="T75" i="11"/>
  <c r="V75" i="11" s="1"/>
  <c r="X83" i="11"/>
  <c r="T87" i="11"/>
  <c r="U87" i="11"/>
  <c r="V87" i="11" s="1"/>
  <c r="W87" i="11"/>
  <c r="Z87" i="11" s="1"/>
  <c r="W57" i="11"/>
  <c r="Z57" i="11" s="1"/>
  <c r="W83" i="11"/>
  <c r="Z83" i="11" s="1"/>
  <c r="U57" i="11"/>
  <c r="V57" i="11" s="1"/>
  <c r="T45" i="11"/>
  <c r="Z45" i="11" s="1"/>
  <c r="N48" i="7"/>
  <c r="M48" i="7"/>
  <c r="U45" i="11"/>
  <c r="AP47" i="7"/>
  <c r="AQ47" i="7" s="1"/>
  <c r="X45" i="11"/>
  <c r="Y45" i="11" s="1"/>
  <c r="N51" i="7"/>
  <c r="R52" i="7"/>
  <c r="AA16" i="5" a="1"/>
  <c r="AA16" i="5" s="1"/>
  <c r="AB16" i="5" a="1"/>
  <c r="AB16" i="5" s="1"/>
  <c r="AE16" i="5"/>
  <c r="AB17" i="5" a="1"/>
  <c r="AB17" i="5" s="1"/>
  <c r="AA17" i="5" a="1"/>
  <c r="AA17" i="5" s="1"/>
  <c r="AA18" i="5" a="1"/>
  <c r="AA18" i="5" s="1"/>
  <c r="AB18" i="5" a="1"/>
  <c r="AB18" i="5" s="1"/>
  <c r="Y41" i="11"/>
  <c r="Y75" i="11"/>
  <c r="Y79" i="11"/>
  <c r="Z41" i="11"/>
  <c r="V41" i="11"/>
  <c r="V71" i="11"/>
  <c r="Y53" i="11"/>
  <c r="Z49" i="11"/>
  <c r="V79" i="11"/>
  <c r="Z79" i="11"/>
  <c r="V11" i="11"/>
  <c r="V53" i="11"/>
  <c r="Z53" i="11"/>
  <c r="Y49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T35" i="6"/>
  <c r="N41" i="6" s="1" a="1"/>
  <c r="P47" i="7" l="1"/>
  <c r="AP45" i="7"/>
  <c r="AQ45" i="7" s="1"/>
  <c r="AP43" i="7"/>
  <c r="AQ43" i="7" s="1"/>
  <c r="N49" i="7"/>
  <c r="P49" i="7" s="1"/>
  <c r="R50" i="7"/>
  <c r="P51" i="7"/>
  <c r="N47" i="7"/>
  <c r="R47" i="7" s="1"/>
  <c r="Z75" i="11"/>
  <c r="Z71" i="11"/>
  <c r="Y57" i="11"/>
  <c r="Y87" i="11"/>
  <c r="Y83" i="11"/>
  <c r="V45" i="11"/>
  <c r="AD41" i="11" s="1" a="1"/>
  <c r="AP44" i="7"/>
  <c r="AQ44" i="7" s="1"/>
  <c r="R48" i="7"/>
  <c r="P48" i="7"/>
  <c r="R51" i="7"/>
  <c r="AA22" i="5" a="1"/>
  <c r="AA22" i="5" s="1"/>
  <c r="AA36" i="5" s="1"/>
  <c r="AF36" i="5" s="1"/>
  <c r="AD45" i="5" s="1"/>
  <c r="AB26" i="5" a="1"/>
  <c r="AB26" i="5" s="1"/>
  <c r="AA69" i="5" s="1"/>
  <c r="AB22" i="5" a="1"/>
  <c r="AB22" i="5" s="1"/>
  <c r="AA65" i="5" s="1"/>
  <c r="AA27" i="5" a="1"/>
  <c r="AA27" i="5" s="1"/>
  <c r="AA41" i="5" s="1"/>
  <c r="AG41" i="5" s="1"/>
  <c r="AE50" i="5" s="1"/>
  <c r="AC36" i="5"/>
  <c r="AA45" i="5" s="1"/>
  <c r="AB25" i="5" a="1"/>
  <c r="AB25" i="5" s="1"/>
  <c r="AA68" i="5" s="1"/>
  <c r="AB27" i="5" a="1"/>
  <c r="AB27" i="5" s="1"/>
  <c r="AA70" i="5" s="1"/>
  <c r="AA25" i="5" a="1"/>
  <c r="AA25" i="5" s="1"/>
  <c r="AA39" i="5" s="1"/>
  <c r="AF39" i="5" s="1"/>
  <c r="AD48" i="5" s="1"/>
  <c r="AA26" i="5" a="1"/>
  <c r="AA26" i="5" s="1"/>
  <c r="AA40" i="5" s="1"/>
  <c r="AE40" i="5" s="1"/>
  <c r="AC49" i="5" s="1"/>
  <c r="AA23" i="5" a="1"/>
  <c r="AA23" i="5" s="1"/>
  <c r="AA37" i="5" s="1"/>
  <c r="AB23" i="5" a="1"/>
  <c r="AB23" i="5" s="1"/>
  <c r="AA66" i="5" s="1"/>
  <c r="AA24" i="5" a="1"/>
  <c r="AA24" i="5" s="1"/>
  <c r="AA38" i="5" s="1"/>
  <c r="AE38" i="5" s="1"/>
  <c r="AC47" i="5" s="1"/>
  <c r="AB24" i="5" a="1"/>
  <c r="AB24" i="5" s="1"/>
  <c r="AA67" i="5" s="1"/>
  <c r="AG38" i="5"/>
  <c r="AE47" i="5" s="1"/>
  <c r="AG37" i="5"/>
  <c r="AE46" i="5" s="1"/>
  <c r="AF38" i="5"/>
  <c r="AD47" i="5" s="1"/>
  <c r="AG36" i="5"/>
  <c r="AE45" i="5" s="1"/>
  <c r="AD36" i="5"/>
  <c r="AB45" i="5" s="1"/>
  <c r="AC71" i="11" a="1"/>
  <c r="AC79" i="11" s="1"/>
  <c r="AC41" i="11" a="1"/>
  <c r="AC50" i="11" s="1"/>
  <c r="K41" i="6" a="1"/>
  <c r="L42" i="6" s="1"/>
  <c r="Z27" i="11"/>
  <c r="AD41" i="5"/>
  <c r="AB50" i="5" s="1"/>
  <c r="AD39" i="5"/>
  <c r="AB48" i="5" s="1"/>
  <c r="AG40" i="5"/>
  <c r="AE49" i="5" s="1"/>
  <c r="K66" i="6" a="1"/>
  <c r="K66" i="6" s="1"/>
  <c r="N66" i="6" s="1"/>
  <c r="AD71" i="11" a="1"/>
  <c r="AD71" i="11" s="1"/>
  <c r="AD78" i="11" s="1"/>
  <c r="Z15" i="11"/>
  <c r="V27" i="11"/>
  <c r="AE71" i="11" a="1"/>
  <c r="AE41" i="11" a="1"/>
  <c r="Z11" i="11"/>
  <c r="Y23" i="11"/>
  <c r="Z23" i="11"/>
  <c r="Z19" i="11"/>
  <c r="Y19" i="11"/>
  <c r="Y15" i="11"/>
  <c r="V19" i="11"/>
  <c r="V23" i="11"/>
  <c r="V15" i="11"/>
  <c r="Y27" i="11"/>
  <c r="O42" i="6"/>
  <c r="N41" i="6"/>
  <c r="O41" i="6" s="1"/>
  <c r="R49" i="7" l="1"/>
  <c r="U47" i="7" a="1"/>
  <c r="AG10" i="7" s="1"/>
  <c r="U53" i="7" a="1"/>
  <c r="AC38" i="5"/>
  <c r="AA47" i="5" s="1"/>
  <c r="AC41" i="5"/>
  <c r="AA50" i="5" s="1"/>
  <c r="AC39" i="5"/>
  <c r="AA48" i="5" s="1"/>
  <c r="AA76" i="5" a="1"/>
  <c r="AA76" i="5" s="1"/>
  <c r="AF37" i="5"/>
  <c r="AD46" i="5" s="1"/>
  <c r="AC37" i="5"/>
  <c r="AA46" i="5" s="1"/>
  <c r="AC40" i="5"/>
  <c r="AA49" i="5" s="1"/>
  <c r="AD37" i="5"/>
  <c r="AB46" i="5" s="1"/>
  <c r="AD74" i="5"/>
  <c r="AA75" i="5" a="1"/>
  <c r="AA75" i="5" s="1"/>
  <c r="AA74" i="5" a="1"/>
  <c r="AA74" i="5" s="1"/>
  <c r="AF54" i="5"/>
  <c r="AC80" i="11"/>
  <c r="AC41" i="11"/>
  <c r="AC48" i="11" s="1"/>
  <c r="AC81" i="11"/>
  <c r="AC11" i="11" a="1"/>
  <c r="AC19" i="11" s="1"/>
  <c r="AC71" i="11"/>
  <c r="AC78" i="11" s="1"/>
  <c r="AE78" i="11" s="1"/>
  <c r="AC49" i="11"/>
  <c r="AC51" i="11"/>
  <c r="K41" i="6"/>
  <c r="L41" i="6" s="1"/>
  <c r="Q41" i="6" s="1" a="1"/>
  <c r="P66" i="6"/>
  <c r="AF44" i="6"/>
  <c r="AD49" i="11"/>
  <c r="AC58" i="11"/>
  <c r="AD51" i="11"/>
  <c r="AD50" i="11"/>
  <c r="AE50" i="11" s="1"/>
  <c r="AC56" i="11"/>
  <c r="AC57" i="11"/>
  <c r="AE71" i="11"/>
  <c r="AD85" i="11" s="1"/>
  <c r="AD86" i="11"/>
  <c r="AD87" i="11"/>
  <c r="AD88" i="11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E79" i="11" s="1"/>
  <c r="AC85" i="11"/>
  <c r="AD41" i="11"/>
  <c r="AD48" i="11" s="1"/>
  <c r="AE11" i="11" a="1"/>
  <c r="U47" i="7" l="1"/>
  <c r="AG7" i="7" s="1"/>
  <c r="AG12" i="7"/>
  <c r="AG8" i="7"/>
  <c r="AG11" i="7"/>
  <c r="AG9" i="7"/>
  <c r="AG16" i="7"/>
  <c r="AG15" i="7"/>
  <c r="AG17" i="7"/>
  <c r="AG18" i="7"/>
  <c r="AG14" i="7"/>
  <c r="U53" i="7"/>
  <c r="AG13" i="7" s="1"/>
  <c r="AA54" i="5" a="1"/>
  <c r="AA54" i="5" s="1"/>
  <c r="AE86" i="11"/>
  <c r="AB57" i="5" a="1"/>
  <c r="AB57" i="5" s="1"/>
  <c r="AB55" i="5" a="1"/>
  <c r="AB55" i="5" s="1"/>
  <c r="AB54" i="5" a="1"/>
  <c r="AB54" i="5" s="1"/>
  <c r="AA58" i="5" a="1"/>
  <c r="AA58" i="5" s="1"/>
  <c r="AC57" i="5" a="1"/>
  <c r="AC57" i="5" s="1"/>
  <c r="AC54" i="5" a="1"/>
  <c r="AC54" i="5" s="1"/>
  <c r="AA56" i="5" a="1"/>
  <c r="AA56" i="5" s="1"/>
  <c r="AC55" i="5" a="1"/>
  <c r="AC55" i="5" s="1"/>
  <c r="AA55" i="5" a="1"/>
  <c r="AA55" i="5" s="1"/>
  <c r="AA57" i="5" a="1"/>
  <c r="AA57" i="5" s="1"/>
  <c r="AB56" i="5" a="1"/>
  <c r="AB56" i="5" s="1"/>
  <c r="AC58" i="5" a="1"/>
  <c r="AC58" i="5" s="1"/>
  <c r="AB58" i="5" a="1"/>
  <c r="AB58" i="5" s="1"/>
  <c r="AC56" i="5" a="1"/>
  <c r="AC56" i="5" s="1"/>
  <c r="AE80" i="11"/>
  <c r="AE48" i="11"/>
  <c r="AE81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E58" i="11"/>
  <c r="AD21" i="11"/>
  <c r="AC55" i="11"/>
  <c r="AE55" i="11" s="1"/>
  <c r="AE11" i="11"/>
  <c r="AD25" i="11" s="1"/>
  <c r="AD28" i="11"/>
  <c r="AD26" i="11"/>
  <c r="AD27" i="11"/>
  <c r="AE87" i="11"/>
  <c r="AE57" i="11"/>
  <c r="AE88" i="11"/>
  <c r="AC27" i="11"/>
  <c r="AC26" i="11"/>
  <c r="AC25" i="11"/>
  <c r="AC28" i="11"/>
  <c r="AE56" i="11"/>
  <c r="R42" i="6"/>
  <c r="Q41" i="6"/>
  <c r="R41" i="6" s="1"/>
  <c r="AG22" i="7" l="1" a="1"/>
  <c r="AG22" i="7" s="1"/>
  <c r="AG28" i="7" s="1"/>
  <c r="AG34" i="7" s="1"/>
  <c r="AE82" i="11"/>
  <c r="AE52" i="11"/>
  <c r="AE20" i="11"/>
  <c r="AE21" i="11"/>
  <c r="T41" i="6" a="1"/>
  <c r="T41" i="6" s="1"/>
  <c r="K47" i="6" s="1" a="1"/>
  <c r="AE89" i="11"/>
  <c r="AE28" i="11"/>
  <c r="AE25" i="11"/>
  <c r="AE27" i="11"/>
  <c r="AE26" i="11"/>
  <c r="AE59" i="11"/>
  <c r="AG29" i="7" l="1"/>
  <c r="AG35" i="7" s="1"/>
  <c r="AG30" i="7"/>
  <c r="AG36" i="7" s="1"/>
  <c r="AQ7" i="7" s="1" a="1"/>
  <c r="AQ7" i="7" s="1"/>
  <c r="AE22" i="11"/>
  <c r="AC95" i="11" s="1"/>
  <c r="AE29" i="11"/>
  <c r="AC94" i="11" s="1"/>
  <c r="K67" i="6" a="1"/>
  <c r="K67" i="6" s="1"/>
  <c r="N67" i="6" s="1"/>
  <c r="N47" i="6" a="1"/>
  <c r="N47" i="6" s="1"/>
  <c r="O47" i="6" s="1"/>
  <c r="L48" i="6"/>
  <c r="K47" i="6"/>
  <c r="L47" i="6" s="1"/>
  <c r="AO22" i="7"/>
  <c r="AO7" i="7" a="1"/>
  <c r="AO7" i="7" s="1"/>
  <c r="AO39" i="7" a="1"/>
  <c r="AO39" i="7" s="1"/>
  <c r="AO37" i="7" a="1"/>
  <c r="AO37" i="7" s="1"/>
  <c r="AO34" i="7" a="1"/>
  <c r="AO34" i="7" s="1"/>
  <c r="AO35" i="7" l="1" a="1"/>
  <c r="AO35" i="7" s="1"/>
  <c r="AO33" i="7" a="1"/>
  <c r="AO33" i="7" s="1"/>
  <c r="AO48" i="7" s="1"/>
  <c r="AR48" i="7" s="1"/>
  <c r="AO32" i="7" a="1"/>
  <c r="AO32" i="7" s="1"/>
  <c r="AO47" i="7" s="1"/>
  <c r="AR47" i="7" s="1"/>
  <c r="AO31" i="7" a="1"/>
  <c r="AO31" i="7" s="1"/>
  <c r="AO46" i="7" s="1"/>
  <c r="AR46" i="7" s="1"/>
  <c r="AO28" i="7" a="1"/>
  <c r="AO28" i="7" s="1"/>
  <c r="AO43" i="7" s="1"/>
  <c r="AR43" i="7" s="1"/>
  <c r="AO30" i="7" a="1"/>
  <c r="AO30" i="7" s="1"/>
  <c r="AO45" i="7" s="1"/>
  <c r="AR45" i="7" s="1"/>
  <c r="AO36" i="7" a="1"/>
  <c r="AO36" i="7" s="1"/>
  <c r="AP54" i="7" s="1"/>
  <c r="AP63" i="7" s="1"/>
  <c r="AO38" i="7" a="1"/>
  <c r="AO38" i="7" s="1"/>
  <c r="AO56" i="7" s="1"/>
  <c r="AO65" i="7" s="1"/>
  <c r="AO29" i="7" a="1"/>
  <c r="AO29" i="7" s="1"/>
  <c r="AO44" i="7" s="1"/>
  <c r="AR44" i="7" s="1"/>
  <c r="E7" i="11" a="1"/>
  <c r="E7" i="11" s="1"/>
  <c r="AO24" i="7"/>
  <c r="AP7" i="7" a="1"/>
  <c r="AP7" i="7" s="1"/>
  <c r="AO23" i="7"/>
  <c r="Q47" i="6" a="1"/>
  <c r="R48" i="6" s="1"/>
  <c r="O48" i="6"/>
  <c r="P67" i="6"/>
  <c r="AF45" i="6"/>
  <c r="AO57" i="7"/>
  <c r="AO66" i="7" s="1"/>
  <c r="AP57" i="7"/>
  <c r="AP66" i="7" s="1"/>
  <c r="AO53" i="7"/>
  <c r="AO62" i="7" s="1"/>
  <c r="AP53" i="7"/>
  <c r="AP55" i="7"/>
  <c r="AP64" i="7" s="1"/>
  <c r="AO55" i="7"/>
  <c r="AO64" i="7" s="1"/>
  <c r="AO52" i="7"/>
  <c r="AO61" i="7" s="1"/>
  <c r="AP52" i="7"/>
  <c r="AP56" i="7" l="1"/>
  <c r="AP65" i="7" s="1"/>
  <c r="AP61" i="7"/>
  <c r="AO54" i="7"/>
  <c r="AO63" i="7" s="1"/>
  <c r="AX7" i="7" s="1"/>
  <c r="AP62" i="7"/>
  <c r="Q47" i="6"/>
  <c r="R47" i="6" s="1"/>
  <c r="T47" i="6" s="1" a="1"/>
  <c r="T47" i="6" s="1"/>
  <c r="AY7" i="7"/>
  <c r="AU7" i="7" a="1"/>
  <c r="AU7" i="7" s="1"/>
  <c r="AU12" i="7" a="1"/>
  <c r="K68" i="6" l="1" a="1"/>
  <c r="N53" i="6" a="1"/>
  <c r="N53" i="6" s="1"/>
  <c r="O53" i="6" s="1"/>
  <c r="K53" i="6" a="1"/>
  <c r="L54" i="6" s="1"/>
  <c r="AU12" i="7"/>
  <c r="AU21" i="7" s="1"/>
  <c r="AU26" i="7"/>
  <c r="AV26" i="7"/>
  <c r="AV23" i="7"/>
  <c r="AU25" i="7"/>
  <c r="AV22" i="7"/>
  <c r="AU24" i="7"/>
  <c r="AU23" i="7"/>
  <c r="AV21" i="7"/>
  <c r="AU22" i="7"/>
  <c r="AV24" i="7"/>
  <c r="AV25" i="7"/>
  <c r="K68" i="6" l="1"/>
  <c r="N68" i="6" s="1"/>
  <c r="O54" i="6"/>
  <c r="K53" i="6"/>
  <c r="L53" i="6" s="1"/>
  <c r="Q53" i="6" s="1" a="1"/>
  <c r="AY30" i="7"/>
  <c r="AX30" i="7"/>
  <c r="AU30" i="7" a="1"/>
  <c r="AU30" i="7" s="1"/>
  <c r="AU35" i="7" a="1"/>
  <c r="AF46" i="6" l="1"/>
  <c r="P68" i="6"/>
  <c r="R54" i="6"/>
  <c r="Q53" i="6"/>
  <c r="R53" i="6" s="1"/>
  <c r="AU35" i="7"/>
  <c r="AU53" i="7" s="1" a="1"/>
  <c r="AU48" i="7" a="1"/>
  <c r="AU48" i="7" s="1"/>
  <c r="T53" i="6" l="1" a="1"/>
  <c r="AW75" i="7" a="1"/>
  <c r="AU75" i="7" a="1"/>
  <c r="AU53" i="7"/>
  <c r="T53" i="6" l="1"/>
  <c r="K69" i="6" s="1" a="1"/>
  <c r="AU64" i="7" a="1"/>
  <c r="AW64" i="7" a="1"/>
  <c r="AU75" i="7"/>
  <c r="BO75" i="7" s="1" a="1"/>
  <c r="BO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K59" i="6" l="1" a="1"/>
  <c r="K59" i="6" s="1"/>
  <c r="L59" i="6" s="1"/>
  <c r="N59" i="6" a="1"/>
  <c r="O60" i="6" s="1"/>
  <c r="K69" i="6"/>
  <c r="N69" i="6" s="1"/>
  <c r="BU75" i="7" a="1"/>
  <c r="BU75" i="7" s="1"/>
  <c r="BE75" i="7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AU64" i="7"/>
  <c r="BO64" i="7" s="1" a="1"/>
  <c r="BO64" i="7" s="1"/>
  <c r="L60" i="6" l="1"/>
  <c r="Q59" i="6" s="1" a="1"/>
  <c r="AF47" i="6"/>
  <c r="N59" i="6"/>
  <c r="O59" i="6" s="1"/>
  <c r="P69" i="6"/>
  <c r="BU64" i="7" a="1"/>
  <c r="BU64" i="7" s="1"/>
  <c r="BL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R60" i="6" l="1"/>
  <c r="Q59" i="6"/>
  <c r="R59" i="6" s="1"/>
  <c r="BK75" i="7"/>
  <c r="BS75" i="7" s="1" a="1"/>
  <c r="BS75" i="7" s="1"/>
  <c r="BL75" i="7"/>
  <c r="BQ75" i="7" s="1" a="1"/>
  <c r="BM75" i="7" a="1"/>
  <c r="BM75" i="7" s="1"/>
  <c r="BL64" i="7" a="1"/>
  <c r="BK64" i="7" a="1"/>
  <c r="T59" i="6" l="1" a="1"/>
  <c r="T59" i="6" s="1"/>
  <c r="K70" i="6" s="1" a="1"/>
  <c r="K70" i="6" s="1"/>
  <c r="AF48" i="6" s="1"/>
  <c r="BN75" i="7" a="1"/>
  <c r="BN75" i="7" s="1"/>
  <c r="BL64" i="7"/>
  <c r="BM64" i="7" s="1" a="1"/>
  <c r="BM64" i="7" s="1"/>
  <c r="BK64" i="7"/>
  <c r="BN64" i="7" s="1" a="1"/>
  <c r="BN64" i="7" s="1"/>
  <c r="BQ75" i="7"/>
  <c r="BX75" i="7" s="1" a="1"/>
  <c r="BX75" i="7" s="1"/>
  <c r="BQ64" i="7" l="1" a="1"/>
  <c r="BQ64" i="7" s="1"/>
  <c r="N70" i="6"/>
  <c r="K74" i="6" s="1" a="1"/>
  <c r="W11" i="6" s="1"/>
  <c r="P70" i="6"/>
  <c r="K80" i="6" s="1" a="1"/>
  <c r="W16" i="6" s="1"/>
  <c r="BS64" i="7" a="1"/>
  <c r="BS64" i="7" s="1"/>
  <c r="W12" i="6" l="1"/>
  <c r="W9" i="6"/>
  <c r="W8" i="6"/>
  <c r="K74" i="6"/>
  <c r="W7" i="6" s="1"/>
  <c r="W10" i="6"/>
  <c r="W14" i="6"/>
  <c r="W18" i="6"/>
  <c r="W15" i="6"/>
  <c r="W17" i="6"/>
  <c r="K80" i="6"/>
  <c r="W13" i="6" s="1"/>
  <c r="BX64" i="7" a="1"/>
  <c r="BX64" i="7" s="1"/>
  <c r="BX85" i="7" s="1" a="1"/>
  <c r="W22" i="6" l="1" a="1"/>
  <c r="W22" i="6" s="1"/>
  <c r="W28" i="6" s="1"/>
  <c r="BX85" i="7"/>
  <c r="W30" i="6" l="1"/>
  <c r="W36" i="6" s="1"/>
  <c r="AE24" i="6" s="1"/>
  <c r="W29" i="6"/>
  <c r="W35" i="6" s="1"/>
  <c r="AF7" i="6" s="1" a="1"/>
  <c r="AF7" i="6" s="1"/>
  <c r="CC38" i="7"/>
  <c r="CF44" i="7"/>
  <c r="CC40" i="7"/>
  <c r="CC36" i="7"/>
  <c r="CC39" i="7"/>
  <c r="CC35" i="7"/>
  <c r="CC37" i="7"/>
  <c r="W34" i="6"/>
  <c r="E6" i="11" l="1" a="1"/>
  <c r="E6" i="11" s="1"/>
  <c r="AG7" i="6" a="1"/>
  <c r="AG7" i="6" s="1"/>
  <c r="AE23" i="6"/>
  <c r="CC6" i="7" a="1"/>
  <c r="CE7" i="7" s="1"/>
  <c r="CC16" i="7" s="1"/>
  <c r="CH24" i="7"/>
  <c r="AE38" i="6" a="1"/>
  <c r="AE38" i="6" s="1"/>
  <c r="AE31" i="6" a="1"/>
  <c r="AE31" i="6" s="1"/>
  <c r="AE46" i="6" s="1"/>
  <c r="AE33" i="6" a="1"/>
  <c r="AE33" i="6" s="1"/>
  <c r="AE48" i="6" s="1"/>
  <c r="AE32" i="6" a="1"/>
  <c r="AE32" i="6" s="1"/>
  <c r="AE47" i="6" s="1"/>
  <c r="AE37" i="6" a="1"/>
  <c r="AE37" i="6" s="1"/>
  <c r="AE30" i="6" a="1"/>
  <c r="AE30" i="6" s="1"/>
  <c r="AE45" i="6" s="1"/>
  <c r="AE28" i="6" a="1"/>
  <c r="AE28" i="6" s="1"/>
  <c r="AE43" i="6" s="1"/>
  <c r="AE39" i="6" a="1"/>
  <c r="AE39" i="6" s="1"/>
  <c r="AE7" i="6" a="1"/>
  <c r="AE7" i="6" s="1"/>
  <c r="AE29" i="6" a="1"/>
  <c r="AE29" i="6" s="1"/>
  <c r="AE44" i="6" s="1"/>
  <c r="AE36" i="6" a="1"/>
  <c r="AE36" i="6" s="1"/>
  <c r="AE34" i="6" a="1"/>
  <c r="AE34" i="6" s="1"/>
  <c r="AE22" i="6"/>
  <c r="AE35" i="6" a="1"/>
  <c r="AE35" i="6" s="1"/>
  <c r="CC46" i="7" a="1"/>
  <c r="CC46" i="7" s="1"/>
  <c r="CC45" i="7" a="1"/>
  <c r="CC45" i="7" s="1"/>
  <c r="CC44" i="7" a="1"/>
  <c r="CC44" i="7" s="1"/>
  <c r="AH45" i="6" l="1"/>
  <c r="AG45" i="6"/>
  <c r="AH48" i="6"/>
  <c r="AG48" i="6"/>
  <c r="AH44" i="6"/>
  <c r="AG44" i="6"/>
  <c r="AH47" i="6"/>
  <c r="AG47" i="6"/>
  <c r="AH46" i="6"/>
  <c r="AG46" i="6"/>
  <c r="CH7" i="7"/>
  <c r="CF16" i="7" s="1"/>
  <c r="CH9" i="7"/>
  <c r="CF18" i="7" s="1"/>
  <c r="AH43" i="6"/>
  <c r="AG43" i="6"/>
  <c r="CI11" i="7"/>
  <c r="CG20" i="7" s="1"/>
  <c r="CF7" i="7"/>
  <c r="CD16" i="7" s="1"/>
  <c r="CG8" i="7"/>
  <c r="CE17" i="7" s="1"/>
  <c r="CE8" i="7"/>
  <c r="CC17" i="7" s="1"/>
  <c r="CI8" i="7"/>
  <c r="CG17" i="7" s="1"/>
  <c r="CF11" i="7"/>
  <c r="CD20" i="7" s="1"/>
  <c r="CG10" i="7"/>
  <c r="CE19" i="7" s="1"/>
  <c r="CF9" i="7"/>
  <c r="CD18" i="7" s="1"/>
  <c r="CI10" i="7"/>
  <c r="CG19" i="7" s="1"/>
  <c r="AE53" i="6"/>
  <c r="AF53" i="6"/>
  <c r="AF52" i="6"/>
  <c r="AE52" i="6"/>
  <c r="AF54" i="6"/>
  <c r="AE54" i="6"/>
  <c r="AE63" i="6" s="1"/>
  <c r="AF55" i="6"/>
  <c r="AE55" i="6"/>
  <c r="AE56" i="6"/>
  <c r="AF56" i="6"/>
  <c r="AE57" i="6"/>
  <c r="AF57" i="6"/>
  <c r="CI7" i="7"/>
  <c r="CG16" i="7" s="1"/>
  <c r="CC6" i="7"/>
  <c r="CH8" i="7"/>
  <c r="CF17" i="7" s="1"/>
  <c r="CE11" i="7"/>
  <c r="CC20" i="7" s="1"/>
  <c r="CE10" i="7"/>
  <c r="CC19" i="7" s="1"/>
  <c r="CE9" i="7"/>
  <c r="CC18" i="7" s="1"/>
  <c r="AF66" i="6" l="1"/>
  <c r="AE64" i="6"/>
  <c r="AF64" i="6"/>
  <c r="AF63" i="6"/>
  <c r="AE62" i="6"/>
  <c r="AE65" i="6"/>
  <c r="CH6" i="7"/>
  <c r="CF15" i="7" s="1"/>
  <c r="CE6" i="7"/>
  <c r="CC15" i="7" s="1"/>
  <c r="AE66" i="6"/>
  <c r="AE70" i="6" s="1" a="1"/>
  <c r="AF61" i="6"/>
  <c r="AF65" i="6"/>
  <c r="AF62" i="6"/>
  <c r="AE61" i="6"/>
  <c r="AE73" i="6" a="1"/>
  <c r="AE73" i="6" s="1"/>
  <c r="CI6" i="7"/>
  <c r="CG15" i="7" s="1"/>
  <c r="CF6" i="7"/>
  <c r="CD15" i="7" s="1"/>
  <c r="AE72" i="6" l="1" a="1"/>
  <c r="AE72" i="6" s="1"/>
  <c r="AE74" i="6" a="1"/>
  <c r="AE74" i="6" s="1"/>
  <c r="AE75" i="6" a="1"/>
  <c r="AE75" i="6" s="1"/>
  <c r="AE71" i="6" a="1"/>
  <c r="AE71" i="6" s="1"/>
  <c r="CE27" i="7" a="1"/>
  <c r="CE27" i="7" s="1"/>
  <c r="CD28" i="7" a="1"/>
  <c r="CD28" i="7" s="1"/>
  <c r="CD25" i="7" a="1"/>
  <c r="CD25" i="7" s="1"/>
  <c r="CE24" i="7" a="1"/>
  <c r="CE24" i="7" s="1"/>
  <c r="CE25" i="7" a="1"/>
  <c r="CE25" i="7" s="1"/>
  <c r="CD26" i="7" a="1"/>
  <c r="CD26" i="7" s="1"/>
  <c r="CD27" i="7" a="1"/>
  <c r="CD27" i="7" s="1"/>
  <c r="CE28" i="7" a="1"/>
  <c r="CE28" i="7" s="1"/>
  <c r="CC24" i="7" a="1"/>
  <c r="CC24" i="7" s="1"/>
  <c r="CD24" i="7" a="1"/>
  <c r="CD24" i="7" s="1"/>
  <c r="CC27" i="7" a="1"/>
  <c r="CC27" i="7" s="1"/>
  <c r="CC28" i="7" a="1"/>
  <c r="CC28" i="7" s="1"/>
  <c r="CC25" i="7" a="1"/>
  <c r="CC25" i="7" s="1"/>
  <c r="CE26" i="7" a="1"/>
  <c r="CE26" i="7" s="1"/>
  <c r="CC26" i="7" a="1"/>
  <c r="CC26" i="7" s="1"/>
  <c r="AE70" i="6"/>
  <c r="AE79" i="6" s="1" a="1"/>
  <c r="AE79" i="6" l="1"/>
  <c r="AK8" i="6" s="1" a="1"/>
  <c r="AK8" i="6" s="1"/>
  <c r="AO8" i="6" a="1"/>
  <c r="AO8" i="6" s="1"/>
  <c r="AP8" i="6" s="1" a="1"/>
  <c r="AM8" i="6" l="1" a="1"/>
  <c r="AM8" i="6" s="1"/>
  <c r="AN8" i="6" s="1" a="1"/>
  <c r="AN8" i="6" s="1"/>
  <c r="AP8" i="6"/>
  <c r="AZ8" i="6" s="1" a="1"/>
  <c r="AZ8" i="6" s="1"/>
  <c r="AU8" i="6" l="1" a="1"/>
  <c r="AU8" i="6" s="1"/>
  <c r="AY8" i="6" a="1"/>
  <c r="AY8" i="6" s="1"/>
  <c r="AQ8" i="6" a="1"/>
  <c r="AQ8" i="6" s="1"/>
  <c r="AR8" i="6" s="1" a="1"/>
  <c r="AW8" i="6" a="1"/>
  <c r="AW8" i="6" s="1"/>
  <c r="BD8" i="6" a="1"/>
  <c r="BD8" i="6" s="1"/>
  <c r="BB8" i="6" a="1"/>
  <c r="BB8" i="6" s="1"/>
  <c r="AR8" i="6" l="1"/>
  <c r="BG8" i="6" s="1" a="1"/>
  <c r="BG8" i="6" s="1"/>
  <c r="AZ50" i="6" l="1" a="1"/>
  <c r="AZ50" i="6" s="1"/>
  <c r="AU61" i="6" s="1"/>
  <c r="BE8" i="6" a="1"/>
  <c r="BE8" i="6" s="1"/>
  <c r="BI8" i="6" a="1"/>
  <c r="BI8" i="6" s="1"/>
  <c r="AS8" i="6" a="1"/>
  <c r="AV61" i="6" l="1"/>
  <c r="BL40" i="6" s="1"/>
  <c r="AS8" i="6"/>
  <c r="AK14" i="6" s="1" a="1"/>
  <c r="AK14" i="6" s="1"/>
  <c r="AM14" i="6" l="1" a="1"/>
  <c r="AM14" i="6" s="1"/>
  <c r="AN14" i="6" s="1" a="1"/>
  <c r="AO14" i="6" l="1" a="1"/>
  <c r="AO14" i="6" s="1"/>
  <c r="AP14" i="6" s="1" a="1"/>
  <c r="AP14" i="6" s="1"/>
  <c r="BD14" i="6" s="1" a="1"/>
  <c r="BD14" i="6" s="1"/>
  <c r="AN14" i="6"/>
  <c r="AU14" i="6" s="1" a="1"/>
  <c r="AU14" i="6" s="1"/>
  <c r="AY14" i="6" a="1"/>
  <c r="AY14" i="6" s="1"/>
  <c r="AW14" i="6" l="1" a="1"/>
  <c r="AW14" i="6" s="1"/>
  <c r="BB14" i="6" a="1"/>
  <c r="BB14" i="6" s="1"/>
  <c r="AZ14" i="6" a="1"/>
  <c r="AZ14" i="6" s="1"/>
  <c r="AQ14" i="6" a="1"/>
  <c r="AQ14" i="6" s="1"/>
  <c r="AR14" i="6" s="1" a="1"/>
  <c r="AR14" i="6" l="1"/>
  <c r="BE14" i="6" s="1" a="1"/>
  <c r="BE14" i="6" s="1"/>
  <c r="AS14" i="6" l="1" a="1"/>
  <c r="BI14" i="6" a="1"/>
  <c r="BI14" i="6" s="1"/>
  <c r="BG14" i="6" a="1"/>
  <c r="BG14" i="6" s="1"/>
  <c r="AY50" i="6" a="1"/>
  <c r="AS14" i="6" l="1"/>
  <c r="AK20" i="6" a="1"/>
  <c r="AK20" i="6" s="1"/>
  <c r="AO20" i="6" a="1"/>
  <c r="AO20" i="6" s="1"/>
  <c r="AP20" i="6" s="1" a="1"/>
  <c r="AP20" i="6" s="1"/>
  <c r="BB20" i="6" s="1" a="1"/>
  <c r="BB20" i="6" s="1"/>
  <c r="AV60" i="6"/>
  <c r="BL39" i="6" s="1"/>
  <c r="AY50" i="6"/>
  <c r="AU60" i="6" s="1"/>
  <c r="AM20" i="6" l="1" a="1"/>
  <c r="AM20" i="6" s="1"/>
  <c r="AN20" i="6" s="1" a="1"/>
  <c r="AN20" i="6" s="1"/>
  <c r="AQ20" i="6" s="1" a="1"/>
  <c r="AQ20" i="6" s="1"/>
  <c r="AR20" i="6" s="1" a="1"/>
  <c r="AR20" i="6" s="1"/>
  <c r="AZ20" i="6" a="1"/>
  <c r="AZ20" i="6" s="1"/>
  <c r="BD20" i="6" a="1"/>
  <c r="BD20" i="6" s="1"/>
  <c r="AW20" i="6" a="1"/>
  <c r="AW20" i="6" s="1"/>
  <c r="AY20" i="6" a="1"/>
  <c r="AY20" i="6" s="1"/>
  <c r="BE20" i="6" l="1" a="1"/>
  <c r="BE20" i="6" s="1"/>
  <c r="AX50" i="6" a="1"/>
  <c r="AX50" i="6" s="1"/>
  <c r="AU59" i="6" s="1"/>
  <c r="AS20" i="6" a="1"/>
  <c r="AS20" i="6" s="1"/>
  <c r="AK26" i="6" s="1" a="1"/>
  <c r="AK26" i="6" s="1"/>
  <c r="AU20" i="6" a="1"/>
  <c r="AU20" i="6" s="1"/>
  <c r="BG20" i="6" a="1"/>
  <c r="BG20" i="6" s="1"/>
  <c r="BI20" i="6" a="1"/>
  <c r="BI20" i="6" s="1"/>
  <c r="AV59" i="6" l="1"/>
  <c r="BL38" i="6" s="1"/>
  <c r="AO26" i="6" a="1"/>
  <c r="AO26" i="6" s="1"/>
  <c r="AP26" i="6" s="1" a="1"/>
  <c r="AP26" i="6" s="1"/>
  <c r="AM26" i="6" a="1"/>
  <c r="AM26" i="6" s="1"/>
  <c r="AN26" i="6" s="1" a="1"/>
  <c r="AN26" i="6" s="1"/>
  <c r="AY26" i="6" s="1" a="1"/>
  <c r="AY26" i="6" s="1"/>
  <c r="AQ26" i="6" l="1" a="1"/>
  <c r="AQ26" i="6" s="1"/>
  <c r="AR26" i="6" s="1" a="1"/>
  <c r="AR26" i="6" s="1"/>
  <c r="AW50" i="6" s="1" a="1"/>
  <c r="AW26" i="6" a="1"/>
  <c r="AW26" i="6" s="1"/>
  <c r="AU26" i="6" a="1"/>
  <c r="AU26" i="6" s="1"/>
  <c r="BB26" i="6" a="1"/>
  <c r="BB26" i="6" s="1"/>
  <c r="BD26" i="6" a="1"/>
  <c r="BD26" i="6" s="1"/>
  <c r="AZ26" i="6" a="1"/>
  <c r="AZ26" i="6" s="1"/>
  <c r="BE26" i="6" l="1" a="1"/>
  <c r="BE26" i="6" s="1"/>
  <c r="BG26" i="6" a="1"/>
  <c r="BG26" i="6" s="1"/>
  <c r="AV58" i="6"/>
  <c r="BL37" i="6" s="1"/>
  <c r="AW50" i="6"/>
  <c r="AU58" i="6" s="1"/>
  <c r="AS26" i="6" a="1"/>
  <c r="BI26" i="6" a="1"/>
  <c r="BI26" i="6" l="1"/>
  <c r="AS26" i="6"/>
  <c r="AK32" i="6" s="1" a="1"/>
  <c r="AK32" i="6" s="1"/>
  <c r="AM32" i="6" l="1" a="1"/>
  <c r="AM32" i="6" s="1"/>
  <c r="AN32" i="6" s="1" a="1"/>
  <c r="AO32" i="6" l="1" a="1"/>
  <c r="AO32" i="6" s="1"/>
  <c r="AP32" i="6" s="1" a="1"/>
  <c r="AN32" i="6"/>
  <c r="AQ32" i="6" s="1" a="1"/>
  <c r="AQ32" i="6" s="1"/>
  <c r="AR32" i="6" s="1" a="1"/>
  <c r="AW32" i="6" l="1" a="1"/>
  <c r="AW32" i="6" s="1"/>
  <c r="AP32" i="6"/>
  <c r="AR32" i="6"/>
  <c r="AV50" i="6" s="1" a="1"/>
  <c r="AU32" i="6" a="1"/>
  <c r="AY32" i="6" a="1"/>
  <c r="AS32" i="6" l="1" a="1"/>
  <c r="BB32" i="6" a="1"/>
  <c r="BB32" i="6" s="1"/>
  <c r="BD32" i="6" a="1"/>
  <c r="AZ32" i="6" a="1"/>
  <c r="AZ32" i="6" s="1"/>
  <c r="AY32" i="6"/>
  <c r="AV57" i="6"/>
  <c r="BL36" i="6" s="1"/>
  <c r="AV50" i="6"/>
  <c r="AU57" i="6" s="1"/>
  <c r="AU32" i="6"/>
  <c r="BI32" i="6" a="1"/>
  <c r="BE32" i="6" a="1"/>
  <c r="BG32" i="6" a="1"/>
  <c r="AS32" i="6" l="1"/>
  <c r="AK38" i="6" a="1"/>
  <c r="AK38" i="6" s="1"/>
  <c r="BD32" i="6"/>
  <c r="BI32" i="6"/>
  <c r="BE32" i="6"/>
  <c r="BG32" i="6"/>
  <c r="AO38" i="6" l="1" a="1"/>
  <c r="AO38" i="6" s="1"/>
  <c r="AP38" i="6" s="1" a="1"/>
  <c r="AM38" i="6" a="1"/>
  <c r="AP38" i="6" l="1"/>
  <c r="BB38" i="6" s="1" a="1"/>
  <c r="AZ38" i="6" a="1"/>
  <c r="BD38" i="6" a="1"/>
  <c r="AM38" i="6"/>
  <c r="AN38" i="6" s="1" a="1"/>
  <c r="BD38" i="6" l="1"/>
  <c r="BD44" i="6" s="1"/>
  <c r="BD45" i="6"/>
  <c r="BB45" i="6"/>
  <c r="BC44" i="6"/>
  <c r="BC45" i="6"/>
  <c r="BB38" i="6"/>
  <c r="BB44" i="6" s="1"/>
  <c r="AZ45" i="6"/>
  <c r="BA45" i="6"/>
  <c r="BA44" i="6"/>
  <c r="AZ38" i="6"/>
  <c r="AZ44" i="6" s="1"/>
  <c r="AN38" i="6"/>
  <c r="AQ38" i="6" s="1" a="1"/>
  <c r="AQ38" i="6" s="1"/>
  <c r="AR38" i="6" s="1" a="1"/>
  <c r="AR38" i="6" l="1"/>
  <c r="BE38" i="6" s="1" a="1"/>
  <c r="AY38" i="6" a="1"/>
  <c r="AW38" i="6" a="1"/>
  <c r="AU38" i="6" a="1"/>
  <c r="AS38" i="6" l="1" a="1"/>
  <c r="AS38" i="6" s="1"/>
  <c r="AY38" i="6"/>
  <c r="AY44" i="6" s="1"/>
  <c r="AY45" i="6"/>
  <c r="BF44" i="6"/>
  <c r="BF45" i="6"/>
  <c r="BE45" i="6"/>
  <c r="BE38" i="6"/>
  <c r="BE44" i="6" s="1"/>
  <c r="AW38" i="6"/>
  <c r="AW44" i="6" s="1"/>
  <c r="AW45" i="6"/>
  <c r="AX44" i="6"/>
  <c r="AX45" i="6"/>
  <c r="AU38" i="6"/>
  <c r="AU44" i="6" s="1"/>
  <c r="AV45" i="6"/>
  <c r="AV44" i="6"/>
  <c r="AU45" i="6"/>
  <c r="AU50" i="6" a="1"/>
  <c r="BI38" i="6" a="1"/>
  <c r="BG38" i="6" a="1"/>
  <c r="BI38" i="6" l="1"/>
  <c r="BI44" i="6" s="1"/>
  <c r="BI45" i="6"/>
  <c r="AU50" i="6"/>
  <c r="AU56" i="6" s="1"/>
  <c r="AV56" i="6"/>
  <c r="BG38" i="6"/>
  <c r="BG44" i="6" s="1"/>
  <c r="BH45" i="6"/>
  <c r="BH44" i="6"/>
  <c r="BG45" i="6"/>
  <c r="BL35" i="6" l="1"/>
  <c r="BO44" i="6"/>
  <c r="BQ24" i="6"/>
  <c r="BL6" i="6" a="1"/>
  <c r="BN7" i="6" s="1"/>
  <c r="BL16" i="6" s="1"/>
  <c r="BQ7" i="6" l="1"/>
  <c r="BO16" i="6" s="1"/>
  <c r="BQ9" i="6"/>
  <c r="BO18" i="6" s="1"/>
  <c r="BO7" i="6"/>
  <c r="BM16" i="6" s="1"/>
  <c r="BR11" i="6"/>
  <c r="BP20" i="6" s="1"/>
  <c r="BP8" i="6"/>
  <c r="BN17" i="6" s="1"/>
  <c r="BN8" i="6"/>
  <c r="BL17" i="6" s="1"/>
  <c r="BR8" i="6"/>
  <c r="BP17" i="6" s="1"/>
  <c r="BP10" i="6"/>
  <c r="BN19" i="6" s="1"/>
  <c r="BO11" i="6"/>
  <c r="BM20" i="6" s="1"/>
  <c r="BR10" i="6"/>
  <c r="BP19" i="6" s="1"/>
  <c r="BO9" i="6"/>
  <c r="BM18" i="6" s="1"/>
  <c r="BL6" i="6"/>
  <c r="BN10" i="6"/>
  <c r="BL19" i="6" s="1"/>
  <c r="BQ8" i="6"/>
  <c r="BO17" i="6" s="1"/>
  <c r="BR7" i="6"/>
  <c r="BP16" i="6" s="1"/>
  <c r="BN9" i="6"/>
  <c r="BL18" i="6" s="1"/>
  <c r="BN11" i="6"/>
  <c r="BL20" i="6" s="1"/>
  <c r="BL44" i="6" a="1"/>
  <c r="BL44" i="6" s="1"/>
  <c r="BL45" i="6" a="1"/>
  <c r="BL45" i="6" s="1"/>
  <c r="BL46" i="6" a="1"/>
  <c r="BL46" i="6" s="1"/>
  <c r="BQ6" i="6" l="1"/>
  <c r="BO15" i="6" s="1"/>
  <c r="BN6" i="6"/>
  <c r="BL15" i="6" s="1"/>
  <c r="BR6" i="6"/>
  <c r="BP15" i="6" s="1"/>
  <c r="BO6" i="6"/>
  <c r="BM15" i="6" s="1"/>
  <c r="BN27" i="6" l="1" a="1"/>
  <c r="BN27" i="6" s="1"/>
  <c r="BM24" i="6" a="1"/>
  <c r="BM24" i="6" s="1"/>
  <c r="BM28" i="6" a="1"/>
  <c r="BM28" i="6" s="1"/>
  <c r="BL26" i="6" a="1"/>
  <c r="BL26" i="6" s="1"/>
  <c r="BM27" i="6" a="1"/>
  <c r="BM27" i="6" s="1"/>
  <c r="BL25" i="6" a="1"/>
  <c r="BL25" i="6" s="1"/>
  <c r="BN25" i="6" a="1"/>
  <c r="BN25" i="6" s="1"/>
  <c r="BM26" i="6" a="1"/>
  <c r="BM26" i="6" s="1"/>
  <c r="BN28" i="6" a="1"/>
  <c r="BN28" i="6" s="1"/>
  <c r="BM25" i="6" a="1"/>
  <c r="BM25" i="6" s="1"/>
  <c r="BL27" i="6" a="1"/>
  <c r="BL27" i="6" s="1"/>
  <c r="BN24" i="6" a="1"/>
  <c r="BN24" i="6" s="1"/>
  <c r="BL28" i="6" a="1"/>
  <c r="BL28" i="6" s="1"/>
  <c r="BN26" i="6" a="1"/>
  <c r="BN26" i="6" s="1"/>
  <c r="BL24" i="6" a="1"/>
  <c r="BL24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<sst xmlns="http://schemas.openxmlformats.org/spreadsheetml/2006/main" count="745" uniqueCount="239">
  <si>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</si>
  <si>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</si>
  <si>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</si>
  <si>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</si>
  <si>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</si>
  <si>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</si>
  <si>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</si>
  <si>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</si>
  <si>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</si>
  <si>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</si>
  <si>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</si>
  <si>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</si>
  <si>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</si>
  <si>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</si>
  <si>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</si>
  <si>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</si>
  <si>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</si>
  <si>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</si>
  <si>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</si>
  <si>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</si>
  <si>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</si>
  <si>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</si>
  <si>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</si>
  <si>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</si>
  <si>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</si>
  <si>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</si>
  <si>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</si>
  <si>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</si>
  <si>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</si>
  <si>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</si>
  <si>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</si>
  <si>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</si>
  <si>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</si>
  <si>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</si>
  <si>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</si>
  <si>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</si>
  <si>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</si>
  <si>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</si>
  <si>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</si>
  <si>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</si>
  <si>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</si>
  <si>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</si>
  <si>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</si>
  <si>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</si>
  <si>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</si>
  <si>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</si>
  <si>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</si>
  <si>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</si>
  <si>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</si>
  <si>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</si>
  <si>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</si>
  <si>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</si>
  <si>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</si>
  <si>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</si>
  <si>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</si>
  <si>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</si>
  <si>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</si>
  <si>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</si>
  <si>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</si>
  <si>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</si>
  <si>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</si>
  <si>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</si>
  <si>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</si>
  <si>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</si>
  <si>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</si>
  <si>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</si>
  <si>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</si>
  <si>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</si>
  <si>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</si>
  <si>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</si>
  <si>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</si>
  <si>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</si>
  <si>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</si>
  <si>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</si>
  <si>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</si>
  <si>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</si>
  <si>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</si>
  <si>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</si>
  <si>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</si>
  <si>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</si>
  <si>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</si>
  <si>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</si>
  <si>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</si>
  <si>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</si>
  <si>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</si>
  <si>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</si>
  <si>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</si>
  <si>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</si>
  <si>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</si>
  <si>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</si>
  <si>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</si>
  <si>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</si>
  <si>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</si>
  <si>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</si>
  <si>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</si>
  <si>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</si>
  <si>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</si>
  <si>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</si>
  <si>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</si>
  <si>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</si>
  <si>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</si>
  <si>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</si>
  <si>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</si>
  <si>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</si>
  <si>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</si>
  <si>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</si>
  <si>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</si>
  <si>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</si>
  <si>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</si>
  <si>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</si>
  <si>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</si>
  <si>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</si>
  <si>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</si>
  <si>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</si>
  <si>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</si>
  <si>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</si>
  <si>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</si>
  <si>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</si>
  <si>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</si>
  <si>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</si>
  <si>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</si>
  <si>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</si>
  <si>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</si>
  <si>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</si>
  <si>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</si>
  <si>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</si>
  <si>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</si>
  <si>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</si>
  <si>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</si>
  <si>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</si>
  <si>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</si>
  <si>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</si>
  <si>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</si>
  <si>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</si>
  <si>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</si>
  <si>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</si>
  <si>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</si>
  <si>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</si>
  <si>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</si>
  <si>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</si>
  <si>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</si>
  <si>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</si>
  <si>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</si>
  <si>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</si>
  <si>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</si>
  <si>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</si>
  <si>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</si>
  <si>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</si>
  <si>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</si>
  <si>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</si>
  <si>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</si>
  <si>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</si>
  <si>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</si>
  <si>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</si>
  <si>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</si>
  <si>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</si>
  <si>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</si>
  <si>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</si>
  <si>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</si>
  <si>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</si>
  <si>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</si>
  <si>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</si>
  <si>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</si>
  <si>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</si>
  <si>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</si>
  <si>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</si>
  <si>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O_FFN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</si>
  <si>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</si>
  <si>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</si>
  <si>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</si>
  <si>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</si>
  <si>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</si>
  <si>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</si>
  <si>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</si>
  <si>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</si>
  <si>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</si>
  <si>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</si>
  <si>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(2.90)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</si>
  <si>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</si>
  <si>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</si>
  <si>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</si>
  <si>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</si>
  <si>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</si>
  <si>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</si>
  <si>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</si>
  <si>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</si>
  <si>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</si>
  <si>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</si>
  <si>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</si>
  <si>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</si>
  <si>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</si>
  <si>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</si>
  <si>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</si>
  <si>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</si>
  <si>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</si>
  <si>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</si>
  <si>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</si>
  <si>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</si>
  <si>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</si>
  <si>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</si>
  <si>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</si>
  <si>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</si>
  <si>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</si>
  <si>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</si>
  <si>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</si>
  <si>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</si>
  <si>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</si>
  <si>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</si>
  <si>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</si>
  <si>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</si>
  <si>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</si>
  <si>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</si>
  <si>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</si>
  <si>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</si>
  <si>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</si>
  <si>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</si>
  <si>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</si>
  <si>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</si>
  <si>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</si>
  <si>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</si>
  <si>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</si>
  <si>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</si>
  <si>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</si>
  <si>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</si>
  <si>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</si>
  <si>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</si>
  <si>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</si>
  <si>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</si>
  <si>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</si>
  <si>
    <t>(banyak fitur pada masukan)</t>
  </si>
  <si>
    <t>(banyak fitur pada hidden state dan keluaran)</t>
  </si>
  <si>
    <t>F_in</t>
  </si>
  <si>
    <t>F_out</t>
  </si>
  <si>
    <t>F_out x F_in</t>
  </si>
  <si>
    <t>F_out x F_out</t>
  </si>
  <si>
    <t>ITERASI MUNDUR TRANSPOSED</t>
  </si>
  <si>
    <t>TRANSPOSE DAN CONCATENATE</t>
  </si>
  <si>
    <t>F_out x 1</t>
  </si>
  <si>
    <t>POSITIONAL ENCODING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</si>
</sst>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 diagonalUp="1" diagonalDown="1">
      <left style="thick">
        <color indexed="64"/>
      </left>
      <right style="thick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90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5" xfId="0" applyBorder="1"/>
    <xf numFmtId="0" fontId="0" fillId="0" borderId="7" xfId="0" applyBorder="1" applyAlignment="1">
      <alignment horizontal="right"/>
    </xf>
    <xf numFmtId="0" fontId="2" fillId="0" borderId="7" xfId="0" applyFont="1" applyBorder="1"/>
    <xf numFmtId="0" fontId="0" fillId="0" borderId="14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6" xfId="0" applyBorder="1"/>
    <xf numFmtId="0" fontId="10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9" xfId="0" applyBorder="1" applyAlignment="1">
      <alignment horizontal="right"/>
    </xf>
    <xf numFmtId="0" fontId="0" fillId="0" borderId="21" xfId="0" applyBorder="1"/>
    <xf numFmtId="0" fontId="4" fillId="5" borderId="0" xfId="2" applyBorder="1"/>
    <xf numFmtId="0" fontId="4" fillId="5" borderId="22" xfId="2" applyBorder="1"/>
    <xf numFmtId="0" fontId="3" fillId="4" borderId="20" xfId="1" applyBorder="1"/>
    <xf numFmtId="0" fontId="3" fillId="4" borderId="23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17" xfId="0" applyBorder="1"/>
    <xf numFmtId="0" fontId="4" fillId="5" borderId="20" xfId="2" applyBorder="1"/>
    <xf numFmtId="0" fontId="3" fillId="4" borderId="22" xfId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8" fillId="0" borderId="0" xfId="0" applyFont="1" applyAlignment="1">
      <alignment horizontal="left"/>
    </xf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2:M19"/>
  <sheetViews>
    <sheetView zoomScale="130" zoomScaleNormal="130" workbookViewId="0">
      <selection activeCell="K20" sqref="K20"/>
    </sheetView>
  </sheetViews>
  <sheetFormatPr defaultRowHeight="15" x14ac:dyDescent="0.25"/>
  <sheetData>
    <row r="2" spans="1:13" x14ac:dyDescent="0.25">
      <c r="A2" s="3" t="s">
        <v>45</v>
      </c>
      <c r="B2" t="s">
        <v>46</v>
      </c>
      <c r="C2" s="3" t="s">
        <v>87</v>
      </c>
      <c r="D2" s="3" t="s">
        <v>45</v>
      </c>
      <c r="E2" s="3" t="s">
        <v>45</v>
      </c>
      <c r="F2" s="3" t="s">
        <v>45</v>
      </c>
      <c r="I2" t="s">
        <v>88</v>
      </c>
      <c r="J2" s="13"/>
      <c r="L2" s="13"/>
    </row>
    <row r="3" spans="1:13" x14ac:dyDescent="0.25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>(B4-I$10)/I$11</f>
        <v>9.8070127981472688E-2</v>
      </c>
      <c r="J4">
        <f t="shared" ref="J4:M9" si="0">(C4-J$10)/J$11</f>
        <v>0.76989837351610546</v>
      </c>
      <c r="K4">
        <f t="shared" si="0"/>
        <v>1.0888675284528564</v>
      </c>
      <c r="L4">
        <f t="shared" si="0"/>
        <v>0.41864132753818439</v>
      </c>
      <c r="M4">
        <f t="shared" si="0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ref="I5:I9" si="1">(B5-I$10)/I$11</f>
        <v>0.3947945813296071</v>
      </c>
      <c r="J5">
        <f t="shared" si="0"/>
        <v>0.76298402984034686</v>
      </c>
      <c r="K5">
        <f t="shared" si="0"/>
        <v>-1.5092547447204521</v>
      </c>
      <c r="L5">
        <f t="shared" si="0"/>
        <v>0.78695236170270555</v>
      </c>
      <c r="M5">
        <f t="shared" si="0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1"/>
        <v>1.2610501600821225</v>
      </c>
      <c r="J6">
        <f t="shared" si="0"/>
        <v>1.0201001967063095</v>
      </c>
      <c r="K6">
        <f t="shared" si="0"/>
        <v>0.20946802791688546</v>
      </c>
      <c r="L6">
        <f t="shared" si="0"/>
        <v>-1.5474479187727208</v>
      </c>
      <c r="M6">
        <f t="shared" si="0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1"/>
        <v>-1.914822845899089</v>
      </c>
      <c r="J7">
        <f t="shared" si="0"/>
        <v>-0.96507706088431011</v>
      </c>
      <c r="K7">
        <f t="shared" si="0"/>
        <v>-0.73600695036684105</v>
      </c>
      <c r="L7">
        <f t="shared" si="0"/>
        <v>-1.2146668976505628</v>
      </c>
      <c r="M7">
        <f t="shared" si="0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1"/>
        <v>0.61185767787065537</v>
      </c>
      <c r="J8">
        <f t="shared" si="0"/>
        <v>-1.6862564508613829</v>
      </c>
      <c r="K8">
        <f t="shared" si="0"/>
        <v>-0.39331255882270999</v>
      </c>
      <c r="L8">
        <f t="shared" si="0"/>
        <v>1.027314449369916</v>
      </c>
      <c r="M8">
        <f t="shared" si="0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1"/>
        <v>-0.45094970136476858</v>
      </c>
      <c r="J9">
        <f t="shared" si="0"/>
        <v>9.8350911682930572E-2</v>
      </c>
      <c r="K9">
        <f t="shared" si="0"/>
        <v>1.3402386975402607</v>
      </c>
      <c r="L9">
        <f t="shared" si="0"/>
        <v>0.52920667781247754</v>
      </c>
      <c r="M9">
        <f t="shared" si="0"/>
        <v>0.78585618911594302</v>
      </c>
    </row>
    <row r="10" spans="1:13" x14ac:dyDescent="0.25">
      <c r="H10" t="s">
        <v>227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228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47</v>
      </c>
      <c r="E12" t="s">
        <v>70</v>
      </c>
    </row>
    <row r="13" spans="1:13" x14ac:dyDescent="0.25">
      <c r="B13" t="s">
        <v>42</v>
      </c>
      <c r="C13" t="s">
        <v>43</v>
      </c>
      <c r="D13" t="s">
        <v>44</v>
      </c>
    </row>
    <row r="14" spans="1:13" x14ac:dyDescent="0.25">
      <c r="B14">
        <v>1</v>
      </c>
      <c r="C14">
        <v>2</v>
      </c>
      <c r="D14">
        <v>3</v>
      </c>
      <c r="I14" t="s">
        <v>73</v>
      </c>
    </row>
    <row r="15" spans="1:13" x14ac:dyDescent="0.25">
      <c r="A15">
        <v>1</v>
      </c>
      <c r="B15" s="77" t="s">
        <v>71</v>
      </c>
      <c r="C15" s="77"/>
      <c r="D15" s="77"/>
      <c r="E15" t="s">
        <v>42</v>
      </c>
      <c r="F15" t="s">
        <v>43</v>
      </c>
      <c r="I15" t="s">
        <v>74</v>
      </c>
      <c r="J15" t="s">
        <v>75</v>
      </c>
    </row>
    <row r="16" spans="1:13" x14ac:dyDescent="0.25">
      <c r="A16">
        <v>2</v>
      </c>
      <c r="B16" s="78" t="s">
        <v>194</v>
      </c>
      <c r="C16" s="78"/>
      <c r="D16" s="78"/>
      <c r="E16" t="s">
        <v>42</v>
      </c>
      <c r="F16" t="s">
        <v>44</v>
      </c>
      <c r="H16" t="s">
        <v>42</v>
      </c>
      <c r="I16">
        <v>3</v>
      </c>
    </row>
    <row r="17" spans="1:9" x14ac:dyDescent="0.25">
      <c r="A17">
        <v>3</v>
      </c>
      <c r="B17" s="78"/>
      <c r="C17" s="78"/>
      <c r="D17" s="78"/>
      <c r="E17" t="s">
        <v>44</v>
      </c>
      <c r="F17" t="s">
        <v>43</v>
      </c>
      <c r="H17" t="s">
        <v>43</v>
      </c>
      <c r="I17">
        <v>16</v>
      </c>
    </row>
    <row r="18" spans="1:9" x14ac:dyDescent="0.25">
      <c r="A18">
        <v>4</v>
      </c>
      <c r="B18" s="78"/>
      <c r="C18" s="78"/>
      <c r="D18" s="78"/>
      <c r="E18" t="s">
        <v>42</v>
      </c>
      <c r="H18" t="s">
        <v>44</v>
      </c>
      <c r="I18">
        <v>7</v>
      </c>
    </row>
    <row r="19" spans="1:9" x14ac:dyDescent="0.25">
      <c r="B19" s="32" t="s">
        <v>191</v>
      </c>
    </row>
  </sheetData>
  <mergeCells count="2">
    <mergeCell ref="B15:D15"/>
    <mergeCell ref="B16:D18"/>
  </mergeCells>
  <pageMargins left="0.7" right="0.7" top="0.75" bottom="0.75" header="0.3" footer="0.3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W54"/>
  <sheetViews>
    <sheetView topLeftCell="G31" zoomScale="115" zoomScaleNormal="115" workbookViewId="0">
      <selection activeCell="M49" sqref="M49:N54"/>
    </sheetView>
  </sheetViews>
  <sheetFormatPr defaultRowHeight="15" x14ac:dyDescent="0.25"/>
  <cols>
    <col min="13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1" t="s">
        <v>49</v>
      </c>
      <c r="T2" s="41" t="s">
        <v>49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1" t="s">
        <v>48</v>
      </c>
      <c r="T3" s="41" t="s">
        <v>56</v>
      </c>
    </row>
    <row r="4" spans="1:23" ht="15.75" thickBot="1" x14ac:dyDescent="0.3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39" t="s">
        <v>50</v>
      </c>
      <c r="V5" s="4"/>
      <c r="W5" s="39" t="s">
        <v>52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 s="8">
        <v>1</v>
      </c>
      <c r="V6" s="7"/>
      <c r="W6" s="8">
        <v>1</v>
      </c>
    </row>
    <row r="7" spans="1:23" ht="15.75" thickBot="1" x14ac:dyDescent="0.3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7">
        <v>1</v>
      </c>
      <c r="T7" s="8">
        <v>0.122</v>
      </c>
      <c r="V7" s="9">
        <v>1</v>
      </c>
      <c r="W7" s="11">
        <v>1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  <c r="S8" s="7">
        <v>2</v>
      </c>
      <c r="T8" s="8">
        <v>0.51600000000000001</v>
      </c>
    </row>
    <row r="9" spans="1:23" ht="15.75" thickBot="1" x14ac:dyDescent="0.3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9">
        <v>3</v>
      </c>
      <c r="T9" s="11">
        <v>-0.97699999999999998</v>
      </c>
    </row>
    <row r="10" spans="1:23" x14ac:dyDescent="0.25">
      <c r="L10" s="7">
        <v>4</v>
      </c>
      <c r="M10">
        <v>0.78200000000000003</v>
      </c>
      <c r="N10">
        <v>0.51600000000000001</v>
      </c>
      <c r="O10" s="8">
        <v>-0.91400000000000003</v>
      </c>
    </row>
    <row r="11" spans="1:23" ht="15.75" thickBot="1" x14ac:dyDescent="0.3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T11" t="s">
        <v>51</v>
      </c>
    </row>
    <row r="12" spans="1:23" ht="15.75" thickBot="1" x14ac:dyDescent="0.3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S13">
        <v>1</v>
      </c>
      <c r="T13" cm="1">
        <f t="array" ref="T13">SUM(B35:B37*$T$7:$T$9)+$W$7</f>
        <v>1.426184227044502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S14">
        <v>2</v>
      </c>
      <c r="T14" cm="1">
        <f t="array" ref="T14">SUM(B36:B38*$T$7:$T$9)+$W$7</f>
        <v>0.83446165212430812</v>
      </c>
    </row>
    <row r="15" spans="1:23" ht="15.75" thickBot="1" x14ac:dyDescent="0.3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3</v>
      </c>
      <c r="T15" cm="1">
        <f t="array" ref="T15">SUM(B37:B39*$T$7:$T$9)+$W$7</f>
        <v>1.8393159934697598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0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S17">
        <v>5</v>
      </c>
      <c r="T17" cm="1">
        <f t="array" ref="T17">SUM(B39:B41*$T$7:$T$9)+$W$7</f>
        <v>0.53701995183003415</v>
      </c>
    </row>
    <row r="18" spans="1:20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0" ht="15.75" thickBot="1" x14ac:dyDescent="0.3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0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4"/>
      <c r="T20" s="6" t="s">
        <v>53</v>
      </c>
    </row>
    <row r="21" spans="1:20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7"/>
      <c r="T21" s="8">
        <v>1</v>
      </c>
    </row>
    <row r="22" spans="1:20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>
        <v>1</v>
      </c>
      <c r="T22" s="53">
        <f>MAX(0,T13)</f>
        <v>1.426184227044502</v>
      </c>
    </row>
    <row r="23" spans="1:20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2</v>
      </c>
      <c r="T23" s="53">
        <f t="shared" ref="T23:T27" si="0">MAX(0,T14)</f>
        <v>0.83446165212430812</v>
      </c>
    </row>
    <row r="24" spans="1:20" x14ac:dyDescent="0.25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3</v>
      </c>
      <c r="T24" s="53">
        <f t="shared" si="0"/>
        <v>1.8393159934697598</v>
      </c>
    </row>
    <row r="25" spans="1:20" x14ac:dyDescent="0.25">
      <c r="B25">
        <v>1</v>
      </c>
      <c r="S25" s="7">
        <v>4</v>
      </c>
      <c r="T25" s="53">
        <f t="shared" si="0"/>
        <v>0.40501335750777256</v>
      </c>
    </row>
    <row r="26" spans="1:20" x14ac:dyDescent="0.25">
      <c r="A26">
        <v>1</v>
      </c>
      <c r="B26">
        <f>AVERAGE(B4:F4)</f>
        <v>0.36548104119790437</v>
      </c>
      <c r="M26" t="s">
        <v>53</v>
      </c>
      <c r="S26" s="7">
        <v>5</v>
      </c>
      <c r="T26" s="53">
        <f t="shared" si="0"/>
        <v>0.53701995183003415</v>
      </c>
    </row>
    <row r="27" spans="1:20" ht="15.75" thickBot="1" x14ac:dyDescent="0.3">
      <c r="A27">
        <v>2</v>
      </c>
      <c r="B27">
        <f t="shared" ref="B27:B31" si="1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9">
        <v>6</v>
      </c>
      <c r="T27" s="54">
        <f t="shared" si="0"/>
        <v>1.2588938475691771</v>
      </c>
    </row>
    <row r="28" spans="1:20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0" x14ac:dyDescent="0.25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2"/>
    </row>
    <row r="30" spans="1:20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0" x14ac:dyDescent="0.25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0" x14ac:dyDescent="0.25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25">
      <c r="B33" t="s">
        <v>61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25">
      <c r="B34">
        <v>1</v>
      </c>
    </row>
    <row r="35" spans="1:17" ht="15.75" thickBot="1" x14ac:dyDescent="0.3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4"/>
      <c r="M36" s="40" t="s">
        <v>54</v>
      </c>
      <c r="N36" s="6"/>
    </row>
    <row r="37" spans="1:17" x14ac:dyDescent="0.25">
      <c r="A37">
        <v>3</v>
      </c>
      <c r="B37">
        <v>-0.24318936518565337</v>
      </c>
      <c r="L37" s="7"/>
      <c r="M37" t="s">
        <v>55</v>
      </c>
      <c r="N37" s="8"/>
    </row>
    <row r="38" spans="1:17" x14ac:dyDescent="0.25">
      <c r="A38">
        <v>4</v>
      </c>
      <c r="B38">
        <v>8.6633902217030781E-2</v>
      </c>
      <c r="L38" s="7"/>
      <c r="M38">
        <v>1</v>
      </c>
      <c r="N38" s="8"/>
    </row>
    <row r="39" spans="1:17" x14ac:dyDescent="0.25">
      <c r="A39">
        <v>5</v>
      </c>
      <c r="B39">
        <v>-0.84368679885201792</v>
      </c>
      <c r="L39" s="7">
        <v>1</v>
      </c>
      <c r="M39" s="51">
        <f t="shared" ref="M39:M44" si="3">MAX(M28:Q28)</f>
        <v>4.0296676785617889</v>
      </c>
      <c r="N39" s="8"/>
    </row>
    <row r="40" spans="1:17" x14ac:dyDescent="0.25">
      <c r="A40">
        <v>6</v>
      </c>
      <c r="B40">
        <v>0.17422066566536737</v>
      </c>
      <c r="L40" s="7">
        <v>2</v>
      </c>
      <c r="M40" s="51">
        <f t="shared" si="3"/>
        <v>3.1757752467270279</v>
      </c>
      <c r="N40" s="8"/>
    </row>
    <row r="41" spans="1:17" x14ac:dyDescent="0.25">
      <c r="A41">
        <v>7</v>
      </c>
      <c r="B41">
        <v>0.46054055495736873</v>
      </c>
      <c r="L41" s="7">
        <v>3</v>
      </c>
      <c r="M41" s="51">
        <f t="shared" si="3"/>
        <v>3.3789276309323317</v>
      </c>
      <c r="N41" s="8"/>
    </row>
    <row r="42" spans="1:17" x14ac:dyDescent="0.25">
      <c r="A42">
        <v>8</v>
      </c>
      <c r="B42">
        <v>0</v>
      </c>
      <c r="L42" s="7">
        <v>4</v>
      </c>
      <c r="M42" s="51">
        <f t="shared" si="3"/>
        <v>1.5094131886761968</v>
      </c>
      <c r="N42" s="8"/>
    </row>
    <row r="43" spans="1:17" x14ac:dyDescent="0.25">
      <c r="L43" s="7">
        <v>5</v>
      </c>
      <c r="M43" s="51">
        <f t="shared" si="3"/>
        <v>4.5198656803290973</v>
      </c>
      <c r="N43" s="8"/>
    </row>
    <row r="44" spans="1:17" ht="15.75" thickBot="1" x14ac:dyDescent="0.3">
      <c r="L44" s="9">
        <v>6</v>
      </c>
      <c r="M44" s="52">
        <f t="shared" si="3"/>
        <v>3.0540707238032767</v>
      </c>
      <c r="N44" s="11"/>
    </row>
    <row r="46" spans="1:17" ht="15.75" thickBot="1" x14ac:dyDescent="0.3"/>
    <row r="47" spans="1:17" x14ac:dyDescent="0.25">
      <c r="L47" s="4"/>
      <c r="M47" s="40" t="s">
        <v>62</v>
      </c>
      <c r="N47" s="6"/>
    </row>
    <row r="48" spans="1:17" x14ac:dyDescent="0.25">
      <c r="L48" s="7"/>
      <c r="M48">
        <v>1</v>
      </c>
      <c r="N48" s="8">
        <v>2</v>
      </c>
    </row>
    <row r="49" spans="12:14" x14ac:dyDescent="0.25">
      <c r="L49" s="7">
        <v>1</v>
      </c>
      <c r="M49" s="66">
        <f>M39</f>
        <v>4.0296676785617889</v>
      </c>
      <c r="N49" s="53">
        <f>T22</f>
        <v>1.426184227044502</v>
      </c>
    </row>
    <row r="50" spans="12:14" x14ac:dyDescent="0.25">
      <c r="L50" s="7">
        <v>2</v>
      </c>
      <c r="M50" s="66">
        <f t="shared" ref="M50:M54" si="4">M40</f>
        <v>3.1757752467270279</v>
      </c>
      <c r="N50" s="53">
        <f t="shared" ref="N50:N54" si="5">T23</f>
        <v>0.83446165212430812</v>
      </c>
    </row>
    <row r="51" spans="12:14" x14ac:dyDescent="0.25">
      <c r="L51" s="7">
        <v>3</v>
      </c>
      <c r="M51" s="66">
        <f t="shared" si="4"/>
        <v>3.3789276309323317</v>
      </c>
      <c r="N51" s="53">
        <f t="shared" si="5"/>
        <v>1.8393159934697598</v>
      </c>
    </row>
    <row r="52" spans="12:14" x14ac:dyDescent="0.25">
      <c r="L52" s="7">
        <v>4</v>
      </c>
      <c r="M52" s="66">
        <f t="shared" si="4"/>
        <v>1.5094131886761968</v>
      </c>
      <c r="N52" s="53">
        <f t="shared" si="5"/>
        <v>0.40501335750777256</v>
      </c>
    </row>
    <row r="53" spans="12:14" x14ac:dyDescent="0.25">
      <c r="L53" s="7">
        <v>5</v>
      </c>
      <c r="M53" s="66">
        <f t="shared" si="4"/>
        <v>4.5198656803290973</v>
      </c>
      <c r="N53" s="53">
        <f t="shared" si="5"/>
        <v>0.53701995183003415</v>
      </c>
    </row>
    <row r="54" spans="12:14" ht="15.75" thickBot="1" x14ac:dyDescent="0.3">
      <c r="L54" s="9">
        <v>6</v>
      </c>
      <c r="M54" s="52">
        <f t="shared" si="4"/>
        <v>3.0540707238032767</v>
      </c>
      <c r="N54" s="54">
        <f t="shared" si="5"/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topLeftCell="S55" zoomScale="115" zoomScaleNormal="115" workbookViewId="0">
      <selection activeCell="AD74" sqref="AD74"/>
    </sheetView>
  </sheetViews>
  <sheetFormatPr defaultRowHeight="15" x14ac:dyDescent="0.25"/>
  <cols>
    <col min="3" max="6" width="12.5703125" customWidth="1"/>
    <col min="9" max="10" width="12.140625" customWidth="1"/>
    <col min="13" max="13" width="15" customWidth="1"/>
    <col min="22" max="22" width="13.5703125" customWidth="1"/>
  </cols>
  <sheetData>
    <row r="1" spans="2:42" ht="15.75" thickBot="1" x14ac:dyDescent="0.3"/>
    <row r="2" spans="2:42" ht="26.25" x14ac:dyDescent="0.4">
      <c r="B2" s="4"/>
      <c r="C2" s="5" t="s">
        <v>62</v>
      </c>
      <c r="D2" s="6"/>
      <c r="I2" s="41" t="s">
        <v>49</v>
      </c>
      <c r="M2" s="41" t="s">
        <v>49</v>
      </c>
      <c r="U2" s="41" t="s">
        <v>78</v>
      </c>
      <c r="AA2" s="41" t="s">
        <v>78</v>
      </c>
    </row>
    <row r="3" spans="2:42" ht="26.25" x14ac:dyDescent="0.4">
      <c r="B3" s="7"/>
      <c r="C3">
        <v>1</v>
      </c>
      <c r="D3" s="8">
        <v>2</v>
      </c>
      <c r="I3" s="41" t="s">
        <v>48</v>
      </c>
      <c r="M3" s="41" t="s">
        <v>66</v>
      </c>
      <c r="U3" s="41" t="s">
        <v>66</v>
      </c>
      <c r="AA3" s="41" t="s">
        <v>104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7">
        <v>1</v>
      </c>
      <c r="C4" s="45" cm="1">
        <f t="array" ref="C4:D9">FRONTEND!M49:N54</f>
        <v>4.0296676785617889</v>
      </c>
      <c r="D4" s="48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7">
        <v>2</v>
      </c>
      <c r="C5" s="45">
        <v>3.1757752467270279</v>
      </c>
      <c r="D5" s="48">
        <v>0.83446165212430812</v>
      </c>
      <c r="H5" s="4"/>
      <c r="I5" s="40" t="s">
        <v>50</v>
      </c>
      <c r="J5" s="6"/>
      <c r="M5" t="s">
        <v>46</v>
      </c>
      <c r="O5" s="4"/>
      <c r="P5" s="40" t="s">
        <v>67</v>
      </c>
      <c r="Q5" s="5"/>
      <c r="R5" s="6"/>
      <c r="T5" s="4"/>
      <c r="U5" s="40" t="s">
        <v>67</v>
      </c>
      <c r="V5" s="5"/>
      <c r="W5" s="6"/>
      <c r="AA5" t="s">
        <v>89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7">
        <v>3</v>
      </c>
      <c r="C6" s="45">
        <v>3.3789276309323317</v>
      </c>
      <c r="D6" s="48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>
        <v>1</v>
      </c>
      <c r="V6">
        <v>2</v>
      </c>
      <c r="W6" s="8">
        <v>3</v>
      </c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7">
        <v>4</v>
      </c>
      <c r="C7" s="45">
        <v>1.5094131886761968</v>
      </c>
      <c r="D7" s="48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5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cm="1">
        <f t="array" ref="U7:U18">M34*P7:P18</f>
        <v>-2.1372514222528685E-2</v>
      </c>
      <c r="V7" cm="1">
        <f t="array" ref="V7:V18">M35*Q7:Q18</f>
        <v>-2.8685761798026895E-2</v>
      </c>
      <c r="W7" s="8" cm="1">
        <f t="array" ref="W7:W18">M36*R7:R18</f>
        <v>-0.15040705920766417</v>
      </c>
      <c r="Z7">
        <v>1</v>
      </c>
      <c r="AA7" s="45">
        <f>U61*IF(U61&gt;0,1,0)</f>
        <v>0</v>
      </c>
      <c r="AB7" s="44">
        <f>V61*IF(V61&gt;0,1,0)</f>
        <v>0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7">
        <v>5</v>
      </c>
      <c r="C8" s="45">
        <v>4.5198656803290973</v>
      </c>
      <c r="D8" s="48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5">
        <f t="shared" si="1"/>
        <v>0.9261933445799948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>
        <v>-0.15072407418126571</v>
      </c>
      <c r="V8">
        <v>-1.7100305095694125E-3</v>
      </c>
      <c r="W8" s="8">
        <v>0.19158534148431261</v>
      </c>
      <c r="Z8">
        <v>2</v>
      </c>
      <c r="AA8" s="45">
        <f t="shared" ref="AA8:AB8" si="2">U62*IF(U62&gt;0,1,0)</f>
        <v>0</v>
      </c>
      <c r="AB8" s="44">
        <f t="shared" si="2"/>
        <v>3.7782818926350575E-2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9">
        <v>6</v>
      </c>
      <c r="C9" s="47">
        <v>3.0540707238032767</v>
      </c>
      <c r="D9" s="49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5">
        <f t="shared" si="1"/>
        <v>1.0663402409710838</v>
      </c>
      <c r="O9" s="7">
        <v>3</v>
      </c>
      <c r="P9">
        <v>-0.62</v>
      </c>
      <c r="Q9">
        <v>0.312</v>
      </c>
      <c r="R9" s="8">
        <v>-0.121</v>
      </c>
      <c r="T9" s="7">
        <v>3</v>
      </c>
      <c r="U9">
        <v>-9.8887752372893906E-2</v>
      </c>
      <c r="V9">
        <v>1.3338237974641417E-2</v>
      </c>
      <c r="W9" s="8">
        <v>-2.3392357537438773E-2</v>
      </c>
      <c r="Z9">
        <v>3</v>
      </c>
      <c r="AA9" s="45">
        <f t="shared" ref="AA9:AB9" si="3">U63*IF(U63&gt;0,1,0)</f>
        <v>0</v>
      </c>
      <c r="AB9" s="44">
        <f t="shared" si="3"/>
        <v>0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226</v>
      </c>
      <c r="L10">
        <v>4</v>
      </c>
      <c r="M10" s="45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T10" s="7">
        <v>4</v>
      </c>
      <c r="U10">
        <v>-4.6413445065342139E-2</v>
      </c>
      <c r="V10">
        <v>-8.6356540733255327E-3</v>
      </c>
      <c r="W10" s="8">
        <v>3.5958500016228197E-2</v>
      </c>
      <c r="Z10">
        <v>4</v>
      </c>
      <c r="AA10" s="45">
        <f t="shared" ref="AA10:AB10" si="4">U64*IF(U64&gt;0,1,0)</f>
        <v>2.5194748757724789E-2</v>
      </c>
      <c r="AB10" s="44">
        <f t="shared" si="4"/>
        <v>6.1041496352853136E-3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4"/>
      <c r="I11" s="39" t="s">
        <v>52</v>
      </c>
      <c r="L11">
        <v>5</v>
      </c>
      <c r="M11" s="45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T11" s="7">
        <v>5</v>
      </c>
      <c r="U11">
        <v>-9.2029408256709327E-2</v>
      </c>
      <c r="V11">
        <v>-7.9088911067585321E-3</v>
      </c>
      <c r="W11" s="8">
        <v>3.3445271520470311E-2</v>
      </c>
      <c r="Z11">
        <v>5</v>
      </c>
      <c r="AA11" s="45">
        <f t="shared" ref="AA11:AB11" si="5">U65*IF(U65&gt;0,1,0)</f>
        <v>2.9027772701717136E-2</v>
      </c>
      <c r="AB11" s="44">
        <f t="shared" si="5"/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63</v>
      </c>
      <c r="H12" s="7"/>
      <c r="I12" s="8">
        <v>1</v>
      </c>
      <c r="L12">
        <v>6</v>
      </c>
      <c r="M12" s="45">
        <f t="shared" si="1"/>
        <v>0.90914028044519068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7">
        <v>6</v>
      </c>
      <c r="U12">
        <v>9.1231926382734377E-2</v>
      </c>
      <c r="V12">
        <v>3.8133680363397898E-2</v>
      </c>
      <c r="W12" s="8">
        <v>0.14634722856067067</v>
      </c>
      <c r="Z12">
        <v>6</v>
      </c>
      <c r="AA12" s="45">
        <f t="shared" ref="AA12:AB12" si="6">U66*IF(U66&gt;0,1,0)</f>
        <v>0</v>
      </c>
      <c r="AB12" s="44">
        <f t="shared" si="6"/>
        <v>0.25391359579057254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F13">
        <v>4</v>
      </c>
      <c r="H13" s="9">
        <v>1</v>
      </c>
      <c r="I13" s="11">
        <v>1</v>
      </c>
      <c r="L13">
        <v>7</v>
      </c>
      <c r="M13" s="44">
        <f t="shared" si="1"/>
        <v>1.8632512843446454</v>
      </c>
      <c r="O13" s="7">
        <v>7</v>
      </c>
      <c r="P13">
        <v>-0.21</v>
      </c>
      <c r="Q13">
        <v>-0.86299999999999999</v>
      </c>
      <c r="R13" s="8">
        <v>0.252</v>
      </c>
      <c r="T13" s="7">
        <v>7</v>
      </c>
      <c r="U13">
        <v>-3.349423870694794E-2</v>
      </c>
      <c r="V13">
        <v>-3.689390824396007E-2</v>
      </c>
      <c r="W13" s="8">
        <v>4.8717967763922072E-2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F14">
        <v>0</v>
      </c>
      <c r="L14">
        <v>8</v>
      </c>
      <c r="M14" s="44">
        <f t="shared" si="1"/>
        <v>0.4630966722899974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8</v>
      </c>
      <c r="U14">
        <v>8.7563509762449615E-2</v>
      </c>
      <c r="V14">
        <v>7.9088911067585321E-3</v>
      </c>
      <c r="W14" s="8">
        <v>-9.8209236603461966E-2</v>
      </c>
      <c r="Z14" s="4"/>
      <c r="AA14" s="40" t="s">
        <v>50</v>
      </c>
      <c r="AB14" s="6"/>
      <c r="AD14" s="4"/>
      <c r="AE14" s="39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>
        <v>0</v>
      </c>
      <c r="D15" s="45">
        <f>C4</f>
        <v>4.0296676785617889</v>
      </c>
      <c r="E15" s="44">
        <f>D4</f>
        <v>1.426184227044502</v>
      </c>
      <c r="F15">
        <v>0</v>
      </c>
      <c r="I15" t="s">
        <v>51</v>
      </c>
      <c r="L15">
        <v>9</v>
      </c>
      <c r="M15" s="44">
        <f t="shared" si="1"/>
        <v>0.53317012048554191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9</v>
      </c>
      <c r="U15">
        <v>0.15790141104704028</v>
      </c>
      <c r="V15">
        <v>-4.0484972314055838E-2</v>
      </c>
      <c r="W15" s="8">
        <v>-0.17495936835852968</v>
      </c>
      <c r="Z15" s="7"/>
      <c r="AA15">
        <v>1</v>
      </c>
      <c r="AB15" s="8">
        <v>2</v>
      </c>
      <c r="AD15" s="7"/>
      <c r="AE15" s="8">
        <v>1</v>
      </c>
      <c r="AI15" t="s">
        <v>85</v>
      </c>
    </row>
    <row r="16" spans="2:42" ht="15.75" thickBot="1" x14ac:dyDescent="0.3">
      <c r="B16">
        <v>3</v>
      </c>
      <c r="C16">
        <v>0</v>
      </c>
      <c r="D16" s="45">
        <f t="shared" ref="D16:E16" si="7">C5</f>
        <v>3.1757752467270279</v>
      </c>
      <c r="E16" s="44">
        <f t="shared" si="7"/>
        <v>0.83446165212430812</v>
      </c>
      <c r="F16">
        <v>0</v>
      </c>
      <c r="I16">
        <v>1</v>
      </c>
      <c r="J16">
        <v>2</v>
      </c>
      <c r="L16">
        <v>10</v>
      </c>
      <c r="M16" s="44">
        <f t="shared" si="1"/>
        <v>0.805199474899295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7">
        <v>10</v>
      </c>
      <c r="U16">
        <v>7.4803799778850391E-2</v>
      </c>
      <c r="V16">
        <v>1.5604028399820887E-2</v>
      </c>
      <c r="W16" s="8">
        <v>-4.0018330663221705E-2</v>
      </c>
      <c r="Z16" s="7">
        <v>1</v>
      </c>
      <c r="AA16" cm="1">
        <f t="array" ref="AA16">SUM($AA$7:$AB$12*AK5:AL10)</f>
        <v>1.3205330314812422</v>
      </c>
      <c r="AB16" s="8" cm="1">
        <f t="array" ref="AB16">SUM($AA$7:$AB$12*AL5:AM10)</f>
        <v>0.33041552312293765</v>
      </c>
      <c r="AD16" s="9">
        <v>1</v>
      </c>
      <c r="AE16" s="11">
        <f>SUM(AA7:AB12)</f>
        <v>0.35202308581165037</v>
      </c>
    </row>
    <row r="17" spans="2:42" x14ac:dyDescent="0.25">
      <c r="B17">
        <v>4</v>
      </c>
      <c r="C17">
        <v>0</v>
      </c>
      <c r="D17" s="45">
        <f t="shared" ref="D17:E17" si="8">C6</f>
        <v>3.3789276309323317</v>
      </c>
      <c r="E17" s="44">
        <f t="shared" si="8"/>
        <v>1.8393159934697598</v>
      </c>
      <c r="F17">
        <v>0</v>
      </c>
      <c r="H17">
        <v>1</v>
      </c>
      <c r="I17" cm="1">
        <f t="array" ref="I17">SUM(C14:D16*$I$7:$J$9)+$I$13</f>
        <v>-5.8396438974633718</v>
      </c>
      <c r="J17" cm="1">
        <f t="array" ref="J17">SUM(D14:E16*$I$7:$J$9)+$I$13</f>
        <v>3.7265025686892908</v>
      </c>
      <c r="L17">
        <v>11</v>
      </c>
      <c r="M17" s="44">
        <f t="shared" si="1"/>
        <v>1.9657323607427737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T17" s="7">
        <v>11</v>
      </c>
      <c r="U17">
        <v>3.8438626325592633E-2</v>
      </c>
      <c r="V17">
        <v>2.0776870691268361E-2</v>
      </c>
      <c r="W17" s="8">
        <v>-1.1599516134267161E-3</v>
      </c>
      <c r="Z17" s="7">
        <v>2</v>
      </c>
      <c r="AA17" cm="1">
        <f t="array" ref="AA17">SUM($AA$7:$AB$12*AK6:AL11)</f>
        <v>0.90467350434263283</v>
      </c>
      <c r="AB17" s="8" cm="1">
        <f t="array" ref="AB17">SUM($AA$7:$AB$12*AL6:AM11)</f>
        <v>0.52288175886780963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2:42" ht="15.75" thickBot="1" x14ac:dyDescent="0.3">
      <c r="B18">
        <v>5</v>
      </c>
      <c r="C18">
        <v>0</v>
      </c>
      <c r="D18" s="45">
        <f t="shared" ref="D18:E18" si="9">C7</f>
        <v>1.5094131886761968</v>
      </c>
      <c r="E18" s="44">
        <f t="shared" si="9"/>
        <v>0.40501335750777256</v>
      </c>
      <c r="F18">
        <v>0</v>
      </c>
      <c r="H18">
        <v>2</v>
      </c>
      <c r="I18" cm="1">
        <f t="array" ref="I18">SUM(C15:D17*$I$7:$J$9)+$I$13</f>
        <v>-8.1730263528601803</v>
      </c>
      <c r="J18" cm="1">
        <f t="array" ref="J18">SUM(D15:E17*$I$7:$J$9)+$I$13</f>
        <v>0.9261933445799948</v>
      </c>
      <c r="L18">
        <v>12</v>
      </c>
      <c r="M18" s="44">
        <f t="shared" si="1"/>
        <v>0.45457014022259534</v>
      </c>
      <c r="O18" s="9">
        <v>12</v>
      </c>
      <c r="P18" s="14">
        <v>-0.16700000000000001</v>
      </c>
      <c r="Q18" s="14">
        <v>-0.442</v>
      </c>
      <c r="R18" s="11">
        <v>0.01</v>
      </c>
      <c r="T18" s="9">
        <v>12</v>
      </c>
      <c r="U18" s="14">
        <v>-2.6635894590763362E-2</v>
      </c>
      <c r="V18" s="14">
        <v>-1.8895837130742006E-2</v>
      </c>
      <c r="W18" s="11">
        <v>1.9332526890445268E-3</v>
      </c>
      <c r="Z18" s="9">
        <v>3</v>
      </c>
      <c r="AA18" s="14" cm="1">
        <f t="array" ref="AA18">SUM($AA$7:$AB$12*AK7:AL12)</f>
        <v>0.15525534728887849</v>
      </c>
      <c r="AB18" s="11" cm="1">
        <f t="array" ref="AB18">SUM($AA$7:$AB$12*AL7:AM12)</f>
        <v>0.27530234429279743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2:42" ht="15.75" thickBot="1" x14ac:dyDescent="0.3">
      <c r="B19">
        <v>6</v>
      </c>
      <c r="C19">
        <v>0</v>
      </c>
      <c r="D19" s="45">
        <f t="shared" ref="D19:E19" si="10">C8</f>
        <v>4.5198656803290973</v>
      </c>
      <c r="E19" s="44">
        <f t="shared" si="10"/>
        <v>0.53701995183003415</v>
      </c>
      <c r="F19">
        <v>0</v>
      </c>
      <c r="H19">
        <v>3</v>
      </c>
      <c r="I19" cm="1">
        <f t="array" ref="I19">SUM(C16:D18*$I$7:$J$9)+$I$13</f>
        <v>-6.0308896324489325</v>
      </c>
      <c r="J19" cm="1">
        <f t="array" ref="J19">SUM(D16:E18*$I$7:$J$9)+$I$13</f>
        <v>1.0663402409710838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2" x14ac:dyDescent="0.25">
      <c r="B20">
        <v>7</v>
      </c>
      <c r="C20">
        <v>0</v>
      </c>
      <c r="D20" s="45">
        <f t="shared" ref="D20:E20" si="11">C9</f>
        <v>3.0540707238032767</v>
      </c>
      <c r="E20" s="44">
        <f t="shared" si="11"/>
        <v>1.2588938475691771</v>
      </c>
      <c r="F20">
        <v>0</v>
      </c>
      <c r="H20">
        <v>4</v>
      </c>
      <c r="I20" cm="1">
        <f t="array" ref="I20">SUM(C17:D19*$I$7:$J$9)+$I$13</f>
        <v>-7.1062603640473654</v>
      </c>
      <c r="J20" cm="1">
        <f t="array" ref="J20">SUM(D17:E19*$I$7:$J$9)+$I$13</f>
        <v>1.61039894979859</v>
      </c>
      <c r="M20" t="s">
        <v>68</v>
      </c>
      <c r="O20" s="4"/>
      <c r="P20" s="39" t="s">
        <v>52</v>
      </c>
      <c r="T20" s="4"/>
      <c r="U20" s="39" t="s">
        <v>52</v>
      </c>
      <c r="Z20" s="4"/>
      <c r="AA20" s="40" t="s">
        <v>80</v>
      </c>
      <c r="AB20" s="6"/>
      <c r="AI20">
        <v>0</v>
      </c>
      <c r="AJ20">
        <v>0</v>
      </c>
      <c r="AK20">
        <v>0</v>
      </c>
      <c r="AL20" s="4">
        <f>AB12</f>
        <v>0.25391359579057254</v>
      </c>
      <c r="AM20" s="6">
        <f>AA12</f>
        <v>0</v>
      </c>
      <c r="AN20">
        <v>0</v>
      </c>
      <c r="AO20">
        <v>0</v>
      </c>
      <c r="AP20">
        <v>0</v>
      </c>
    </row>
    <row r="21" spans="2:42" x14ac:dyDescent="0.25">
      <c r="B21">
        <v>8</v>
      </c>
      <c r="C21">
        <v>0</v>
      </c>
      <c r="D21">
        <v>0</v>
      </c>
      <c r="E21">
        <v>0</v>
      </c>
      <c r="F21">
        <v>0</v>
      </c>
      <c r="H21">
        <v>5</v>
      </c>
      <c r="I21" cm="1">
        <f t="array" ref="I21">SUM(C18:D20*$I$7:$J$9)+$I$13</f>
        <v>-7.3242951708581092</v>
      </c>
      <c r="J21" cm="1">
        <f t="array" ref="J21">SUM(D18:E20*$I$7:$J$9)+$I$13</f>
        <v>3.9314647214855474</v>
      </c>
      <c r="M21">
        <v>1</v>
      </c>
      <c r="O21" s="7"/>
      <c r="P21" s="8">
        <v>1</v>
      </c>
      <c r="T21" s="7"/>
      <c r="U21" s="8">
        <v>1</v>
      </c>
      <c r="Z21" s="7"/>
      <c r="AA21">
        <v>1</v>
      </c>
      <c r="AB21" s="8">
        <v>2</v>
      </c>
      <c r="AI21">
        <v>0</v>
      </c>
      <c r="AJ21">
        <v>0</v>
      </c>
      <c r="AK21">
        <v>0</v>
      </c>
      <c r="AL21" s="7">
        <f>AB11</f>
        <v>0</v>
      </c>
      <c r="AM21" s="8">
        <f>AA11</f>
        <v>2.9027772701717136E-2</v>
      </c>
      <c r="AN21">
        <v>0</v>
      </c>
      <c r="AO21">
        <v>0</v>
      </c>
      <c r="AP21">
        <v>0</v>
      </c>
    </row>
    <row r="22" spans="2:42" x14ac:dyDescent="0.25">
      <c r="H22">
        <v>6</v>
      </c>
      <c r="I22" cm="1">
        <f t="array" ref="I22">SUM(C19:D21*$I$7:$J$9)+$I$13</f>
        <v>-5.3285277005993334</v>
      </c>
      <c r="J22" cm="1">
        <f t="array" ref="J22">SUM(D19:E21*$I$7:$J$9)+$I$13</f>
        <v>0.90914028044519068</v>
      </c>
      <c r="L22">
        <v>1</v>
      </c>
      <c r="M22" cm="1">
        <f t="array" ref="M22:M24">TRANSPOSE(MMULT(TRANSPOSE(M7:M18),P7:R18)+TRANSPOSE(P22:P24))</f>
        <v>-2.0865254406033098</v>
      </c>
      <c r="O22" s="7">
        <v>1</v>
      </c>
      <c r="P22" s="8">
        <v>1</v>
      </c>
      <c r="T22" s="7">
        <v>1</v>
      </c>
      <c r="U22" s="8">
        <f>M34</f>
        <v>0.15949637479499018</v>
      </c>
      <c r="Z22" s="7">
        <v>1</v>
      </c>
      <c r="AA22" s="46" cm="1">
        <f t="array" ref="AA22">SUM(AK19:AL21*$AA$16:$AB$18)</f>
        <v>0.13276678756742463</v>
      </c>
      <c r="AB22" s="48" cm="1">
        <f t="array" ref="AB22">SUM(AL19:AM21*$AA$16:$AB$18)</f>
        <v>0.23770031637847724</v>
      </c>
      <c r="AI22">
        <v>0</v>
      </c>
      <c r="AJ22">
        <v>0</v>
      </c>
      <c r="AK22">
        <v>0</v>
      </c>
      <c r="AL22" s="7">
        <f>AB10</f>
        <v>6.1041496352853136E-3</v>
      </c>
      <c r="AM22" s="8">
        <f>AA10</f>
        <v>2.5194748757724789E-2</v>
      </c>
      <c r="AN22">
        <v>0</v>
      </c>
      <c r="AO22">
        <v>0</v>
      </c>
      <c r="AP22">
        <v>0</v>
      </c>
    </row>
    <row r="23" spans="2:42" x14ac:dyDescent="0.25">
      <c r="L23">
        <v>2</v>
      </c>
      <c r="M23">
        <v>-2.4254025778025112</v>
      </c>
      <c r="O23" s="7">
        <v>2</v>
      </c>
      <c r="P23" s="8">
        <v>1</v>
      </c>
      <c r="T23" s="7">
        <v>2</v>
      </c>
      <c r="U23" s="8">
        <f>M35</f>
        <v>4.275076273923531E-2</v>
      </c>
      <c r="Z23" s="7">
        <v>2</v>
      </c>
      <c r="AA23" s="46" cm="1">
        <f t="array" ref="AA23">SUM(AK20:AL22*$AA$16:$AB$18)</f>
        <v>8.5577480285676244E-2</v>
      </c>
      <c r="AB23" s="48" cm="1">
        <f t="array" ref="AB23">SUM(AL20:AM22*$AA$16:$AB$18)</f>
        <v>0.35836325849831557</v>
      </c>
      <c r="AI23">
        <v>0</v>
      </c>
      <c r="AJ23">
        <v>0</v>
      </c>
      <c r="AK23">
        <v>0</v>
      </c>
      <c r="AL23" s="7">
        <f>AB9</f>
        <v>0</v>
      </c>
      <c r="AM23" s="8">
        <f>AA9</f>
        <v>0</v>
      </c>
      <c r="AN23">
        <v>0</v>
      </c>
      <c r="AO23">
        <v>0</v>
      </c>
      <c r="AP23">
        <v>0</v>
      </c>
    </row>
    <row r="24" spans="2:42" ht="15.75" thickBot="1" x14ac:dyDescent="0.3">
      <c r="I24" t="s">
        <v>53</v>
      </c>
      <c r="L24">
        <v>3</v>
      </c>
      <c r="M24">
        <v>0.13535050168328411</v>
      </c>
      <c r="O24" s="9">
        <v>3</v>
      </c>
      <c r="P24" s="11">
        <v>1</v>
      </c>
      <c r="T24" s="9">
        <v>3</v>
      </c>
      <c r="U24" s="11">
        <f>M36</f>
        <v>0.19332526890445267</v>
      </c>
      <c r="Z24" s="7">
        <v>3</v>
      </c>
      <c r="AA24" s="46" cm="1">
        <f t="array" ref="AA24">SUM(AK21:AL23*$AA$16:$AB$18)</f>
        <v>3.1917484976902834E-3</v>
      </c>
      <c r="AB24" s="48" cm="1">
        <f t="array" ref="AB24">SUM(AL21:AM23*$AA$16:$AB$18)</f>
        <v>2.8287363688588665E-2</v>
      </c>
      <c r="AI24">
        <v>0</v>
      </c>
      <c r="AJ24">
        <v>0</v>
      </c>
      <c r="AK24">
        <v>0</v>
      </c>
      <c r="AL24" s="7">
        <f>AB8</f>
        <v>3.7782818926350575E-2</v>
      </c>
      <c r="AM24" s="8">
        <f>AA8</f>
        <v>0</v>
      </c>
      <c r="AN24">
        <v>0</v>
      </c>
      <c r="AO24">
        <v>0</v>
      </c>
      <c r="AP24">
        <v>0</v>
      </c>
    </row>
    <row r="25" spans="2:42" ht="15.75" thickBot="1" x14ac:dyDescent="0.3">
      <c r="I25">
        <v>1</v>
      </c>
      <c r="J25">
        <v>2</v>
      </c>
      <c r="Z25" s="7">
        <v>4</v>
      </c>
      <c r="AA25" s="46" cm="1">
        <f t="array" ref="AA25">SUM(AK22:AL24*$AA$16:$AB$18)</f>
        <v>1.2418604419378074E-2</v>
      </c>
      <c r="AB25" s="48" cm="1">
        <f t="array" ref="AB25">SUM(AL22:AM24*$AA$16:$AB$18)</f>
        <v>2.225145198719642E-2</v>
      </c>
      <c r="AI25">
        <v>0</v>
      </c>
      <c r="AJ25">
        <v>0</v>
      </c>
      <c r="AK25">
        <v>0</v>
      </c>
      <c r="AL25" s="9">
        <f>AB7</f>
        <v>0</v>
      </c>
      <c r="AM25" s="11">
        <f>AA7</f>
        <v>0</v>
      </c>
      <c r="AN25">
        <v>0</v>
      </c>
      <c r="AO25">
        <v>0</v>
      </c>
      <c r="AP25">
        <v>0</v>
      </c>
    </row>
    <row r="26" spans="2:42" x14ac:dyDescent="0.25">
      <c r="H26">
        <v>1</v>
      </c>
      <c r="I26">
        <f>MAX(0,I17)</f>
        <v>0</v>
      </c>
      <c r="J26">
        <f>MAX(0,J17)</f>
        <v>3.7265025686892908</v>
      </c>
      <c r="L26" s="4"/>
      <c r="M26" s="40" t="s">
        <v>69</v>
      </c>
      <c r="N26" s="6"/>
      <c r="U26" t="s">
        <v>81</v>
      </c>
      <c r="Z26" s="7">
        <v>5</v>
      </c>
      <c r="AA26" s="46" cm="1">
        <f t="array" ref="AA26">SUM(AK23:AL25*$AA$16:$AB$18)</f>
        <v>1.9755946815194155E-2</v>
      </c>
      <c r="AB26" s="48" cm="1">
        <f t="array" ref="AB26">SUM(AL23:AM25*$AA$16:$AB$18)</f>
        <v>3.4181115202044726E-2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2" ht="15.75" thickBot="1" x14ac:dyDescent="0.3">
      <c r="H27">
        <v>2</v>
      </c>
      <c r="I27">
        <f t="shared" ref="I27:J27" si="12">MAX(0,I18)</f>
        <v>0</v>
      </c>
      <c r="J27">
        <f t="shared" si="12"/>
        <v>0.9261933445799948</v>
      </c>
      <c r="L27" s="7"/>
      <c r="M27">
        <v>1</v>
      </c>
      <c r="N27" s="8"/>
      <c r="U27">
        <v>1</v>
      </c>
      <c r="Z27" s="9">
        <v>6</v>
      </c>
      <c r="AA27" s="47" cm="1">
        <f t="array" ref="AA27">SUM(AK24:AL26*$AA$16:$AB$18)</f>
        <v>1.2484029880609355E-2</v>
      </c>
      <c r="AB27" s="49" cm="1">
        <f t="array" ref="AB27">SUM(AL24:AM26*$AA$16:$AB$18)</f>
        <v>4.9893460414720578E-2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2" x14ac:dyDescent="0.25">
      <c r="H28">
        <v>3</v>
      </c>
      <c r="I28">
        <f t="shared" ref="I28:J28" si="13">MAX(0,I19)</f>
        <v>0</v>
      </c>
      <c r="J28">
        <f t="shared" si="13"/>
        <v>1.0663402409710838</v>
      </c>
      <c r="L28" s="7">
        <v>1</v>
      </c>
      <c r="M28">
        <f>1/(1+EXP(-M22))</f>
        <v>0.11041339180245713</v>
      </c>
      <c r="N28" s="8" t="s">
        <v>42</v>
      </c>
      <c r="T28">
        <v>1</v>
      </c>
      <c r="U28" s="45" cm="1">
        <f t="array" ref="U28">SUM(MMULT(TRANSPOSE($M$34:$M$36),TRANSPOSE(P7:R7)))</f>
        <v>-0.20046533522821974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2" x14ac:dyDescent="0.25">
      <c r="H29">
        <v>4</v>
      </c>
      <c r="I29">
        <f t="shared" ref="I29:J29" si="14">MAX(0,I20)</f>
        <v>0</v>
      </c>
      <c r="J29">
        <f t="shared" si="14"/>
        <v>1.61039894979859</v>
      </c>
      <c r="L29" s="7">
        <v>2</v>
      </c>
      <c r="M29">
        <f t="shared" ref="M29" si="15">1/(1+EXP(-M23))</f>
        <v>8.1256020712886692E-2</v>
      </c>
      <c r="N29" s="8" t="s">
        <v>43</v>
      </c>
      <c r="T29">
        <v>2</v>
      </c>
      <c r="U29" s="45" cm="1">
        <f t="array" ref="U29">SUM(MMULT(TRANSPOSE($M$34:$M$36),TRANSPOSE(P8:R8)))</f>
        <v>3.9151236793477484E-2</v>
      </c>
      <c r="AI29" t="s">
        <v>84</v>
      </c>
    </row>
    <row r="30" spans="2:42" ht="15.75" thickBot="1" x14ac:dyDescent="0.3">
      <c r="H30">
        <v>5</v>
      </c>
      <c r="I30">
        <f t="shared" ref="I30:J30" si="16">MAX(0,I21)</f>
        <v>0</v>
      </c>
      <c r="J30">
        <f t="shared" si="16"/>
        <v>3.9314647214855474</v>
      </c>
      <c r="L30" s="9">
        <v>3</v>
      </c>
      <c r="M30" s="14">
        <f>1/(1+EXP(-M24))</f>
        <v>0.53378606178880916</v>
      </c>
      <c r="N30" s="11" t="s">
        <v>44</v>
      </c>
      <c r="T30">
        <v>3</v>
      </c>
      <c r="U30" s="45" cm="1">
        <f t="array" ref="U30">SUM(MMULT(TRANSPOSE($M$34:$M$36),TRANSPOSE(P9:R9)))</f>
        <v>-0.10894187193569127</v>
      </c>
    </row>
    <row r="31" spans="2:42" ht="15.75" thickBot="1" x14ac:dyDescent="0.3">
      <c r="H31">
        <v>6</v>
      </c>
      <c r="I31">
        <f t="shared" ref="I31:J31" si="17">MAX(0,I22)</f>
        <v>0</v>
      </c>
      <c r="J31">
        <f t="shared" si="17"/>
        <v>0.90914028044519068</v>
      </c>
      <c r="T31">
        <v>4</v>
      </c>
      <c r="U31" s="45" cm="1">
        <f t="array" ref="U31">SUM(MMULT(TRANSPOSE($M$34:$M$36),TRANSPOSE(P10:R10)))</f>
        <v>-1.9090599122439475E-2</v>
      </c>
    </row>
    <row r="32" spans="2:42" ht="26.25" x14ac:dyDescent="0.4">
      <c r="L32" s="4"/>
      <c r="M32" s="40" t="s">
        <v>72</v>
      </c>
      <c r="N32" s="6"/>
      <c r="T32">
        <v>5</v>
      </c>
      <c r="U32" s="45" cm="1">
        <f t="array" ref="U32">SUM(MMULT(TRANSPOSE($M$34:$M$36),TRANSPOSE(P11:R11)))</f>
        <v>-6.6493027842997543E-2</v>
      </c>
      <c r="AA32" s="41" t="s">
        <v>86</v>
      </c>
    </row>
    <row r="33" spans="8:45" ht="26.25" x14ac:dyDescent="0.4">
      <c r="I33" t="s">
        <v>54</v>
      </c>
      <c r="L33" s="7"/>
      <c r="M33">
        <v>1</v>
      </c>
      <c r="N33" s="21" t="s">
        <v>77</v>
      </c>
      <c r="T33">
        <v>6</v>
      </c>
      <c r="U33" s="45" cm="1">
        <f t="array" ref="U33">SUM(MMULT(TRANSPOSE($M$34:$M$36),TRANSPOSE(P12:R12)))</f>
        <v>0.27571283530680296</v>
      </c>
      <c r="AA33" s="41" t="s">
        <v>48</v>
      </c>
    </row>
    <row r="34" spans="8:45" x14ac:dyDescent="0.25">
      <c r="I34" t="s">
        <v>65</v>
      </c>
      <c r="L34" s="22" t="s">
        <v>76</v>
      </c>
      <c r="M34" s="3">
        <f>-1/3*((2/(1+DATA!I16))*N34*LOG(M28)+((2*DATA!I16)/(1+DATA!I16))*(1-N34)*LOG(1-M28))</f>
        <v>0.15949637479499018</v>
      </c>
      <c r="N34" s="8">
        <v>1</v>
      </c>
      <c r="T34">
        <v>7</v>
      </c>
      <c r="U34" s="44" cm="1">
        <f t="array" ref="U34">SUM(MMULT(TRANSPOSE($M$34:$M$36),TRANSPOSE(P13:R13)))</f>
        <v>-2.1670179186985931E-2</v>
      </c>
      <c r="AA34" t="s">
        <v>90</v>
      </c>
      <c r="AC34" t="s">
        <v>51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L35" s="7">
        <v>2</v>
      </c>
      <c r="M35" s="3">
        <f>-1/3*((2/(1+DATA!I17))*N35*LOG(M29)+((2*DATA!I17)/(1+DATA!I17))*(1-N35)*LOG(1-M29))</f>
        <v>4.275076273923531E-2</v>
      </c>
      <c r="N35" s="8">
        <v>1</v>
      </c>
      <c r="T35">
        <v>8</v>
      </c>
      <c r="U35" s="44" cm="1">
        <f t="array" ref="U35">SUM(MMULT(TRANSPOSE($M$34:$M$36),TRANSPOSE(P14:R14)))</f>
        <v>-2.7368357342538174E-3</v>
      </c>
      <c r="AA35">
        <v>1</v>
      </c>
      <c r="AB35" s="13" t="s">
        <v>82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45">
        <f>MAX(I26:J26)</f>
        <v>3.7265025686892908</v>
      </c>
      <c r="L36" s="9">
        <v>3</v>
      </c>
      <c r="M36" s="23">
        <f>-1/3*((2/(1+DATA!I18))*N36*LOG(M30)+((2*DATA!I18)/(1+DATA!I18))*(1-N36)*LOG(1-M30))</f>
        <v>0.19332526890445267</v>
      </c>
      <c r="N36" s="11">
        <v>0</v>
      </c>
      <c r="T36">
        <v>9</v>
      </c>
      <c r="U36" s="44" cm="1">
        <f t="array" ref="U36">SUM(MMULT(TRANSPOSE($M$34:$M$36),TRANSPOSE(P15:R15)))</f>
        <v>-5.7542929625545247E-2</v>
      </c>
      <c r="Z36">
        <v>1</v>
      </c>
      <c r="AA36" s="45">
        <f t="shared" ref="AA36:AA41" si="18">AA22</f>
        <v>0.13276678756742463</v>
      </c>
      <c r="AB36">
        <f>MATCH(MAX(FRONTEND!M28:Q28),FRONTEND!M28:Q28,0)</f>
        <v>4</v>
      </c>
      <c r="AC36">
        <f t="shared" ref="AC36:AG41" si="19">IF($AB36=AC$35,$AA36,0)</f>
        <v>0</v>
      </c>
      <c r="AD36">
        <f t="shared" si="19"/>
        <v>0</v>
      </c>
      <c r="AE36">
        <f t="shared" si="19"/>
        <v>0</v>
      </c>
      <c r="AF36">
        <f t="shared" si="19"/>
        <v>0.13276678756742463</v>
      </c>
      <c r="AG36">
        <f t="shared" si="1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H37">
        <v>2</v>
      </c>
      <c r="I37" s="45">
        <f t="shared" ref="I37:I41" si="20">MAX(I27:J27)</f>
        <v>0.9261933445799948</v>
      </c>
      <c r="T37">
        <v>10</v>
      </c>
      <c r="U37" s="44" cm="1">
        <f t="array" ref="U37">SUM(MMULT(TRANSPOSE($M$34:$M$36),TRANSPOSE(P16:R16)))</f>
        <v>5.0389497515449577E-2</v>
      </c>
      <c r="Z37">
        <v>2</v>
      </c>
      <c r="AA37" s="45">
        <f t="shared" si="18"/>
        <v>8.5577480285676244E-2</v>
      </c>
      <c r="AB37">
        <f>MATCH(MAX(FRONTEND!M29:Q29),FRONTEND!M29:Q29,0)</f>
        <v>2</v>
      </c>
      <c r="AC37">
        <f t="shared" si="19"/>
        <v>0</v>
      </c>
      <c r="AD37">
        <f t="shared" si="19"/>
        <v>8.5577480285676244E-2</v>
      </c>
      <c r="AE37">
        <f t="shared" si="19"/>
        <v>0</v>
      </c>
      <c r="AF37">
        <f t="shared" si="19"/>
        <v>0</v>
      </c>
      <c r="AG37">
        <f t="shared" si="1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x14ac:dyDescent="0.25">
      <c r="H38">
        <v>3</v>
      </c>
      <c r="I38" s="45">
        <f t="shared" si="20"/>
        <v>1.0663402409710838</v>
      </c>
      <c r="T38">
        <v>11</v>
      </c>
      <c r="U38" s="44" cm="1">
        <f t="array" ref="U38">SUM(MMULT(TRANSPOSE($M$34:$M$36),TRANSPOSE(P17:R17)))</f>
        <v>5.8055545403434272E-2</v>
      </c>
      <c r="Z38">
        <v>3</v>
      </c>
      <c r="AA38" s="45">
        <f t="shared" si="18"/>
        <v>3.1917484976902834E-3</v>
      </c>
      <c r="AB38">
        <f>MATCH(MAX(FRONTEND!M30:Q30),FRONTEND!M30:Q30,0)</f>
        <v>3</v>
      </c>
      <c r="AC38">
        <f t="shared" si="19"/>
        <v>0</v>
      </c>
      <c r="AD38">
        <f t="shared" si="19"/>
        <v>0</v>
      </c>
      <c r="AE38">
        <f t="shared" si="19"/>
        <v>3.1917484976902834E-3</v>
      </c>
      <c r="AF38">
        <f t="shared" si="19"/>
        <v>0</v>
      </c>
      <c r="AG38">
        <f t="shared" si="1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25">
      <c r="H39">
        <v>4</v>
      </c>
      <c r="I39" s="45">
        <f t="shared" si="20"/>
        <v>1.61039894979859</v>
      </c>
      <c r="L39" s="13"/>
      <c r="T39">
        <v>12</v>
      </c>
      <c r="U39" s="44" cm="1">
        <f t="array" ref="U39">SUM(MMULT(TRANSPOSE($M$34:$M$36),TRANSPOSE(P18:R18)))</f>
        <v>-4.3598479032460842E-2</v>
      </c>
      <c r="Z39">
        <v>4</v>
      </c>
      <c r="AA39" s="45">
        <f t="shared" si="18"/>
        <v>1.2418604419378074E-2</v>
      </c>
      <c r="AB39">
        <f>MATCH(MAX(FRONTEND!M31:Q31),FRONTEND!M31:Q31,0)</f>
        <v>4</v>
      </c>
      <c r="AC39">
        <f t="shared" si="19"/>
        <v>0</v>
      </c>
      <c r="AD39">
        <f t="shared" si="19"/>
        <v>0</v>
      </c>
      <c r="AE39">
        <f t="shared" si="19"/>
        <v>0</v>
      </c>
      <c r="AF39">
        <f t="shared" si="19"/>
        <v>1.2418604419378074E-2</v>
      </c>
      <c r="AG39">
        <f t="shared" si="1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25">
      <c r="H40">
        <v>5</v>
      </c>
      <c r="I40" s="45">
        <f t="shared" si="20"/>
        <v>3.9314647214855474</v>
      </c>
      <c r="Z40">
        <v>5</v>
      </c>
      <c r="AA40" s="45">
        <f t="shared" si="18"/>
        <v>1.9755946815194155E-2</v>
      </c>
      <c r="AB40">
        <f>MATCH(MAX(FRONTEND!M32:Q32),FRONTEND!M32:Q32,0)</f>
        <v>1</v>
      </c>
      <c r="AC40">
        <f t="shared" si="19"/>
        <v>1.9755946815194155E-2</v>
      </c>
      <c r="AD40">
        <f t="shared" si="19"/>
        <v>0</v>
      </c>
      <c r="AE40">
        <f t="shared" si="19"/>
        <v>0</v>
      </c>
      <c r="AF40">
        <f t="shared" si="19"/>
        <v>0</v>
      </c>
      <c r="AG40">
        <f t="shared" si="1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25">
      <c r="H41">
        <v>6</v>
      </c>
      <c r="I41" s="45">
        <f t="shared" si="20"/>
        <v>0.90914028044519068</v>
      </c>
      <c r="U41" s="45" t="s">
        <v>54</v>
      </c>
      <c r="W41" s="13" t="s">
        <v>51</v>
      </c>
      <c r="Z41">
        <v>6</v>
      </c>
      <c r="AA41" s="45">
        <f t="shared" si="18"/>
        <v>1.2484029880609355E-2</v>
      </c>
      <c r="AB41">
        <f>MATCH(MAX(FRONTEND!M33:Q33),FRONTEND!M33:Q33,0)</f>
        <v>5</v>
      </c>
      <c r="AC41">
        <f t="shared" si="19"/>
        <v>0</v>
      </c>
      <c r="AD41">
        <f t="shared" si="19"/>
        <v>0</v>
      </c>
      <c r="AE41">
        <f t="shared" si="19"/>
        <v>0</v>
      </c>
      <c r="AF41">
        <f t="shared" si="19"/>
        <v>0</v>
      </c>
      <c r="AG41">
        <f t="shared" si="19"/>
        <v>1.2484029880609355E-2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U42">
        <v>1</v>
      </c>
      <c r="V42" s="13" t="s">
        <v>82</v>
      </c>
      <c r="W42">
        <v>1</v>
      </c>
      <c r="X42">
        <v>2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25">
      <c r="I43" t="s">
        <v>57</v>
      </c>
      <c r="T43">
        <v>1</v>
      </c>
      <c r="U43" s="3">
        <f>U28</f>
        <v>-0.20046533522821974</v>
      </c>
      <c r="V43">
        <f>MATCH(MAX(I26:J26),I26:J26,0)</f>
        <v>2</v>
      </c>
      <c r="W43">
        <f>IF($V43=W$42,$U43,0)</f>
        <v>0</v>
      </c>
      <c r="X43">
        <f>IF($V43=X$42,$U43,0)</f>
        <v>-0.20046533522821974</v>
      </c>
      <c r="AA43" t="s">
        <v>89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I44" t="s">
        <v>65</v>
      </c>
      <c r="T44">
        <v>2</v>
      </c>
      <c r="U44" s="3">
        <f t="shared" ref="U44:U48" si="21">U29</f>
        <v>3.9151236793477484E-2</v>
      </c>
      <c r="V44">
        <f t="shared" ref="V44:V48" si="22">MATCH(MAX(I27:J27),I27:J27,0)</f>
        <v>2</v>
      </c>
      <c r="W44">
        <f t="shared" ref="W44:X48" si="23">IF($V44=W$42,$U44,0)</f>
        <v>0</v>
      </c>
      <c r="X44">
        <f t="shared" si="23"/>
        <v>3.9151236793477484E-2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I45">
        <v>1</v>
      </c>
      <c r="T45">
        <v>3</v>
      </c>
      <c r="U45" s="3">
        <f t="shared" si="21"/>
        <v>-0.10894187193569127</v>
      </c>
      <c r="V45">
        <f t="shared" si="22"/>
        <v>2</v>
      </c>
      <c r="W45">
        <f t="shared" si="23"/>
        <v>0</v>
      </c>
      <c r="X45">
        <f t="shared" si="23"/>
        <v>-0.10894187193569127</v>
      </c>
      <c r="Z45">
        <v>1</v>
      </c>
      <c r="AA45">
        <f>AC36*IF(AC36&gt;0,1,0)</f>
        <v>0</v>
      </c>
      <c r="AB45">
        <f t="shared" ref="AB45:AE45" si="24">AD36*IF(AD36&gt;0,1,0)</f>
        <v>0</v>
      </c>
      <c r="AC45">
        <f t="shared" si="24"/>
        <v>0</v>
      </c>
      <c r="AD45">
        <f t="shared" si="24"/>
        <v>0.13276678756742463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>
        <v>1</v>
      </c>
      <c r="I46" s="44">
        <f>AVERAGE(I26:J26)</f>
        <v>1.8632512843446454</v>
      </c>
      <c r="T46">
        <v>4</v>
      </c>
      <c r="U46" s="3">
        <f t="shared" si="21"/>
        <v>-1.9090599122439475E-2</v>
      </c>
      <c r="V46">
        <f t="shared" si="22"/>
        <v>2</v>
      </c>
      <c r="W46">
        <f t="shared" si="23"/>
        <v>0</v>
      </c>
      <c r="X46">
        <f t="shared" si="23"/>
        <v>-1.9090599122439475E-2</v>
      </c>
      <c r="Z46">
        <v>2</v>
      </c>
      <c r="AA46">
        <f t="shared" ref="AA46:AA50" si="25">AC37*IF(AC37&gt;0,1,0)</f>
        <v>0</v>
      </c>
      <c r="AB46">
        <f t="shared" ref="AB46:AB50" si="26">AD37*IF(AD37&gt;0,1,0)</f>
        <v>8.5577480285676244E-2</v>
      </c>
      <c r="AC46">
        <f t="shared" ref="AC46:AC50" si="27">AE37*IF(AE37&gt;0,1,0)</f>
        <v>0</v>
      </c>
      <c r="AD46">
        <f t="shared" ref="AD46:AD50" si="28">AF37*IF(AF37&gt;0,1,0)</f>
        <v>0</v>
      </c>
      <c r="AE46">
        <f t="shared" ref="AE46:AE50" si="29">AG37*IF(AG37&gt;0,1,0)</f>
        <v>0</v>
      </c>
    </row>
    <row r="47" spans="8:45" x14ac:dyDescent="0.25">
      <c r="H47">
        <v>2</v>
      </c>
      <c r="I47" s="44">
        <f t="shared" ref="I47:I51" si="30">AVERAGE(I27:J27)</f>
        <v>0.4630966722899974</v>
      </c>
      <c r="T47">
        <v>5</v>
      </c>
      <c r="U47" s="3">
        <f t="shared" si="21"/>
        <v>-6.6493027842997543E-2</v>
      </c>
      <c r="V47">
        <f t="shared" si="22"/>
        <v>2</v>
      </c>
      <c r="W47">
        <f t="shared" si="23"/>
        <v>0</v>
      </c>
      <c r="X47">
        <f t="shared" si="23"/>
        <v>-6.6493027842997543E-2</v>
      </c>
      <c r="Z47">
        <v>3</v>
      </c>
      <c r="AA47">
        <f t="shared" si="25"/>
        <v>0</v>
      </c>
      <c r="AB47">
        <f t="shared" si="26"/>
        <v>0</v>
      </c>
      <c r="AC47">
        <f t="shared" si="27"/>
        <v>3.1917484976902834E-3</v>
      </c>
      <c r="AD47">
        <f t="shared" si="28"/>
        <v>0</v>
      </c>
      <c r="AE47">
        <f t="shared" si="29"/>
        <v>0</v>
      </c>
    </row>
    <row r="48" spans="8:45" x14ac:dyDescent="0.25">
      <c r="H48">
        <v>3</v>
      </c>
      <c r="I48" s="44">
        <f t="shared" si="30"/>
        <v>0.53317012048554191</v>
      </c>
      <c r="T48">
        <v>6</v>
      </c>
      <c r="U48" s="3">
        <f t="shared" si="21"/>
        <v>0.27571283530680296</v>
      </c>
      <c r="V48">
        <f t="shared" si="22"/>
        <v>2</v>
      </c>
      <c r="W48">
        <f t="shared" si="23"/>
        <v>0</v>
      </c>
      <c r="X48">
        <f t="shared" si="23"/>
        <v>0.27571283530680296</v>
      </c>
      <c r="Z48">
        <v>4</v>
      </c>
      <c r="AA48">
        <f t="shared" si="25"/>
        <v>0</v>
      </c>
      <c r="AB48">
        <f t="shared" si="26"/>
        <v>0</v>
      </c>
      <c r="AC48">
        <f t="shared" si="27"/>
        <v>0</v>
      </c>
      <c r="AD48">
        <f t="shared" si="28"/>
        <v>1.2418604419378074E-2</v>
      </c>
      <c r="AE48">
        <f t="shared" si="29"/>
        <v>0</v>
      </c>
    </row>
    <row r="49" spans="8:37" x14ac:dyDescent="0.25">
      <c r="H49">
        <v>4</v>
      </c>
      <c r="I49" s="44">
        <f t="shared" si="30"/>
        <v>0.805199474899295</v>
      </c>
      <c r="Z49">
        <v>5</v>
      </c>
      <c r="AA49">
        <f t="shared" si="25"/>
        <v>1.9755946815194155E-2</v>
      </c>
      <c r="AB49">
        <f t="shared" si="26"/>
        <v>0</v>
      </c>
      <c r="AC49">
        <f t="shared" si="27"/>
        <v>0</v>
      </c>
      <c r="AD49">
        <f t="shared" si="28"/>
        <v>0</v>
      </c>
      <c r="AE49">
        <f t="shared" si="29"/>
        <v>0</v>
      </c>
    </row>
    <row r="50" spans="8:37" x14ac:dyDescent="0.25">
      <c r="H50">
        <v>5</v>
      </c>
      <c r="I50" s="44">
        <f t="shared" si="30"/>
        <v>1.9657323607427737</v>
      </c>
      <c r="U50" s="44" t="s">
        <v>57</v>
      </c>
      <c r="W50" s="13" t="s">
        <v>83</v>
      </c>
      <c r="Z50">
        <v>6</v>
      </c>
      <c r="AA50">
        <f t="shared" si="25"/>
        <v>0</v>
      </c>
      <c r="AB50">
        <f t="shared" si="26"/>
        <v>0</v>
      </c>
      <c r="AC50">
        <f t="shared" si="27"/>
        <v>0</v>
      </c>
      <c r="AD50">
        <f t="shared" si="28"/>
        <v>0</v>
      </c>
      <c r="AE50">
        <f t="shared" si="29"/>
        <v>1.2484029880609355E-2</v>
      </c>
    </row>
    <row r="51" spans="8:37" ht="15.75" thickBot="1" x14ac:dyDescent="0.3">
      <c r="H51">
        <v>6</v>
      </c>
      <c r="I51" s="44">
        <f t="shared" si="30"/>
        <v>0.45457014022259534</v>
      </c>
      <c r="U51">
        <v>1</v>
      </c>
      <c r="V51">
        <v>2</v>
      </c>
      <c r="W51" s="13">
        <v>2</v>
      </c>
    </row>
    <row r="52" spans="8:37" ht="15.75" thickBot="1" x14ac:dyDescent="0.3">
      <c r="T52">
        <v>1</v>
      </c>
      <c r="U52">
        <f>$U34*1/$W$51</f>
        <v>-1.0835089593492966E-2</v>
      </c>
      <c r="V52">
        <f>$U34*1/$W$51</f>
        <v>-1.0835089593492966E-2</v>
      </c>
      <c r="Z52" s="4"/>
      <c r="AA52" s="40" t="s">
        <v>50</v>
      </c>
      <c r="AB52" s="5"/>
      <c r="AC52" s="6"/>
      <c r="AE52" s="4"/>
      <c r="AF52" s="39" t="s">
        <v>52</v>
      </c>
    </row>
    <row r="53" spans="8:37" x14ac:dyDescent="0.25">
      <c r="H53" s="4"/>
      <c r="I53" s="40" t="s">
        <v>62</v>
      </c>
      <c r="J53" s="6"/>
      <c r="T53">
        <v>2</v>
      </c>
      <c r="U53">
        <f t="shared" ref="U53:V53" si="31">$U35*1/$W$51</f>
        <v>-1.3684178671269087E-3</v>
      </c>
      <c r="V53">
        <f t="shared" si="31"/>
        <v>-1.3684178671269087E-3</v>
      </c>
      <c r="Z53" s="7"/>
      <c r="AA53">
        <v>1</v>
      </c>
      <c r="AB53">
        <v>2</v>
      </c>
      <c r="AC53" s="8">
        <v>3</v>
      </c>
      <c r="AE53" s="7"/>
      <c r="AF53" s="8">
        <v>1</v>
      </c>
    </row>
    <row r="54" spans="8:37" ht="15.75" thickBot="1" x14ac:dyDescent="0.3">
      <c r="H54" s="7"/>
      <c r="I54">
        <v>1</v>
      </c>
      <c r="J54" s="8"/>
      <c r="T54">
        <v>3</v>
      </c>
      <c r="U54">
        <f t="shared" ref="U54:V54" si="32">$U36*1/$W$51</f>
        <v>-2.8771464812772624E-2</v>
      </c>
      <c r="V54">
        <f t="shared" si="32"/>
        <v>-2.8771464812772624E-2</v>
      </c>
      <c r="Z54" s="7">
        <v>1</v>
      </c>
      <c r="AA54" cm="1">
        <f t="array" ref="AA54">SUM($AA$45:$AE$50*AK35:AO40)</f>
        <v>-3.1449453510965203E-2</v>
      </c>
      <c r="AB54" cm="1">
        <f t="array" ref="AB54">SUM($AA$45:$AE$50*AL35:AP40)</f>
        <v>4.580345233057817E-2</v>
      </c>
      <c r="AC54" s="8" cm="1">
        <f t="array" ref="AC54">SUM($AA$45:$AE$50*AM35:AQ40)</f>
        <v>9.8087342287339618E-4</v>
      </c>
      <c r="AE54" s="9">
        <v>1</v>
      </c>
      <c r="AF54" s="11">
        <f>SUM(AA22:AA27)</f>
        <v>0.26619459746597274</v>
      </c>
    </row>
    <row r="55" spans="8:37" x14ac:dyDescent="0.25">
      <c r="H55" s="7">
        <v>1</v>
      </c>
      <c r="I55" s="45">
        <f>I36</f>
        <v>3.7265025686892908</v>
      </c>
      <c r="J55" s="8"/>
      <c r="T55">
        <v>4</v>
      </c>
      <c r="U55">
        <f t="shared" ref="U55:V55" si="33">$U37*1/$W$51</f>
        <v>2.5194748757724789E-2</v>
      </c>
      <c r="V55">
        <f t="shared" si="33"/>
        <v>2.5194748757724789E-2</v>
      </c>
      <c r="Z55" s="7">
        <v>2</v>
      </c>
      <c r="AA55" cm="1">
        <f t="array" ref="AA55">SUM($AA$45:$AE$50*AK36:AO41)</f>
        <v>2.6254172434875652E-2</v>
      </c>
      <c r="AB55" cm="1">
        <f t="array" ref="AB55">SUM($AA$45:$AE$50*AL36:AP41)</f>
        <v>2.0395327270208461E-2</v>
      </c>
      <c r="AC55" s="8" cm="1">
        <f t="array" ref="AC55">SUM($AA$45:$AE$50*AM36:AQ41)</f>
        <v>7.0294782268955955E-2</v>
      </c>
    </row>
    <row r="56" spans="8:37" x14ac:dyDescent="0.25">
      <c r="H56" s="7">
        <v>2</v>
      </c>
      <c r="I56" s="45">
        <f t="shared" ref="I56:I60" si="34">I37</f>
        <v>0.9261933445799948</v>
      </c>
      <c r="J56" s="8"/>
      <c r="T56">
        <v>5</v>
      </c>
      <c r="U56">
        <f t="shared" ref="U56:V56" si="35">$U38*1/$W$51</f>
        <v>2.9027772701717136E-2</v>
      </c>
      <c r="V56">
        <f t="shared" si="35"/>
        <v>2.9027772701717136E-2</v>
      </c>
      <c r="Z56" s="7">
        <v>3</v>
      </c>
      <c r="AA56" cm="1">
        <f t="array" ref="AA56">SUM($AA$45:$AE$50*AK37:AO42)</f>
        <v>0.17907332542243459</v>
      </c>
      <c r="AB56" cm="1">
        <f t="array" ref="AB56">SUM($AA$45:$AE$50*AL37:AP42)</f>
        <v>0.1283584964216033</v>
      </c>
      <c r="AC56" s="8" cm="1">
        <f t="array" ref="AC56">SUM($AA$45:$AE$50*AM37:AQ42)</f>
        <v>-0.23257473286654426</v>
      </c>
    </row>
    <row r="57" spans="8:37" x14ac:dyDescent="0.25">
      <c r="H57" s="7">
        <v>3</v>
      </c>
      <c r="I57" s="45">
        <f t="shared" si="34"/>
        <v>1.0663402409710838</v>
      </c>
      <c r="J57" s="8"/>
      <c r="T57">
        <v>6</v>
      </c>
      <c r="U57">
        <f t="shared" ref="U57:V57" si="36">$U39*1/$W$51</f>
        <v>-2.1799239516230421E-2</v>
      </c>
      <c r="V57">
        <f t="shared" si="36"/>
        <v>-2.1799239516230421E-2</v>
      </c>
      <c r="Z57" s="7">
        <v>4</v>
      </c>
      <c r="AA57" cm="1">
        <f t="array" ref="AA57">SUM($AA$45:$AE$50*AK38:AO43)</f>
        <v>-0.1004260852041767</v>
      </c>
      <c r="AB57" cm="1">
        <f t="array" ref="AB57">SUM($AA$45:$AE$50*AL38:AP43)</f>
        <v>0.19327846587133801</v>
      </c>
      <c r="AC57" s="8" cm="1">
        <f t="array" ref="AC57">SUM($AA$45:$AE$50*AM38:AQ43)</f>
        <v>-0.1869752813273616</v>
      </c>
    </row>
    <row r="58" spans="8:37" ht="15.75" thickBot="1" x14ac:dyDescent="0.3">
      <c r="H58" s="7">
        <v>4</v>
      </c>
      <c r="I58" s="45">
        <f t="shared" si="34"/>
        <v>1.61039894979859</v>
      </c>
      <c r="J58" s="8"/>
      <c r="Z58" s="9">
        <v>5</v>
      </c>
      <c r="AA58" s="14" cm="1">
        <f t="array" ref="AA58">SUM($AA$45:$AE$50*AK39:AO44)</f>
        <v>-0.12479352946234563</v>
      </c>
      <c r="AB58" s="14" cm="1">
        <f t="array" ref="AB58">SUM($AA$45:$AE$50*AL39:AP44)</f>
        <v>-0.28272189863623526</v>
      </c>
      <c r="AC58" s="11" cm="1">
        <f t="array" ref="AC58">SUM($AA$45:$AE$50*AM39:AQ44)</f>
        <v>-0.11765864222297037</v>
      </c>
    </row>
    <row r="59" spans="8:37" x14ac:dyDescent="0.25">
      <c r="H59" s="7">
        <v>5</v>
      </c>
      <c r="I59" s="45">
        <f t="shared" si="34"/>
        <v>3.9314647214855474</v>
      </c>
      <c r="J59" s="8"/>
      <c r="T59" s="4"/>
      <c r="U59" s="40" t="s">
        <v>79</v>
      </c>
      <c r="V59" s="6"/>
    </row>
    <row r="60" spans="8:37" x14ac:dyDescent="0.25">
      <c r="H60" s="7">
        <v>6</v>
      </c>
      <c r="I60" s="45">
        <f t="shared" si="34"/>
        <v>0.90914028044519068</v>
      </c>
      <c r="J60" s="8"/>
      <c r="T60" s="7"/>
      <c r="U60">
        <v>1</v>
      </c>
      <c r="V60" s="8">
        <v>2</v>
      </c>
    </row>
    <row r="61" spans="8:37" ht="26.25" x14ac:dyDescent="0.4">
      <c r="H61" s="7">
        <v>7</v>
      </c>
      <c r="I61" s="44">
        <f>I46</f>
        <v>1.8632512843446454</v>
      </c>
      <c r="J61" s="8"/>
      <c r="T61" s="7">
        <v>1</v>
      </c>
      <c r="U61" s="45">
        <f>W43+U52</f>
        <v>-1.0835089593492966E-2</v>
      </c>
      <c r="V61" s="48">
        <f>X43+V52</f>
        <v>-0.21130042482171271</v>
      </c>
      <c r="AA61" s="41" t="s">
        <v>86</v>
      </c>
    </row>
    <row r="62" spans="8:37" ht="27" thickBot="1" x14ac:dyDescent="0.45">
      <c r="H62" s="7">
        <v>8</v>
      </c>
      <c r="I62" s="44">
        <f t="shared" ref="I62:I66" si="37">I47</f>
        <v>0.4630966722899974</v>
      </c>
      <c r="J62" s="8"/>
      <c r="T62" s="7">
        <v>2</v>
      </c>
      <c r="U62" s="45">
        <f t="shared" ref="U62:V62" si="38">W44+U53</f>
        <v>-1.3684178671269087E-3</v>
      </c>
      <c r="V62" s="48">
        <f t="shared" si="38"/>
        <v>3.7782818926350575E-2</v>
      </c>
      <c r="AA62" s="41" t="s">
        <v>56</v>
      </c>
      <c r="AI62">
        <v>0</v>
      </c>
      <c r="AJ62">
        <v>0</v>
      </c>
      <c r="AK62">
        <v>0</v>
      </c>
    </row>
    <row r="63" spans="8:37" x14ac:dyDescent="0.25">
      <c r="H63" s="7">
        <v>9</v>
      </c>
      <c r="I63" s="44">
        <f t="shared" si="37"/>
        <v>0.53317012048554191</v>
      </c>
      <c r="J63" s="8"/>
      <c r="T63" s="7">
        <v>3</v>
      </c>
      <c r="U63" s="45">
        <f t="shared" ref="U63:V63" si="39">W45+U54</f>
        <v>-2.8771464812772624E-2</v>
      </c>
      <c r="V63" s="48">
        <f t="shared" si="39"/>
        <v>-0.13771333674846389</v>
      </c>
      <c r="AA63" t="s">
        <v>89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25">
      <c r="H64" s="7">
        <v>10</v>
      </c>
      <c r="I64" s="44">
        <f t="shared" si="37"/>
        <v>0.805199474899295</v>
      </c>
      <c r="J64" s="8"/>
      <c r="T64" s="7">
        <v>4</v>
      </c>
      <c r="U64" s="45">
        <f t="shared" ref="U64:V64" si="40">W46+U55</f>
        <v>2.5194748757724789E-2</v>
      </c>
      <c r="V64" s="48">
        <f t="shared" si="40"/>
        <v>6.1041496352853136E-3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25">
      <c r="H65" s="7">
        <v>11</v>
      </c>
      <c r="I65" s="44">
        <f t="shared" si="37"/>
        <v>1.9657323607427737</v>
      </c>
      <c r="J65" s="8"/>
      <c r="T65" s="7">
        <v>5</v>
      </c>
      <c r="U65" s="45">
        <f t="shared" ref="U65:V65" si="41">W47+U56</f>
        <v>2.9027772701717136E-2</v>
      </c>
      <c r="V65" s="48">
        <f t="shared" si="41"/>
        <v>-3.7465255141280407E-2</v>
      </c>
      <c r="Z65">
        <v>1</v>
      </c>
      <c r="AA65" s="44">
        <f t="shared" ref="AA65:AA70" si="42">AB22*IF(AB22&gt;0,1,0)</f>
        <v>0.23770031637847724</v>
      </c>
      <c r="AI65">
        <v>0</v>
      </c>
      <c r="AJ65" s="19">
        <v>8.6633902217030781E-2</v>
      </c>
      <c r="AK65">
        <v>0</v>
      </c>
    </row>
    <row r="66" spans="8:37" ht="15.75" thickBot="1" x14ac:dyDescent="0.3">
      <c r="H66" s="9">
        <v>12</v>
      </c>
      <c r="I66" s="50">
        <f t="shared" si="37"/>
        <v>0.45457014022259534</v>
      </c>
      <c r="J66" s="11"/>
      <c r="T66" s="9">
        <v>6</v>
      </c>
      <c r="U66" s="47">
        <f t="shared" ref="U66:V66" si="43">W48+U57</f>
        <v>-2.1799239516230421E-2</v>
      </c>
      <c r="V66" s="49">
        <f t="shared" si="43"/>
        <v>0.25391359579057254</v>
      </c>
      <c r="Z66">
        <v>2</v>
      </c>
      <c r="AA66" s="44">
        <f t="shared" si="42"/>
        <v>0.35836325849831557</v>
      </c>
      <c r="AI66">
        <v>0</v>
      </c>
      <c r="AJ66" s="19">
        <v>-0.84368679885201792</v>
      </c>
      <c r="AK66">
        <v>0</v>
      </c>
    </row>
    <row r="67" spans="8:37" x14ac:dyDescent="0.25">
      <c r="Z67">
        <v>3</v>
      </c>
      <c r="AA67" s="44">
        <f t="shared" si="42"/>
        <v>2.8287363688588665E-2</v>
      </c>
      <c r="AI67">
        <v>0</v>
      </c>
      <c r="AJ67" s="19">
        <v>0.17422066566536737</v>
      </c>
      <c r="AK67">
        <v>0</v>
      </c>
    </row>
    <row r="68" spans="8:37" ht="15.75" thickBot="1" x14ac:dyDescent="0.3">
      <c r="Z68">
        <v>4</v>
      </c>
      <c r="AA68" s="44">
        <f t="shared" si="42"/>
        <v>2.225145198719642E-2</v>
      </c>
      <c r="AI68">
        <v>0</v>
      </c>
      <c r="AJ68" s="20">
        <v>0.46054055495736873</v>
      </c>
      <c r="AK68">
        <v>0</v>
      </c>
    </row>
    <row r="69" spans="8:37" x14ac:dyDescent="0.25">
      <c r="Z69">
        <v>5</v>
      </c>
      <c r="AA69" s="44">
        <f t="shared" si="42"/>
        <v>3.4181115202044726E-2</v>
      </c>
      <c r="AI69">
        <v>0</v>
      </c>
      <c r="AJ69">
        <v>0</v>
      </c>
      <c r="AK69">
        <v>0</v>
      </c>
    </row>
    <row r="70" spans="8:37" x14ac:dyDescent="0.25">
      <c r="Z70">
        <v>6</v>
      </c>
      <c r="AA70" s="44">
        <f t="shared" si="42"/>
        <v>4.9893460414720578E-2</v>
      </c>
    </row>
    <row r="71" spans="8:37" ht="15.75" thickBot="1" x14ac:dyDescent="0.3"/>
    <row r="72" spans="8:37" x14ac:dyDescent="0.25">
      <c r="Z72" s="4"/>
      <c r="AA72" s="39" t="s">
        <v>50</v>
      </c>
      <c r="AC72" s="4"/>
      <c r="AD72" s="39" t="s">
        <v>52</v>
      </c>
    </row>
    <row r="73" spans="8:37" x14ac:dyDescent="0.25">
      <c r="Z73" s="7"/>
      <c r="AA73" s="8">
        <v>1</v>
      </c>
      <c r="AC73" s="7"/>
      <c r="AD73" s="8">
        <v>1</v>
      </c>
    </row>
    <row r="74" spans="8:37" ht="15.75" thickBot="1" x14ac:dyDescent="0.3">
      <c r="Z74" s="7">
        <v>1</v>
      </c>
      <c r="AA74" s="8" cm="1">
        <f t="array" ref="AA74">SUM($AA$65:$AA$70*AJ62:AJ67)</f>
        <v>0.10587783716027639</v>
      </c>
      <c r="AC74" s="9">
        <v>1</v>
      </c>
      <c r="AD74" s="11">
        <f>SUM(AB22:AB27)</f>
        <v>0.73067696616934319</v>
      </c>
    </row>
    <row r="75" spans="8:37" x14ac:dyDescent="0.25">
      <c r="Z75" s="7">
        <v>2</v>
      </c>
      <c r="AA75" s="8" cm="1">
        <f t="array" ref="AA75">SUM($AA$65:$AA$70*AJ63:AJ68)</f>
        <v>1.2335232777721005E-2</v>
      </c>
    </row>
    <row r="76" spans="8:37" ht="15.75" thickBot="1" x14ac:dyDescent="0.3">
      <c r="Z76" s="9">
        <v>3</v>
      </c>
      <c r="AA76" s="11" cm="1">
        <f t="array" ref="AA76">SUM($AA$65:$AA$70*AJ64:AJ69)</f>
        <v>-3.1007004326537677E-2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D85"/>
  <sheetViews>
    <sheetView topLeftCell="BI10" zoomScaleNormal="100" workbookViewId="0">
      <selection activeCell="BO44" sqref="BO44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1" spans="2:82" ht="15.75" thickBot="1" x14ac:dyDescent="0.3"/>
    <row r="2" spans="2:82" ht="26.25" x14ac:dyDescent="0.4">
      <c r="B2" s="4"/>
      <c r="C2" s="40" t="s">
        <v>62</v>
      </c>
      <c r="D2" s="6"/>
      <c r="L2" s="41" t="s">
        <v>49</v>
      </c>
      <c r="W2" s="41" t="s">
        <v>49</v>
      </c>
      <c r="AE2" s="41" t="s">
        <v>78</v>
      </c>
      <c r="AK2" s="41" t="s">
        <v>78</v>
      </c>
      <c r="BL2" s="41" t="s">
        <v>86</v>
      </c>
    </row>
    <row r="3" spans="2:82" ht="26.25" x14ac:dyDescent="0.4">
      <c r="B3" s="7"/>
      <c r="C3">
        <v>1</v>
      </c>
      <c r="D3" s="8">
        <v>2</v>
      </c>
      <c r="L3" s="41" t="s">
        <v>91</v>
      </c>
      <c r="W3" s="41" t="s">
        <v>66</v>
      </c>
      <c r="AE3" s="41" t="s">
        <v>66</v>
      </c>
      <c r="AK3" s="41" t="s">
        <v>91</v>
      </c>
      <c r="BL3" s="41" t="s">
        <v>48</v>
      </c>
    </row>
    <row r="4" spans="2:82" ht="15.75" thickBot="1" x14ac:dyDescent="0.3">
      <c r="B4" s="7">
        <v>1</v>
      </c>
      <c r="C4" s="51" cm="1">
        <f t="array" ref="C4:D9">FRONTEND!M49:N54</f>
        <v>4.0296676785617889</v>
      </c>
      <c r="D4" s="53">
        <v>1.426184227044502</v>
      </c>
      <c r="K4" t="s">
        <v>237</v>
      </c>
      <c r="BL4" t="s">
        <v>90</v>
      </c>
      <c r="BN4" t="s">
        <v>51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7">
        <v>2</v>
      </c>
      <c r="C5" s="51">
        <v>3.1757752467270279</v>
      </c>
      <c r="D5" s="53">
        <v>0.83446165212430812</v>
      </c>
      <c r="K5" s="4"/>
      <c r="L5" s="6" t="s">
        <v>92</v>
      </c>
      <c r="N5" s="13" t="s">
        <v>231</v>
      </c>
      <c r="O5">
        <v>2</v>
      </c>
      <c r="P5" t="s">
        <v>229</v>
      </c>
      <c r="W5" t="s">
        <v>46</v>
      </c>
      <c r="Y5" s="4"/>
      <c r="Z5" s="40" t="s">
        <v>67</v>
      </c>
      <c r="AA5" s="5"/>
      <c r="AB5" s="6"/>
      <c r="AD5" s="4"/>
      <c r="AE5" s="40" t="s">
        <v>67</v>
      </c>
      <c r="AF5" s="5"/>
      <c r="AG5" s="6"/>
      <c r="AK5" s="42" t="s">
        <v>107</v>
      </c>
      <c r="AU5" s="42" t="s">
        <v>107</v>
      </c>
      <c r="BL5">
        <v>1</v>
      </c>
      <c r="BM5" s="13" t="s">
        <v>82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.75" thickBot="1" x14ac:dyDescent="0.3">
      <c r="B6" s="7">
        <v>3</v>
      </c>
      <c r="C6" s="51">
        <v>3.3789276309323317</v>
      </c>
      <c r="D6" s="53">
        <v>1.8393159934697598</v>
      </c>
      <c r="K6" s="7"/>
      <c r="L6" s="8">
        <v>1</v>
      </c>
      <c r="N6" s="13" t="s">
        <v>232</v>
      </c>
      <c r="O6">
        <v>2</v>
      </c>
      <c r="P6" t="s">
        <v>230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K6" s="25" t="s">
        <v>106</v>
      </c>
      <c r="AL6" s="25"/>
      <c r="AM6" t="s">
        <v>113</v>
      </c>
      <c r="AN6" s="85" t="s">
        <v>114</v>
      </c>
      <c r="AO6" s="85" t="s">
        <v>115</v>
      </c>
      <c r="AP6" s="85" t="s">
        <v>116</v>
      </c>
      <c r="AQ6" s="85" t="s">
        <v>117</v>
      </c>
      <c r="AR6" s="85" t="s">
        <v>118</v>
      </c>
      <c r="AS6" s="85" t="s">
        <v>123</v>
      </c>
      <c r="AT6" s="25"/>
      <c r="AU6" t="s">
        <v>124</v>
      </c>
      <c r="AW6" s="83" t="s">
        <v>125</v>
      </c>
      <c r="AX6" s="87"/>
      <c r="AY6" t="s">
        <v>126</v>
      </c>
      <c r="AZ6" s="84" t="s">
        <v>131</v>
      </c>
      <c r="BB6" s="83" t="s">
        <v>129</v>
      </c>
      <c r="BC6" s="87"/>
      <c r="BD6" t="s">
        <v>127</v>
      </c>
      <c r="BE6" s="84" t="s">
        <v>132</v>
      </c>
      <c r="BG6" s="83" t="s">
        <v>130</v>
      </c>
      <c r="BH6" s="87"/>
      <c r="BI6" t="s">
        <v>128</v>
      </c>
      <c r="BK6">
        <v>1</v>
      </c>
      <c r="BL6" s="51" cm="1">
        <f t="array" ref="BL6:BL11">AU56:AU61</f>
        <v>0.18751422972621923</v>
      </c>
      <c r="BM6">
        <f>MATCH(MAX(FRONTEND!$M28:$Q28),FRONTEND!$M28:$Q28,0)</f>
        <v>4</v>
      </c>
      <c r="BN6">
        <f>IF($BM6=BN$5,$BL6,0)</f>
        <v>0</v>
      </c>
      <c r="BO6">
        <f t="shared" ref="BO6:BR11" si="0">IF($BM6=BO$5,$BL6,0)</f>
        <v>0</v>
      </c>
      <c r="BP6">
        <f t="shared" si="0"/>
        <v>0</v>
      </c>
      <c r="BQ6">
        <f t="shared" si="0"/>
        <v>0.18751422972621923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7">
        <v>4</v>
      </c>
      <c r="C7" s="51">
        <v>1.5094131886761968</v>
      </c>
      <c r="D7" s="53">
        <v>0.40501335750777256</v>
      </c>
      <c r="K7" s="7">
        <v>1</v>
      </c>
      <c r="L7" s="8">
        <v>0.80500000000000005</v>
      </c>
      <c r="V7">
        <v>1</v>
      </c>
      <c r="W7" s="51">
        <f t="shared" ref="W7:W18" si="1">K74</f>
        <v>0.38716804364868784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W34*Z7:Z18</f>
        <v>-3.4869496943208621E-3</v>
      </c>
      <c r="AF7" cm="1">
        <f t="array" ref="AF7:AF18">W35*AA7:AA18</f>
        <v>-3.6992188208372799E-3</v>
      </c>
      <c r="AG7" s="8" cm="1">
        <f t="array" ref="AG7:AG18">W36*AB7:AB18</f>
        <v>-0.30794950892867018</v>
      </c>
      <c r="AK7" s="25">
        <v>1</v>
      </c>
      <c r="AL7" s="25"/>
      <c r="AM7">
        <v>1</v>
      </c>
      <c r="AN7" s="85">
        <v>1</v>
      </c>
      <c r="AO7" s="85">
        <v>1</v>
      </c>
      <c r="AP7" s="85">
        <v>1</v>
      </c>
      <c r="AQ7" s="85">
        <v>1</v>
      </c>
      <c r="AR7" s="85">
        <v>1</v>
      </c>
      <c r="AS7" s="85">
        <v>1</v>
      </c>
      <c r="AT7" s="25"/>
      <c r="AU7">
        <v>1</v>
      </c>
      <c r="AV7">
        <v>2</v>
      </c>
      <c r="AW7" s="83">
        <v>1</v>
      </c>
      <c r="AX7" s="87">
        <v>2</v>
      </c>
      <c r="AY7">
        <v>1</v>
      </c>
      <c r="AZ7" s="84">
        <v>1</v>
      </c>
      <c r="BA7">
        <v>2</v>
      </c>
      <c r="BB7" s="83">
        <v>1</v>
      </c>
      <c r="BC7" s="87">
        <v>2</v>
      </c>
      <c r="BD7">
        <v>1</v>
      </c>
      <c r="BE7" s="84">
        <v>1</v>
      </c>
      <c r="BF7">
        <v>2</v>
      </c>
      <c r="BG7" s="83">
        <v>1</v>
      </c>
      <c r="BH7" s="87">
        <v>2</v>
      </c>
      <c r="BI7">
        <v>1</v>
      </c>
      <c r="BK7">
        <v>2</v>
      </c>
      <c r="BL7" s="51">
        <v>4.2883302141116221E-2</v>
      </c>
      <c r="BM7">
        <f>MATCH(MAX(FRONTEND!$M29:$Q29),FRONTEND!$M29:$Q29,0)</f>
        <v>2</v>
      </c>
      <c r="BN7">
        <f t="shared" ref="BN7:BN11" si="2">IF($BM7=BN$5,$BL7,0)</f>
        <v>0</v>
      </c>
      <c r="BO7">
        <f t="shared" si="0"/>
        <v>4.2883302141116221E-2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4" cm="1">
        <f t="array" ref="BW7:CA12">FRONTEND!$B$4:$F$9</f>
        <v>9.8070127981472688E-2</v>
      </c>
      <c r="BX7" s="5">
        <v>0.76989837351610546</v>
      </c>
      <c r="BY7" s="5">
        <v>1.0888675284528564</v>
      </c>
      <c r="BZ7" s="5">
        <v>0.41864132753818439</v>
      </c>
      <c r="CA7" s="6">
        <v>-0.54807215149909738</v>
      </c>
      <c r="CB7">
        <v>0</v>
      </c>
      <c r="CC7">
        <v>0</v>
      </c>
      <c r="CD7">
        <v>0</v>
      </c>
    </row>
    <row r="8" spans="2:82" ht="15.75" thickBot="1" x14ac:dyDescent="0.3">
      <c r="B8" s="7">
        <v>5</v>
      </c>
      <c r="C8" s="51">
        <v>4.5198656803290973</v>
      </c>
      <c r="D8" s="53">
        <v>0.53701995183003415</v>
      </c>
      <c r="K8" s="9">
        <v>2</v>
      </c>
      <c r="L8" s="11">
        <v>-0.97699999999999998</v>
      </c>
      <c r="V8">
        <v>2</v>
      </c>
      <c r="W8" s="51">
        <f t="shared" si="1"/>
        <v>0.65027309102745778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-2.459080194875533E-2</v>
      </c>
      <c r="AF8">
        <v>-2.2051975086958449E-4</v>
      </c>
      <c r="AG8" s="8">
        <v>0.39225959299268909</v>
      </c>
      <c r="AJ8">
        <v>1</v>
      </c>
      <c r="AK8" s="70" cm="1">
        <f t="array" ref="AK8:AK9">AE79:AE80</f>
        <v>-1.412099724789511E-3</v>
      </c>
      <c r="AL8" s="25"/>
      <c r="AM8" cm="1">
        <f t="array" ref="AM8:AM9">_xlfn.ANCHORARRAY(AK8)*(1-$O$59:$O$60)</f>
        <v>-2.3113465138950131E-4</v>
      </c>
      <c r="AN8" s="85" cm="1">
        <f t="array" ref="AN8:AN9">_xlfn.ANCHORARRAY(AM8)*(1-$R$59:$R$60*$R$59:$R$60)</f>
        <v>-3.9795312029872705E-5</v>
      </c>
      <c r="AO8" s="85" cm="1">
        <f t="array" ref="AO8:AO9">_xlfn.ANCHORARRAY(AK8)*(_xlfn.ANCHORARRAY(T53)-$R$59:$R$60)</f>
        <v>6.2011649599711196E-4</v>
      </c>
      <c r="AP8" s="85" cm="1">
        <f t="array" ref="AP8:AP9">_xlfn.ANCHORARRAY(AO8)*($O$59:$O$60*(1-$O$59:$O$60))</f>
        <v>8.4887679241149805E-5</v>
      </c>
      <c r="AQ8" s="85" cm="1">
        <f t="array" ref="AQ8:AQ9">MMULT(TRANSPOSE($P$23:$Q$24),_xlfn.ANCHORARRAY($AN$8))*_xlfn.ANCHORARRAY($T$53)</f>
        <v>-3.4070185739920485E-5</v>
      </c>
      <c r="AR8" s="85" cm="1">
        <f t="array" ref="AR8:AR9">_xlfn.ANCHORARRAY($AQ$8)*($L$59:$L$60*(1-$L$59:$L$60))</f>
        <v>-2.3147026388781518E-6</v>
      </c>
      <c r="AS8" s="85" cm="1">
        <f t="array" ref="AS8:AS9">_xlfn.ANCHORARRAY(AK8)*$O$59:$O$60+MMULT(TRANSPOSE($P$23:$Q$24),_xlfn.ANCHORARRAY(AN8))*$L$59:$L$60+MMULT(TRANSPOSE($P$18:$Q$19),_xlfn.ANCHORARRAY(AP8))+MMULT(TRANSPOSE($P$13:$Q$14),_xlfn.ANCHORARRAY(AR8))</f>
        <v>-2.8108228537107277E-3</v>
      </c>
      <c r="AT8" s="25"/>
      <c r="AU8" cm="1">
        <f t="array" ref="AU8:AV9">MMULT(_xlfn.ANCHORARRAY(AN8),TRANSPOSE($H$14:$H$15))</f>
        <v>-1.2153769741505058E-4</v>
      </c>
      <c r="AV8">
        <v>-5.009807347650241E-5</v>
      </c>
      <c r="AW8" s="83" cm="1">
        <f t="array" ref="AW8:AX9">MMULT(_xlfn.ANCHORARRAY(AN8),TRANSPOSE($L$59:$L$60*_xlfn.ANCHORARRAY($T$53)))</f>
        <v>-1.7358527243956582E-5</v>
      </c>
      <c r="AX8" s="87">
        <v>-3.5459522469303295E-5</v>
      </c>
      <c r="AY8" cm="1">
        <f t="array" ref="AY8:AY9">_xlfn.ANCHORARRAY(AN8)</f>
        <v>-3.9795312029872705E-5</v>
      </c>
      <c r="AZ8" s="84" cm="1">
        <f t="array" ref="AZ8:BA9">MMULT(_xlfn.ANCHORARRAY(AP8),TRANSPOSE(H14:H15))</f>
        <v>2.592529759819988E-4</v>
      </c>
      <c r="BA8">
        <v>1.0686457713110925E-4</v>
      </c>
      <c r="BB8" s="83" cm="1">
        <f t="array" ref="BB8:BC9">MMULT(_xlfn.ANCHORARRAY(AP8),TRANSPOSE(_xlfn.ANCHORARRAY($T$53)))</f>
        <v>3.9957022828628233E-5</v>
      </c>
      <c r="BC8" s="87">
        <v>8.2798546130498249E-5</v>
      </c>
      <c r="BD8" cm="1">
        <f t="array" ref="BD8:BD9">_xlfn.ANCHORARRAY(AP8)</f>
        <v>8.4887679241149805E-5</v>
      </c>
      <c r="BE8" s="84" cm="1">
        <f t="array" ref="BE8:BF9">MMULT(_xlfn.ANCHORARRAY(AR8),TRANSPOSE($H$14:$H$15))</f>
        <v>-7.0692655637079518E-6</v>
      </c>
      <c r="BF8">
        <v>-2.9139649110358442E-6</v>
      </c>
      <c r="BG8" s="83" cm="1">
        <f t="array" ref="BG8:BH9">MMULT(_xlfn.ANCHORARRAY(AR8),TRANSPOSE(_xlfn.ANCHORARRAY($T$53)))</f>
        <v>-1.0895412268298402E-6</v>
      </c>
      <c r="BH8" s="87">
        <v>-2.2577365164983009E-6</v>
      </c>
      <c r="BI8" cm="1">
        <f t="array" ref="BI8:BI9">_xlfn.ANCHORARRAY(AR8)</f>
        <v>-2.3147026388781518E-6</v>
      </c>
      <c r="BK8">
        <v>3</v>
      </c>
      <c r="BL8" s="51">
        <v>-3.196507745993166E-3</v>
      </c>
      <c r="BM8">
        <f>MATCH(MAX(FRONTEND!$M30:$Q30),FRONTEND!$M30:$Q30,0)</f>
        <v>3</v>
      </c>
      <c r="BN8">
        <f t="shared" si="2"/>
        <v>0</v>
      </c>
      <c r="BO8">
        <f t="shared" si="0"/>
        <v>0</v>
      </c>
      <c r="BP8">
        <f t="shared" si="0"/>
        <v>-3.196507745993166E-3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7">
        <v>0.3947945813296071</v>
      </c>
      <c r="BX8">
        <v>0.76298402984034686</v>
      </c>
      <c r="BY8">
        <v>-1.5092547447204521</v>
      </c>
      <c r="BZ8">
        <v>0.78695236170270555</v>
      </c>
      <c r="CA8" s="8">
        <v>-1.6514230540804744</v>
      </c>
      <c r="CB8">
        <v>0</v>
      </c>
      <c r="CC8">
        <v>0</v>
      </c>
      <c r="CD8">
        <v>0</v>
      </c>
    </row>
    <row r="9" spans="2:82" ht="15.75" thickBot="1" x14ac:dyDescent="0.3">
      <c r="B9" s="9">
        <v>6</v>
      </c>
      <c r="C9" s="52">
        <v>3.0540707238032767</v>
      </c>
      <c r="D9" s="54">
        <v>1.2588938475691771</v>
      </c>
      <c r="V9">
        <v>3</v>
      </c>
      <c r="W9" s="51">
        <f t="shared" si="1"/>
        <v>0.91793145379932639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-1.613364783939503E-2</v>
      </c>
      <c r="AF9">
        <v>1.720054056782759E-3</v>
      </c>
      <c r="AG9" s="8">
        <v>-4.7894460900217338E-2</v>
      </c>
      <c r="AJ9">
        <v>2</v>
      </c>
      <c r="AK9" s="71">
        <v>0.3180273290716179</v>
      </c>
      <c r="AL9" s="25"/>
      <c r="AM9">
        <v>0.20480725277953932</v>
      </c>
      <c r="AN9" s="85">
        <v>9.0017344798799947E-5</v>
      </c>
      <c r="AO9" s="85">
        <v>-7.7569321423110495E-3</v>
      </c>
      <c r="AP9" s="85">
        <v>-1.7784017778548749E-3</v>
      </c>
      <c r="AQ9" s="85">
        <v>4.9468951206888654E-5</v>
      </c>
      <c r="AR9" s="85">
        <v>3.9076889111879151E-6</v>
      </c>
      <c r="AS9" s="85">
        <v>0.1136012263119789</v>
      </c>
      <c r="AT9" s="25"/>
      <c r="AU9">
        <v>2.749193373845201E-4</v>
      </c>
      <c r="AV9">
        <v>1.1332228154172252E-4</v>
      </c>
      <c r="AW9" s="83">
        <v>3.9265140852411112E-5</v>
      </c>
      <c r="AX9" s="87">
        <v>8.0209750789841434E-5</v>
      </c>
      <c r="AY9">
        <v>9.0017344798799947E-5</v>
      </c>
      <c r="AZ9" s="84">
        <v>-5.431364804906272E-3</v>
      </c>
      <c r="BA9">
        <v>-2.2388190566475885E-3</v>
      </c>
      <c r="BB9" s="83">
        <v>-8.3710193365462728E-4</v>
      </c>
      <c r="BC9" s="87">
        <v>-1.7346343186502983E-3</v>
      </c>
      <c r="BD9">
        <v>-1.7784017778548749E-3</v>
      </c>
      <c r="BE9" s="84">
        <v>1.1934358301389714E-5</v>
      </c>
      <c r="BF9">
        <v>4.9193655285087629E-6</v>
      </c>
      <c r="BG9" s="83">
        <v>1.8393672253419706E-6</v>
      </c>
      <c r="BH9" s="87">
        <v>3.8115185085633231E-6</v>
      </c>
      <c r="BI9">
        <v>3.9076889111879151E-6</v>
      </c>
      <c r="BK9">
        <v>4</v>
      </c>
      <c r="BL9" s="51">
        <v>1.0754901329510518E-3</v>
      </c>
      <c r="BM9">
        <f>MATCH(MAX(FRONTEND!$M31:$Q31),FRONTEND!$M31:$Q31,0)</f>
        <v>4</v>
      </c>
      <c r="BN9">
        <f t="shared" si="2"/>
        <v>0</v>
      </c>
      <c r="BO9">
        <f t="shared" si="0"/>
        <v>0</v>
      </c>
      <c r="BP9">
        <f t="shared" si="0"/>
        <v>0</v>
      </c>
      <c r="BQ9">
        <f t="shared" si="0"/>
        <v>1.0754901329510518E-3</v>
      </c>
      <c r="BR9">
        <f t="shared" si="0"/>
        <v>0</v>
      </c>
      <c r="BT9">
        <v>0</v>
      </c>
      <c r="BU9">
        <v>0</v>
      </c>
      <c r="BV9">
        <v>0</v>
      </c>
      <c r="BW9" s="7">
        <v>1.2610501600821225</v>
      </c>
      <c r="BX9">
        <v>1.0201001967063095</v>
      </c>
      <c r="BY9">
        <v>0.20946802791688546</v>
      </c>
      <c r="BZ9">
        <v>-1.5474479187727208</v>
      </c>
      <c r="CA9" s="8">
        <v>-0.51000095484744268</v>
      </c>
      <c r="CB9">
        <v>0</v>
      </c>
      <c r="CC9">
        <v>0</v>
      </c>
      <c r="CD9">
        <v>0</v>
      </c>
    </row>
    <row r="10" spans="2:82" ht="15.75" thickBot="1" x14ac:dyDescent="0.3">
      <c r="B10" t="s">
        <v>226</v>
      </c>
      <c r="K10" t="s">
        <v>233</v>
      </c>
      <c r="O10" t="s">
        <v>234</v>
      </c>
      <c r="S10" t="s">
        <v>237</v>
      </c>
      <c r="V10">
        <v>4</v>
      </c>
      <c r="W10" s="51">
        <f t="shared" si="1"/>
        <v>0.94437948578866504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-7.5724056794579907E-3</v>
      </c>
      <c r="AF10">
        <v>-1.1136247418914017E-3</v>
      </c>
      <c r="AG10" s="8">
        <v>7.3622890309424996E-2</v>
      </c>
      <c r="AK10" s="25"/>
      <c r="AL10" s="25"/>
      <c r="AN10" s="85"/>
      <c r="AO10" s="85"/>
      <c r="AP10" s="85"/>
      <c r="AQ10" s="85"/>
      <c r="AR10" s="85"/>
      <c r="AS10" s="85"/>
      <c r="AT10" s="25"/>
      <c r="AW10" s="83"/>
      <c r="AX10" s="87"/>
      <c r="AZ10" s="84"/>
      <c r="BB10" s="83"/>
      <c r="BC10" s="87"/>
      <c r="BE10" s="84"/>
      <c r="BG10" s="83"/>
      <c r="BH10" s="87"/>
      <c r="BK10">
        <v>5</v>
      </c>
      <c r="BL10" s="51">
        <v>2.0588790171859967E-4</v>
      </c>
      <c r="BM10">
        <f>MATCH(MAX(FRONTEND!$M32:$Q32),FRONTEND!$M32:$Q32,0)</f>
        <v>1</v>
      </c>
      <c r="BN10">
        <f t="shared" si="2"/>
        <v>2.0588790171859967E-4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7">
        <v>-1.914822845899089</v>
      </c>
      <c r="BX10">
        <v>-0.96507706088431011</v>
      </c>
      <c r="BY10">
        <v>-0.73600695036684105</v>
      </c>
      <c r="BZ10">
        <v>-1.2146668976505628</v>
      </c>
      <c r="CA10" s="8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4"/>
      <c r="L11" s="5" t="s">
        <v>93</v>
      </c>
      <c r="M11" s="6"/>
      <c r="O11" s="4"/>
      <c r="P11" s="5" t="s">
        <v>94</v>
      </c>
      <c r="Q11" s="6"/>
      <c r="S11" s="4"/>
      <c r="T11" s="6" t="s">
        <v>119</v>
      </c>
      <c r="V11">
        <v>5</v>
      </c>
      <c r="W11" s="51">
        <f t="shared" si="1"/>
        <v>0.97538944250417403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-1.5014701295695054E-2</v>
      </c>
      <c r="AF11">
        <v>-1.0199038477718282E-3</v>
      </c>
      <c r="AG11" s="8">
        <v>6.8477204427583468E-2</v>
      </c>
      <c r="AK11" s="43" t="s">
        <v>108</v>
      </c>
      <c r="AL11" s="25"/>
      <c r="AN11" s="85"/>
      <c r="AO11" s="85"/>
      <c r="AP11" s="85"/>
      <c r="AQ11" s="85"/>
      <c r="AR11" s="85"/>
      <c r="AS11" s="85"/>
      <c r="AT11" s="25"/>
      <c r="AU11" s="42" t="s">
        <v>108</v>
      </c>
      <c r="AW11" s="83"/>
      <c r="AX11" s="87"/>
      <c r="AZ11" s="84"/>
      <c r="BB11" s="83"/>
      <c r="BC11" s="87"/>
      <c r="BE11" s="84"/>
      <c r="BG11" s="83"/>
      <c r="BH11" s="87"/>
      <c r="BK11">
        <v>6</v>
      </c>
      <c r="BL11" s="51">
        <v>5.1198187927677975E-4</v>
      </c>
      <c r="BM11">
        <f>MATCH(MAX(FRONTEND!$M33:$Q33),FRONTEND!$M33:$Q33,0)</f>
        <v>5</v>
      </c>
      <c r="BN11">
        <f t="shared" si="2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5.1198187927677975E-4</v>
      </c>
      <c r="BT11">
        <v>0</v>
      </c>
      <c r="BU11">
        <v>0</v>
      </c>
      <c r="BV11">
        <v>0</v>
      </c>
      <c r="BW11" s="7">
        <v>0.61185767787065537</v>
      </c>
      <c r="BX11">
        <v>-1.6862564508613829</v>
      </c>
      <c r="BY11">
        <v>-0.39331255882270999</v>
      </c>
      <c r="BZ11">
        <v>1.027314449369916</v>
      </c>
      <c r="CA11" s="8">
        <v>1.3115002107703582</v>
      </c>
      <c r="CB11">
        <v>0</v>
      </c>
      <c r="CC11">
        <v>0</v>
      </c>
      <c r="CD11">
        <v>0</v>
      </c>
    </row>
    <row r="12" spans="2:82" ht="15.75" thickBot="1" x14ac:dyDescent="0.3">
      <c r="C12" t="s">
        <v>58</v>
      </c>
      <c r="K12" s="7"/>
      <c r="L12">
        <v>1</v>
      </c>
      <c r="M12" s="8">
        <v>2</v>
      </c>
      <c r="O12" s="7"/>
      <c r="P12">
        <v>1</v>
      </c>
      <c r="Q12" s="8">
        <v>2</v>
      </c>
      <c r="S12" s="7"/>
      <c r="T12" s="8">
        <v>1</v>
      </c>
      <c r="V12">
        <v>6</v>
      </c>
      <c r="W12" s="51">
        <f t="shared" si="1"/>
        <v>0.99109691980057746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1.4884591232474126E-2</v>
      </c>
      <c r="AF12">
        <v>4.9175904443917338E-3</v>
      </c>
      <c r="AG12" s="8">
        <v>0.29963724711954154</v>
      </c>
      <c r="AK12" s="25" t="s">
        <v>106</v>
      </c>
      <c r="AL12" s="25"/>
      <c r="AM12" t="s">
        <v>113</v>
      </c>
      <c r="AN12" s="85" t="s">
        <v>114</v>
      </c>
      <c r="AO12" s="85" t="s">
        <v>115</v>
      </c>
      <c r="AP12" s="85" t="s">
        <v>116</v>
      </c>
      <c r="AQ12" s="85" t="s">
        <v>117</v>
      </c>
      <c r="AR12" s="85" t="s">
        <v>118</v>
      </c>
      <c r="AS12" s="85" t="s">
        <v>123</v>
      </c>
      <c r="AT12" s="25"/>
      <c r="AU12" t="s">
        <v>124</v>
      </c>
      <c r="AW12" s="83" t="s">
        <v>125</v>
      </c>
      <c r="AX12" s="87"/>
      <c r="AY12" t="s">
        <v>126</v>
      </c>
      <c r="AZ12" s="84" t="s">
        <v>131</v>
      </c>
      <c r="BB12" s="83" t="s">
        <v>129</v>
      </c>
      <c r="BC12" s="87"/>
      <c r="BD12" t="s">
        <v>127</v>
      </c>
      <c r="BE12" s="84" t="s">
        <v>132</v>
      </c>
      <c r="BG12" s="83" t="s">
        <v>130</v>
      </c>
      <c r="BH12" s="87"/>
      <c r="BI12" t="s">
        <v>128</v>
      </c>
      <c r="BT12">
        <v>0</v>
      </c>
      <c r="BU12">
        <v>0</v>
      </c>
      <c r="BV12">
        <v>0</v>
      </c>
      <c r="BW12" s="9">
        <v>-0.45094970136476858</v>
      </c>
      <c r="BX12" s="14">
        <v>9.8350911682930572E-2</v>
      </c>
      <c r="BY12" s="14">
        <v>1.3402386975402607</v>
      </c>
      <c r="BZ12" s="14">
        <v>0.52920667781247754</v>
      </c>
      <c r="CA12" s="11">
        <v>0.78585618911594302</v>
      </c>
      <c r="CB12">
        <v>0</v>
      </c>
      <c r="CC12">
        <v>0</v>
      </c>
      <c r="CD12">
        <v>0</v>
      </c>
    </row>
    <row r="13" spans="2:82" x14ac:dyDescent="0.25">
      <c r="C13" s="13" t="s">
        <v>105</v>
      </c>
      <c r="D13">
        <v>2</v>
      </c>
      <c r="E13">
        <v>3</v>
      </c>
      <c r="F13">
        <v>4</v>
      </c>
      <c r="G13">
        <v>5</v>
      </c>
      <c r="H13">
        <v>6</v>
      </c>
      <c r="K13" s="7">
        <v>1</v>
      </c>
      <c r="L13">
        <v>0.878</v>
      </c>
      <c r="M13" s="8">
        <v>-0.13900000000000001</v>
      </c>
      <c r="O13" s="7">
        <v>1</v>
      </c>
      <c r="P13">
        <v>-0.253</v>
      </c>
      <c r="Q13" s="8">
        <v>-0.872</v>
      </c>
      <c r="S13" s="7">
        <v>1</v>
      </c>
      <c r="T13" s="8">
        <v>1</v>
      </c>
      <c r="V13">
        <v>7</v>
      </c>
      <c r="W13" s="55">
        <f t="shared" si="1"/>
        <v>0.3013029302373742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-5.4646226552789619E-3</v>
      </c>
      <c r="AF13">
        <v>-4.7577136250112851E-3</v>
      </c>
      <c r="AG13" s="8">
        <v>9.9747141709543546E-2</v>
      </c>
      <c r="AK13" s="25">
        <v>1</v>
      </c>
      <c r="AL13" s="25"/>
      <c r="AM13">
        <v>1</v>
      </c>
      <c r="AN13" s="85">
        <v>1</v>
      </c>
      <c r="AO13" s="85">
        <v>1</v>
      </c>
      <c r="AP13" s="85">
        <v>1</v>
      </c>
      <c r="AQ13" s="85">
        <v>1</v>
      </c>
      <c r="AR13" s="85">
        <v>1</v>
      </c>
      <c r="AS13" s="85">
        <v>1</v>
      </c>
      <c r="AT13" s="25"/>
      <c r="AU13">
        <v>1</v>
      </c>
      <c r="AV13">
        <v>2</v>
      </c>
      <c r="AW13" s="83">
        <v>1</v>
      </c>
      <c r="AX13" s="87">
        <v>2</v>
      </c>
      <c r="AY13">
        <v>1</v>
      </c>
      <c r="AZ13" s="84">
        <v>1</v>
      </c>
      <c r="BA13">
        <v>2</v>
      </c>
      <c r="BB13" s="83">
        <v>1</v>
      </c>
      <c r="BC13" s="87">
        <v>2</v>
      </c>
      <c r="BD13">
        <v>1</v>
      </c>
      <c r="BE13" s="84">
        <v>1</v>
      </c>
      <c r="BF13">
        <v>2</v>
      </c>
      <c r="BG13" s="83">
        <v>1</v>
      </c>
      <c r="BH13" s="87">
        <v>2</v>
      </c>
      <c r="BI13">
        <v>1</v>
      </c>
      <c r="BL13" t="s">
        <v>89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.75" thickBot="1" x14ac:dyDescent="0.3">
      <c r="B14">
        <v>1</v>
      </c>
      <c r="C14" s="51" cm="1">
        <f t="array" ref="C14:H15">TRANSPOSE(_xlfn.ANCHORARRAY(C4))</f>
        <v>4.0296676785617889</v>
      </c>
      <c r="D14" s="51">
        <v>3.1757752467270279</v>
      </c>
      <c r="E14" s="51">
        <v>3.3789276309323317</v>
      </c>
      <c r="F14" s="51">
        <v>1.5094131886761968</v>
      </c>
      <c r="G14" s="51">
        <v>4.5198656803290973</v>
      </c>
      <c r="H14" s="51">
        <v>3.0540707238032767</v>
      </c>
      <c r="K14" s="9">
        <v>2</v>
      </c>
      <c r="L14" s="14">
        <v>-1.2999999999999999E-2</v>
      </c>
      <c r="M14" s="11">
        <v>0.997</v>
      </c>
      <c r="O14" s="9">
        <v>2</v>
      </c>
      <c r="P14" s="14">
        <v>-0.21199999999999999</v>
      </c>
      <c r="Q14" s="11">
        <v>0.248</v>
      </c>
      <c r="S14" s="9">
        <v>2</v>
      </c>
      <c r="T14" s="11">
        <v>1</v>
      </c>
      <c r="V14">
        <v>8</v>
      </c>
      <c r="W14" s="55">
        <f t="shared" si="1"/>
        <v>0.53346891374762251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1.428608494165786E-2</v>
      </c>
      <c r="AF14">
        <v>1.0199038477718282E-3</v>
      </c>
      <c r="AG14" s="8">
        <v>-0.20107757138273066</v>
      </c>
      <c r="AJ14">
        <v>1</v>
      </c>
      <c r="AK14" s="70" cm="1">
        <f t="array" ref="AK14:AK15">AF79:AF80+_xlfn.ANCHORARRAY(AS8)</f>
        <v>4.7702118371369421E-4</v>
      </c>
      <c r="AL14" s="25"/>
      <c r="AM14" cm="1">
        <f t="array" ref="AM14:AM15">_xlfn.ANCHORARRAY(AK14)*(1-$O$53:$O$54)</f>
        <v>1.1832771859769751E-4</v>
      </c>
      <c r="AN14" s="85" cm="1">
        <f t="array" ref="AN14:AN15">_xlfn.ANCHORARRAY(AM14)*(1-$R$53:$R$54*$R$53:$R$54)</f>
        <v>1.1575685065873315E-4</v>
      </c>
      <c r="AO14" s="85" cm="1">
        <f t="array" ref="AO14:AO15">_xlfn.ANCHORARRAY(AK14)*(_xlfn.ANCHORARRAY(T53)-$R$53:$R$54)</f>
        <v>1.5422328950255977E-4</v>
      </c>
      <c r="AP14" s="85" cm="1">
        <f t="array" ref="AP14:AP15">_xlfn.ANCHORARRAY(AO14)*($O$53:$O$54*(1-$O$53:$O$54))</f>
        <v>2.8766338487590423E-5</v>
      </c>
      <c r="AQ14" s="85" cm="1">
        <f t="array" ref="AQ14:AQ15">MMULT(TRANSPOSE($P$23:$Q$24),_xlfn.ANCHORARRAY(AN14))*_xlfn.ANCHORARRAY(T47)</f>
        <v>3.8082090083221792E-5</v>
      </c>
      <c r="AR14" s="85" cm="1">
        <f t="array" ref="AR14:AR15">_xlfn.ANCHORARRAY(AQ14)*($L$53:$L$54*(1-$L$53:$L$54))</f>
        <v>7.2353147058706737E-7</v>
      </c>
      <c r="AS14" s="85" cm="1">
        <f t="array" ref="AS14:AS15">_xlfn.ANCHORARRAY(AK14)*$O$53:$O$54+MMULT(TRANSPOSE($P$23:$Q$24),_xlfn.ANCHORARRAY(AN14))*$L$53:$L$54+MMULT(TRANSPOSE($P$18:$Q$19),_xlfn.ANCHORARRAY(AP14))+MMULT(TRANSPOSE($P$13:$Q$14),_xlfn.ANCHORARRAY(AR14))</f>
        <v>-4.777639803162665E-4</v>
      </c>
      <c r="AT14" s="25"/>
      <c r="AU14" cm="1">
        <f t="array" ref="AU14:AV15">MMULT(_xlfn.ANCHORARRAY(AN14),TRANSPOSE($G$14:$G$15))</f>
        <v>5.232054165553886E-4</v>
      </c>
      <c r="AV14">
        <v>6.2163738364749327E-5</v>
      </c>
      <c r="AW14" s="83" cm="1">
        <f t="array" ref="AW14:AX15">MMULT(_xlfn.ANCHORARRAY(AN14),TRANSPOSE($L$53:$L$54*_xlfn.ANCHORARRAY(T47)))</f>
        <v>6.5538295566505768E-5</v>
      </c>
      <c r="AX14" s="87">
        <v>9.0777872571756767E-5</v>
      </c>
      <c r="AY14" cm="1">
        <f t="array" ref="AY14:AY15">_xlfn.ANCHORARRAY(AN14)</f>
        <v>1.1575685065873315E-4</v>
      </c>
      <c r="AZ14" s="84" cm="1">
        <f t="array" ref="AZ14:BA15">MMULT(_xlfn.ANCHORARRAY(AP14),TRANSPOSE($G$14:$G$15))</f>
        <v>1.3001998607878998E-4</v>
      </c>
      <c r="BA14">
        <v>1.5448097708932266E-5</v>
      </c>
      <c r="BB14" s="83" cm="1">
        <f t="array" ref="BB14:BC15">MMULT(_xlfn.ANCHORARRAY(AP14),TRANSPOSE(_xlfn.ANCHORARRAY(T47)))</f>
        <v>1.6608480609180702E-5</v>
      </c>
      <c r="BC14" s="87">
        <v>2.7166339948933329E-5</v>
      </c>
      <c r="BD14" cm="1">
        <f t="array" ref="BD14:BD15">_xlfn.ANCHORARRAY(AP14)</f>
        <v>2.8766338487590423E-5</v>
      </c>
      <c r="BE14" s="84" cm="1">
        <f t="array" ref="BE14:BF15">MMULT(_xlfn.ANCHORARRAY(AR14),TRANSPOSE($G$14:$G$15))</f>
        <v>3.2702650625445274E-6</v>
      </c>
      <c r="BF14">
        <v>3.8855083548218069E-7</v>
      </c>
      <c r="BG14" s="83" cm="1">
        <f t="array" ref="BG14:BH15">MMULT(_xlfn.ANCHORARRAY(AR14),TRANSPOSE(_xlfn.ANCHORARRAY(T47)))</f>
        <v>4.1773680736466493E-7</v>
      </c>
      <c r="BH14" s="87">
        <v>6.8328827814493128E-7</v>
      </c>
      <c r="BI14" cm="1">
        <f t="array" ref="BI14:BI15">_xlfn.ANCHORARRAY(AR14)</f>
        <v>7.2353147058706737E-7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.75" thickBot="1" x14ac:dyDescent="0.3">
      <c r="B15">
        <v>2</v>
      </c>
      <c r="C15" s="55">
        <v>1.426184227044502</v>
      </c>
      <c r="D15" s="55">
        <v>0.83446165212430812</v>
      </c>
      <c r="E15" s="55">
        <v>1.8393159934697598</v>
      </c>
      <c r="F15" s="55">
        <v>0.40501335750777256</v>
      </c>
      <c r="G15" s="55">
        <v>0.53701995183003415</v>
      </c>
      <c r="H15" s="55">
        <v>1.2588938475691771</v>
      </c>
      <c r="V15">
        <v>9</v>
      </c>
      <c r="W15" s="55">
        <f t="shared" si="1"/>
        <v>0.71864642940231738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2.576179251774368E-2</v>
      </c>
      <c r="AF15">
        <v>-5.2208051018374129E-3</v>
      </c>
      <c r="AG15" s="8">
        <v>-0.35821890177435284</v>
      </c>
      <c r="AJ15">
        <v>2</v>
      </c>
      <c r="AK15" s="71">
        <v>0.16933166963351992</v>
      </c>
      <c r="AL15" s="25"/>
      <c r="AM15">
        <v>9.4616790342762838E-2</v>
      </c>
      <c r="AN15" s="85">
        <v>2.3332133399675298E-5</v>
      </c>
      <c r="AO15" s="85">
        <v>-4.1464672377211839E-3</v>
      </c>
      <c r="AP15" s="85">
        <v>-1.0222971915964977E-3</v>
      </c>
      <c r="AQ15" s="85">
        <v>1.0063757060511586E-4</v>
      </c>
      <c r="AR15" s="85">
        <v>1.4173451445842819E-5</v>
      </c>
      <c r="AS15" s="85">
        <v>7.4977033991124556E-2</v>
      </c>
      <c r="AT15" s="25"/>
      <c r="AU15">
        <v>1.0545810900205264E-4</v>
      </c>
      <c r="AV15">
        <v>1.252982115438556E-5</v>
      </c>
      <c r="AW15" s="83">
        <v>1.3210002226591294E-5</v>
      </c>
      <c r="AX15" s="87">
        <v>1.829733117763567E-5</v>
      </c>
      <c r="AY15">
        <v>2.3332133399675298E-5</v>
      </c>
      <c r="AZ15" s="84">
        <v>-4.6206459913938295E-3</v>
      </c>
      <c r="BA15">
        <v>-5.4899398858713035E-4</v>
      </c>
      <c r="BB15" s="83">
        <v>-5.9023163795332686E-4</v>
      </c>
      <c r="BC15" s="87">
        <v>-9.6543649612309689E-4</v>
      </c>
      <c r="BD15">
        <v>-1.0222971915964977E-3</v>
      </c>
      <c r="BE15" s="84">
        <v>6.4062096761875785E-5</v>
      </c>
      <c r="BF15">
        <v>7.6114262127118383E-6</v>
      </c>
      <c r="BG15" s="83">
        <v>8.1831580200933189E-6</v>
      </c>
      <c r="BH15" s="87">
        <v>1.3385116788275653E-5</v>
      </c>
      <c r="BI15">
        <v>1.4173451445842819E-5</v>
      </c>
      <c r="BK15">
        <v>1</v>
      </c>
      <c r="BL15">
        <f>BN6*IF(BN6&gt;0,1,0)</f>
        <v>0</v>
      </c>
      <c r="BM15">
        <f t="shared" ref="BM15:BP20" si="3">BO6*IF(BO6&gt;0,1,0)</f>
        <v>0</v>
      </c>
      <c r="BN15">
        <f t="shared" si="3"/>
        <v>0</v>
      </c>
      <c r="BO15">
        <f t="shared" si="3"/>
        <v>0.18751422972621923</v>
      </c>
      <c r="BP15">
        <f t="shared" si="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4"/>
      <c r="L16" s="5" t="s">
        <v>95</v>
      </c>
      <c r="M16" s="6"/>
      <c r="O16" s="4"/>
      <c r="P16" s="5" t="s">
        <v>97</v>
      </c>
      <c r="Q16" s="6"/>
      <c r="S16" s="4"/>
      <c r="T16" s="6" t="s">
        <v>120</v>
      </c>
      <c r="V16">
        <v>10</v>
      </c>
      <c r="W16" s="55">
        <f t="shared" si="1"/>
        <v>0.76086882897867159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1.2204323930123015E-2</v>
      </c>
      <c r="AF16">
        <v>2.0122427266849583E-3</v>
      </c>
      <c r="AG16" s="8">
        <v>-8.1935152118553622E-2</v>
      </c>
      <c r="AK16" s="25"/>
      <c r="AL16" s="25"/>
      <c r="AN16" s="85"/>
      <c r="AO16" s="85"/>
      <c r="AP16" s="85"/>
      <c r="AQ16" s="85"/>
      <c r="AR16" s="85"/>
      <c r="AS16" s="85"/>
      <c r="AT16" s="25"/>
      <c r="AW16" s="83"/>
      <c r="AX16" s="87"/>
      <c r="AZ16" s="84"/>
      <c r="BB16" s="83"/>
      <c r="BC16" s="87"/>
      <c r="BE16" s="84"/>
      <c r="BG16" s="83"/>
      <c r="BH16" s="87"/>
      <c r="BK16">
        <v>2</v>
      </c>
      <c r="BL16">
        <f t="shared" ref="BL16:BL20" si="4">BN7*IF(BN7&gt;0,1,0)</f>
        <v>0</v>
      </c>
      <c r="BM16">
        <f t="shared" si="3"/>
        <v>4.2883302141116221E-2</v>
      </c>
      <c r="BN16">
        <f t="shared" si="3"/>
        <v>0</v>
      </c>
      <c r="BO16">
        <f t="shared" si="3"/>
        <v>0</v>
      </c>
      <c r="BP16">
        <f t="shared" si="3"/>
        <v>0</v>
      </c>
    </row>
    <row r="17" spans="10:74" ht="21" x14ac:dyDescent="0.35">
      <c r="K17" s="7"/>
      <c r="L17">
        <v>1</v>
      </c>
      <c r="M17" s="8">
        <v>2</v>
      </c>
      <c r="O17" s="7"/>
      <c r="P17">
        <v>1</v>
      </c>
      <c r="Q17" s="8">
        <v>2</v>
      </c>
      <c r="S17" s="7"/>
      <c r="T17" s="8">
        <v>1</v>
      </c>
      <c r="V17">
        <v>11</v>
      </c>
      <c r="W17" s="55">
        <f t="shared" si="1"/>
        <v>0.72304703142137494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6.2713050472487141E-3</v>
      </c>
      <c r="AF17">
        <v>2.6793149730654515E-3</v>
      </c>
      <c r="AG17" s="8">
        <v>-2.3749319454653226E-3</v>
      </c>
      <c r="AK17" s="43" t="s">
        <v>110</v>
      </c>
      <c r="AL17" s="25"/>
      <c r="AN17" s="85"/>
      <c r="AO17" s="85"/>
      <c r="AP17" s="85"/>
      <c r="AQ17" s="85"/>
      <c r="AR17" s="85"/>
      <c r="AS17" s="85"/>
      <c r="AT17" s="25"/>
      <c r="AU17" s="42" t="s">
        <v>110</v>
      </c>
      <c r="AW17" s="83"/>
      <c r="AX17" s="87"/>
      <c r="AZ17" s="84"/>
      <c r="BB17" s="83"/>
      <c r="BC17" s="87"/>
      <c r="BE17" s="84"/>
      <c r="BG17" s="83"/>
      <c r="BH17" s="87"/>
      <c r="BK17">
        <v>3</v>
      </c>
      <c r="BL17">
        <f t="shared" si="4"/>
        <v>0</v>
      </c>
      <c r="BM17">
        <f t="shared" si="3"/>
        <v>0</v>
      </c>
      <c r="BN17">
        <f t="shared" si="3"/>
        <v>0</v>
      </c>
      <c r="BO17">
        <f t="shared" si="3"/>
        <v>0</v>
      </c>
      <c r="BP17">
        <f t="shared" si="3"/>
        <v>0</v>
      </c>
    </row>
    <row r="18" spans="10:74" ht="15.75" thickBot="1" x14ac:dyDescent="0.3">
      <c r="K18" s="7">
        <v>1</v>
      </c>
      <c r="L18">
        <v>-0.21199999999999999</v>
      </c>
      <c r="M18" s="8">
        <v>0.248</v>
      </c>
      <c r="O18" s="7">
        <v>1</v>
      </c>
      <c r="P18">
        <v>-1.2999999999999999E-2</v>
      </c>
      <c r="Q18" s="8">
        <v>0.997</v>
      </c>
      <c r="S18" s="7">
        <v>1</v>
      </c>
      <c r="T18" s="8">
        <v>1</v>
      </c>
      <c r="V18">
        <v>12</v>
      </c>
      <c r="W18" s="55">
        <f t="shared" si="1"/>
        <v>0.76684073186571911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-4.3456761115789845E-3</v>
      </c>
      <c r="AF18" s="14">
        <v>-2.4367432471089088E-3</v>
      </c>
      <c r="AG18" s="11">
        <v>3.9582199091088713E-3</v>
      </c>
      <c r="AK18" s="25" t="s">
        <v>106</v>
      </c>
      <c r="AL18" s="25"/>
      <c r="AM18" t="s">
        <v>113</v>
      </c>
      <c r="AN18" s="85" t="s">
        <v>114</v>
      </c>
      <c r="AO18" s="85" t="s">
        <v>115</v>
      </c>
      <c r="AP18" s="85" t="s">
        <v>116</v>
      </c>
      <c r="AQ18" s="85" t="s">
        <v>117</v>
      </c>
      <c r="AR18" s="85" t="s">
        <v>118</v>
      </c>
      <c r="AS18" s="85" t="s">
        <v>123</v>
      </c>
      <c r="AT18" s="25"/>
      <c r="AU18" t="s">
        <v>124</v>
      </c>
      <c r="AW18" s="83" t="s">
        <v>125</v>
      </c>
      <c r="AX18" s="87"/>
      <c r="AY18" t="s">
        <v>126</v>
      </c>
      <c r="AZ18" s="84" t="s">
        <v>131</v>
      </c>
      <c r="BB18" s="83" t="s">
        <v>129</v>
      </c>
      <c r="BC18" s="87"/>
      <c r="BD18" t="s">
        <v>127</v>
      </c>
      <c r="BE18" s="84" t="s">
        <v>132</v>
      </c>
      <c r="BG18" s="83" t="s">
        <v>130</v>
      </c>
      <c r="BH18" s="87"/>
      <c r="BI18" t="s">
        <v>128</v>
      </c>
      <c r="BK18">
        <v>4</v>
      </c>
      <c r="BL18">
        <f t="shared" si="4"/>
        <v>0</v>
      </c>
      <c r="BM18">
        <f t="shared" si="3"/>
        <v>0</v>
      </c>
      <c r="BN18">
        <f t="shared" si="3"/>
        <v>0</v>
      </c>
      <c r="BO18">
        <f t="shared" si="3"/>
        <v>1.0754901329510518E-3</v>
      </c>
      <c r="BP18">
        <f t="shared" si="3"/>
        <v>0</v>
      </c>
    </row>
    <row r="19" spans="10:74" ht="15.75" thickBot="1" x14ac:dyDescent="0.3">
      <c r="K19" s="9">
        <v>2</v>
      </c>
      <c r="L19" s="14">
        <v>-0.253</v>
      </c>
      <c r="M19" s="11">
        <v>-0.872</v>
      </c>
      <c r="O19" s="9">
        <v>2</v>
      </c>
      <c r="P19" s="14">
        <v>0.878</v>
      </c>
      <c r="Q19" s="11">
        <v>-0.13900000000000001</v>
      </c>
      <c r="S19" s="9">
        <v>2</v>
      </c>
      <c r="T19" s="11">
        <v>1</v>
      </c>
      <c r="AK19" s="25">
        <v>1</v>
      </c>
      <c r="AL19" s="25"/>
      <c r="AM19">
        <v>1</v>
      </c>
      <c r="AN19" s="85">
        <v>1</v>
      </c>
      <c r="AO19" s="85">
        <v>1</v>
      </c>
      <c r="AP19" s="85">
        <v>1</v>
      </c>
      <c r="AQ19" s="85">
        <v>1</v>
      </c>
      <c r="AR19" s="85">
        <v>1</v>
      </c>
      <c r="AS19" s="85">
        <v>1</v>
      </c>
      <c r="AT19" s="25"/>
      <c r="AU19">
        <v>1</v>
      </c>
      <c r="AV19">
        <v>2</v>
      </c>
      <c r="AW19" s="83">
        <v>1</v>
      </c>
      <c r="AX19" s="87">
        <v>2</v>
      </c>
      <c r="AY19">
        <v>1</v>
      </c>
      <c r="AZ19" s="84">
        <v>1</v>
      </c>
      <c r="BA19">
        <v>2</v>
      </c>
      <c r="BB19" s="83">
        <v>1</v>
      </c>
      <c r="BC19" s="87">
        <v>2</v>
      </c>
      <c r="BD19">
        <v>1</v>
      </c>
      <c r="BE19" s="84">
        <v>1</v>
      </c>
      <c r="BF19">
        <v>2</v>
      </c>
      <c r="BG19" s="83">
        <v>1</v>
      </c>
      <c r="BH19" s="87">
        <v>2</v>
      </c>
      <c r="BI19">
        <v>1</v>
      </c>
      <c r="BK19">
        <v>5</v>
      </c>
      <c r="BL19">
        <f t="shared" si="4"/>
        <v>2.0588790171859967E-4</v>
      </c>
      <c r="BM19">
        <f t="shared" si="3"/>
        <v>0</v>
      </c>
      <c r="BN19">
        <f t="shared" si="3"/>
        <v>0</v>
      </c>
      <c r="BO19">
        <f t="shared" si="3"/>
        <v>0</v>
      </c>
      <c r="BP19">
        <f t="shared" si="3"/>
        <v>0</v>
      </c>
    </row>
    <row r="20" spans="10:74" ht="15.75" thickBot="1" x14ac:dyDescent="0.3">
      <c r="W20" t="s">
        <v>68</v>
      </c>
      <c r="Y20" s="4"/>
      <c r="Z20" s="39" t="s">
        <v>52</v>
      </c>
      <c r="AD20" s="4"/>
      <c r="AE20" s="39" t="s">
        <v>52</v>
      </c>
      <c r="AJ20">
        <v>1</v>
      </c>
      <c r="AK20" s="70" cm="1">
        <f t="array" ref="AK20:AK21">AG79:AG80+_xlfn.ANCHORARRAY(AS14)</f>
        <v>-3.4337056711189091E-2</v>
      </c>
      <c r="AL20" s="25"/>
      <c r="AM20" cm="1">
        <f t="array" ref="AM20:AM21">_xlfn.ANCHORARRAY(AK20)*(1-$O$47:$O$48)</f>
        <v>-5.3539719132453178E-3</v>
      </c>
      <c r="AN20" s="85" cm="1">
        <f t="array" ref="AN20:AN21">_xlfn.ANCHORARRAY(AM20)*(1-$R$47:$R$48*$R$47:$R$48)</f>
        <v>-1.1005330914292486E-3</v>
      </c>
      <c r="AO20" s="85" cm="1">
        <f t="array" ref="AO20:AO21">_xlfn.ANCHORARRAY(AK20)*(_xlfn.ANCHORARRAY(T41)-$R$47:$R$48)</f>
        <v>1.2771850576267228E-2</v>
      </c>
      <c r="AP20" s="85" cm="1">
        <f t="array" ref="AP20:AP21">_xlfn.ANCHORARRAY(AO20)*($O$47:$O$48*(1-$O$47:$O$48))</f>
        <v>1.6809252207025467E-3</v>
      </c>
      <c r="AQ20" s="85" cm="1">
        <f t="array" ref="AQ20:AQ21">MMULT(TRANSPOSE($P$23:$Q$24),_xlfn.ANCHORARRAY(AN20))*_xlfn.ANCHORARRAY(T47)</f>
        <v>-5.9752722132898014E-4</v>
      </c>
      <c r="AR20" s="85" cm="1">
        <f t="array" ref="AR20:AR21">_xlfn.ANCHORARRAY(AQ20)*($L$47:$L$48*(1-$L$47:$L$48))</f>
        <v>-9.8427923932025517E-5</v>
      </c>
      <c r="AS20" s="85" cm="1">
        <f t="array" ref="AS20:AS21">_xlfn.ANCHORARRAY(AK20)*$O$47:$O$48+MMULT(TRANSPOSE($P$23:$Q$24),_xlfn.ANCHORARRAY(AN20))*$L$47:$L$48+MMULT(TRANSPOSE($P$18:$Q$19),_xlfn.ANCHORARRAY(AP20))+MMULT(TRANSPOSE($P$13:$Q$14),_xlfn.ANCHORARRAY(AR20))</f>
        <v>-3.1377210363402928E-2</v>
      </c>
      <c r="AT20" s="25"/>
      <c r="AU20" cm="1">
        <f t="array" ref="AU20:AV21">MMULT(_xlfn.ANCHORARRAY(AN20),TRANSPOSE($F$14:$F$15))</f>
        <v>-1.6611591627778946E-3</v>
      </c>
      <c r="AV20">
        <v>-4.4573060240816841E-4</v>
      </c>
      <c r="AW20" s="83" cm="1">
        <f t="array" ref="AW20:AX21">MMULT(_xlfn.ANCHORARRAY(AN20),TRANSPOSE($L$47:$L$48*_xlfn.ANCHORARRAY($T$41)))</f>
        <v>-4.5269728701219218E-4</v>
      </c>
      <c r="AX20" s="87">
        <v>-8.2618389231634622E-4</v>
      </c>
      <c r="AY20" cm="1">
        <f t="array" ref="AY20:AY21">_xlfn.ANCHORARRAY(AN20)</f>
        <v>-1.1005330914292486E-3</v>
      </c>
      <c r="AZ20" s="84" cm="1">
        <f t="array" ref="AZ20:BA21">MMULT(_xlfn.ANCHORARRAY(AP20),TRANSPOSE($F$14:$F$15))</f>
        <v>2.5372106973068709E-3</v>
      </c>
      <c r="BA20">
        <v>6.8079716735623208E-4</v>
      </c>
      <c r="BB20" s="83" cm="1">
        <f t="array" ref="BB20:BC21">MMULT(_xlfn.ANCHORARRAY(AP20),TRANSPOSE(_xlfn.ANCHORARRAY(T47)))</f>
        <v>9.7049591297705424E-4</v>
      </c>
      <c r="BC20" s="87">
        <v>1.5874312955762694E-3</v>
      </c>
      <c r="BD20" cm="1">
        <f t="array" ref="BD20:BD21">_xlfn.ANCHORARRAY(AP20)</f>
        <v>1.6809252207025467E-3</v>
      </c>
      <c r="BE20" s="84" cm="1">
        <f t="array" ref="BE20:BF21">MMULT(_xlfn.ANCHORARRAY(AR20),TRANSPOSE($F$14:$F$15))</f>
        <v>-1.4856840651701676E-4</v>
      </c>
      <c r="BF20">
        <v>-3.9864623944229294E-5</v>
      </c>
      <c r="BG20" s="83" cm="1">
        <f t="array" ref="BG20:BH21">MMULT(_xlfn.ANCHORARRAY(AR20),TRANSPOSE(_xlfn.ANCHORARRAY(T41)))</f>
        <v>-5.1119664865092387E-5</v>
      </c>
      <c r="BH20" s="87">
        <v>-9.0350087309373694E-5</v>
      </c>
      <c r="BI20" cm="1">
        <f t="array" ref="BI20:BI21">_xlfn.ANCHORARRAY(AR20)</f>
        <v>-9.8427923932025517E-5</v>
      </c>
      <c r="BK20">
        <v>6</v>
      </c>
      <c r="BL20">
        <f t="shared" si="4"/>
        <v>0</v>
      </c>
      <c r="BM20">
        <f t="shared" si="3"/>
        <v>0</v>
      </c>
      <c r="BN20">
        <f t="shared" si="3"/>
        <v>0</v>
      </c>
      <c r="BO20">
        <f t="shared" si="3"/>
        <v>0</v>
      </c>
      <c r="BP20">
        <f t="shared" si="3"/>
        <v>5.1198187927677975E-4</v>
      </c>
    </row>
    <row r="21" spans="10:74" ht="15.75" thickBot="1" x14ac:dyDescent="0.3">
      <c r="K21" s="4"/>
      <c r="L21" s="5" t="s">
        <v>96</v>
      </c>
      <c r="M21" s="6"/>
      <c r="O21" s="4"/>
      <c r="P21" s="5" t="s">
        <v>98</v>
      </c>
      <c r="Q21" s="6"/>
      <c r="S21" s="4"/>
      <c r="T21" s="6" t="s">
        <v>121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71">
        <v>0.10605460114832732</v>
      </c>
      <c r="AL21" s="25"/>
      <c r="AM21">
        <v>3.7741199135426742E-2</v>
      </c>
      <c r="AN21" s="85">
        <v>5.825938900697608E-4</v>
      </c>
      <c r="AO21" s="85">
        <v>-7.8820048327675318E-3</v>
      </c>
      <c r="AP21" s="85">
        <v>-1.8067550417377471E-3</v>
      </c>
      <c r="AQ21" s="85">
        <v>-2.7991772932824696E-4</v>
      </c>
      <c r="AR21" s="85">
        <v>-4.170317835035915E-5</v>
      </c>
      <c r="AS21" s="85">
        <v>7.0073502014047898E-2</v>
      </c>
      <c r="AT21" s="25"/>
      <c r="AU21">
        <v>8.7937490131346726E-4</v>
      </c>
      <c r="AV21">
        <v>2.3595830748066797E-4</v>
      </c>
      <c r="AW21" s="83">
        <v>2.3964629098244188E-4</v>
      </c>
      <c r="AX21" s="87">
        <v>4.3736048600997508E-4</v>
      </c>
      <c r="AY21">
        <v>5.825938900697608E-4</v>
      </c>
      <c r="AZ21" s="84">
        <v>-2.7271398887061681E-3</v>
      </c>
      <c r="BA21">
        <v>-7.3175992564830075E-4</v>
      </c>
      <c r="BB21" s="83">
        <v>-1.0431447884542493E-3</v>
      </c>
      <c r="BC21" s="87">
        <v>-1.7062623972623717E-3</v>
      </c>
      <c r="BD21">
        <v>-1.8067550417377471E-3</v>
      </c>
      <c r="BE21" s="84">
        <v>-6.2947327411747744E-5</v>
      </c>
      <c r="BF21">
        <v>-1.689034428242441E-5</v>
      </c>
      <c r="BG21" s="83">
        <v>-2.1659021301229485E-5</v>
      </c>
      <c r="BH21" s="87">
        <v>-3.8280659131197769E-5</v>
      </c>
      <c r="BI21">
        <v>-4.170317835035915E-5</v>
      </c>
    </row>
    <row r="22" spans="10:74" x14ac:dyDescent="0.25">
      <c r="K22" s="7"/>
      <c r="L22">
        <v>1</v>
      </c>
      <c r="M22" s="8">
        <v>2</v>
      </c>
      <c r="O22" s="7"/>
      <c r="P22">
        <v>1</v>
      </c>
      <c r="Q22" s="8">
        <v>2</v>
      </c>
      <c r="S22" s="7"/>
      <c r="T22" s="8">
        <v>1</v>
      </c>
      <c r="V22">
        <v>1</v>
      </c>
      <c r="W22" cm="1">
        <f t="array" ref="W22:W24">TRANSPOSE(MMULT(TRANSPOSE(W7:W18),Z7:AB18)+TRANSPOSE(Z22:Z24))</f>
        <v>0.83788740575892962</v>
      </c>
      <c r="Y22" s="7">
        <v>1</v>
      </c>
      <c r="Z22" s="8">
        <v>1</v>
      </c>
      <c r="AD22" s="7">
        <v>1</v>
      </c>
      <c r="AE22" s="8">
        <f>W34</f>
        <v>2.6022012644185535E-2</v>
      </c>
      <c r="AK22" s="25"/>
      <c r="AL22" s="25"/>
      <c r="AN22" s="85"/>
      <c r="AO22" s="85"/>
      <c r="AP22" s="85"/>
      <c r="AQ22" s="85"/>
      <c r="AR22" s="85"/>
      <c r="AS22" s="85"/>
      <c r="AT22" s="25"/>
      <c r="AW22" s="83"/>
      <c r="AX22" s="87"/>
      <c r="AZ22" s="84"/>
      <c r="BB22" s="83"/>
      <c r="BC22" s="87"/>
      <c r="BE22" s="84"/>
      <c r="BG22" s="83"/>
      <c r="BH22" s="87"/>
      <c r="BK22" s="4"/>
      <c r="BL22" s="40" t="s">
        <v>50</v>
      </c>
      <c r="BM22" s="5"/>
      <c r="BN22" s="6"/>
      <c r="BP22" s="4"/>
      <c r="BQ22" s="39" t="s">
        <v>52</v>
      </c>
    </row>
    <row r="23" spans="10:74" ht="21" x14ac:dyDescent="0.35">
      <c r="K23" s="7">
        <v>1</v>
      </c>
      <c r="L23">
        <v>-0.50700000000000001</v>
      </c>
      <c r="M23" s="8">
        <v>0.89100000000000001</v>
      </c>
      <c r="O23" s="7">
        <v>1</v>
      </c>
      <c r="P23">
        <v>0.67200000000000004</v>
      </c>
      <c r="Q23" s="8">
        <v>0.74099999999999999</v>
      </c>
      <c r="S23" s="7">
        <v>1</v>
      </c>
      <c r="T23" s="8">
        <v>1</v>
      </c>
      <c r="V23">
        <v>2</v>
      </c>
      <c r="W23">
        <v>0.96172421009337172</v>
      </c>
      <c r="Y23" s="7">
        <v>2</v>
      </c>
      <c r="Z23" s="8">
        <v>1</v>
      </c>
      <c r="AD23" s="7">
        <v>2</v>
      </c>
      <c r="AE23" s="8">
        <f>W35</f>
        <v>5.5129937717396122E-3</v>
      </c>
      <c r="AK23" s="43" t="s">
        <v>111</v>
      </c>
      <c r="AL23" s="25"/>
      <c r="AN23" s="85"/>
      <c r="AO23" s="85"/>
      <c r="AP23" s="85"/>
      <c r="AQ23" s="85"/>
      <c r="AR23" s="85"/>
      <c r="AS23" s="85"/>
      <c r="AT23" s="25"/>
      <c r="AU23" s="42" t="s">
        <v>111</v>
      </c>
      <c r="AW23" s="83"/>
      <c r="AX23" s="87"/>
      <c r="AZ23" s="84"/>
      <c r="BB23" s="83"/>
      <c r="BC23" s="87"/>
      <c r="BE23" s="84"/>
      <c r="BG23" s="83"/>
      <c r="BH23" s="87"/>
      <c r="BK23" s="7"/>
      <c r="BL23">
        <v>1</v>
      </c>
      <c r="BM23">
        <v>2</v>
      </c>
      <c r="BN23" s="8">
        <v>3</v>
      </c>
      <c r="BP23" s="7"/>
      <c r="BQ23" s="8">
        <v>1</v>
      </c>
    </row>
    <row r="24" spans="10:74" ht="15.75" thickBot="1" x14ac:dyDescent="0.3">
      <c r="K24" s="9">
        <v>2</v>
      </c>
      <c r="L24" s="14">
        <v>0.67200000000000004</v>
      </c>
      <c r="M24" s="11">
        <v>0.74099999999999999</v>
      </c>
      <c r="O24" s="9">
        <v>2</v>
      </c>
      <c r="P24" s="14">
        <v>-0.50700000000000001</v>
      </c>
      <c r="Q24" s="11">
        <v>0.89100000000000001</v>
      </c>
      <c r="S24" s="9">
        <v>2</v>
      </c>
      <c r="T24" s="11">
        <v>1</v>
      </c>
      <c r="V24">
        <v>3</v>
      </c>
      <c r="W24">
        <v>1.3271729046972367</v>
      </c>
      <c r="Y24" s="9">
        <v>3</v>
      </c>
      <c r="Z24" s="11">
        <v>1</v>
      </c>
      <c r="AD24" s="9">
        <v>3</v>
      </c>
      <c r="AE24" s="11">
        <f>W36</f>
        <v>0.3958219909108871</v>
      </c>
      <c r="AK24" s="25" t="s">
        <v>106</v>
      </c>
      <c r="AL24" s="25"/>
      <c r="AM24" t="s">
        <v>113</v>
      </c>
      <c r="AN24" s="85" t="s">
        <v>114</v>
      </c>
      <c r="AO24" s="85" t="s">
        <v>115</v>
      </c>
      <c r="AP24" s="85" t="s">
        <v>116</v>
      </c>
      <c r="AQ24" s="85" t="s">
        <v>117</v>
      </c>
      <c r="AR24" s="85" t="s">
        <v>118</v>
      </c>
      <c r="AS24" s="85" t="s">
        <v>123</v>
      </c>
      <c r="AT24" s="25"/>
      <c r="AU24" t="s">
        <v>124</v>
      </c>
      <c r="AW24" s="83" t="s">
        <v>125</v>
      </c>
      <c r="AX24" s="87"/>
      <c r="AY24" t="s">
        <v>126</v>
      </c>
      <c r="AZ24" s="84" t="s">
        <v>131</v>
      </c>
      <c r="BB24" s="83" t="s">
        <v>129</v>
      </c>
      <c r="BC24" s="87"/>
      <c r="BD24" t="s">
        <v>127</v>
      </c>
      <c r="BE24" s="84" t="s">
        <v>132</v>
      </c>
      <c r="BG24" s="83" t="s">
        <v>130</v>
      </c>
      <c r="BH24" s="87"/>
      <c r="BI24" t="s">
        <v>128</v>
      </c>
      <c r="BK24" s="7">
        <v>1</v>
      </c>
      <c r="BL24" cm="1">
        <f t="array" ref="BL24">SUM($BL$15:$BP$20*BV5:BZ10)</f>
        <v>-2.2450760270108358E-3</v>
      </c>
      <c r="BM24" cm="1">
        <f t="array" ref="BM24">SUM($BL$15:$BP$20*BW5:CA10)</f>
        <v>1.4193989365166714E-3</v>
      </c>
      <c r="BN24" s="8" cm="1">
        <f t="array" ref="BN24">SUM($BL$15:$BP$20*BX5:CB10)</f>
        <v>-1.5660629109488485E-3</v>
      </c>
      <c r="BP24" s="9">
        <v>1</v>
      </c>
      <c r="BQ24" s="11">
        <f>SUM(AU56:AU61)</f>
        <v>0.22899438403528871</v>
      </c>
    </row>
    <row r="25" spans="10:74" ht="15.75" thickBot="1" x14ac:dyDescent="0.3">
      <c r="AK25" s="25">
        <v>1</v>
      </c>
      <c r="AL25" s="25"/>
      <c r="AM25">
        <v>1</v>
      </c>
      <c r="AN25" s="85">
        <v>1</v>
      </c>
      <c r="AO25" s="85">
        <v>1</v>
      </c>
      <c r="AP25" s="85">
        <v>1</v>
      </c>
      <c r="AQ25" s="85">
        <v>1</v>
      </c>
      <c r="AR25" s="85">
        <v>1</v>
      </c>
      <c r="AS25" s="85">
        <v>1</v>
      </c>
      <c r="AT25" s="25"/>
      <c r="AU25">
        <v>1</v>
      </c>
      <c r="AV25">
        <v>2</v>
      </c>
      <c r="AW25" s="83">
        <v>1</v>
      </c>
      <c r="AX25" s="87">
        <v>2</v>
      </c>
      <c r="AY25">
        <v>1</v>
      </c>
      <c r="AZ25" s="84">
        <v>1</v>
      </c>
      <c r="BA25">
        <v>2</v>
      </c>
      <c r="BB25" s="83">
        <v>1</v>
      </c>
      <c r="BC25" s="87">
        <v>2</v>
      </c>
      <c r="BD25">
        <v>1</v>
      </c>
      <c r="BE25" s="84">
        <v>1</v>
      </c>
      <c r="BF25">
        <v>2</v>
      </c>
      <c r="BG25" s="83">
        <v>1</v>
      </c>
      <c r="BH25" s="87">
        <v>2</v>
      </c>
      <c r="BI25">
        <v>1</v>
      </c>
      <c r="BK25" s="7">
        <v>2</v>
      </c>
      <c r="BL25" cm="1">
        <f t="array" ref="BL25">SUM($BL$15:$BP$20*BV6:BZ11)</f>
        <v>4.9568181088373549E-3</v>
      </c>
      <c r="BM25" cm="1">
        <f t="array" ref="BM25">SUM($BL$15:$BP$20*BW6:CA11)</f>
        <v>3.1628745086226498E-2</v>
      </c>
      <c r="BN25" s="8" cm="1">
        <f t="array" ref="BN25">SUM($BL$15:$BP$20*BX6:CB11)</f>
        <v>4.5947036528498041E-2</v>
      </c>
    </row>
    <row r="26" spans="10:74" ht="21.75" thickBot="1" x14ac:dyDescent="0.4">
      <c r="K26" s="42" t="s">
        <v>105</v>
      </c>
      <c r="V26" s="4"/>
      <c r="W26" s="40" t="s">
        <v>69</v>
      </c>
      <c r="X26" s="6"/>
      <c r="AE26" t="s">
        <v>81</v>
      </c>
      <c r="AJ26">
        <v>1</v>
      </c>
      <c r="AK26" s="70" cm="1">
        <f t="array" ref="AK26:AK27">AH79:AH80+_xlfn.ANCHORARRAY(AS20)</f>
        <v>-0.20021616754262622</v>
      </c>
      <c r="AL26" s="25"/>
      <c r="AM26" cm="1">
        <f t="array" ref="AM26:AM27">_xlfn.ANCHORARRAY(AK26)*(1-$O$41:$O$42)</f>
        <v>-4.0157752295966798E-2</v>
      </c>
      <c r="AN26" s="85" cm="1">
        <f t="array" ref="AN26:AN27">_xlfn.ANCHORARRAY(AM26)*(1-$R$41:$R$42*$R$41:$R$42)</f>
        <v>-5.5235567156430828E-3</v>
      </c>
      <c r="AO26" s="85" cm="1">
        <f t="array" ref="AO26:AO27">_xlfn.ANCHORARRAY(AK26)*(_xlfn.ANCHORARRAY(T35)-$R$41:$R$42)</f>
        <v>0.10251448797734228</v>
      </c>
      <c r="AP26" s="85" cm="1">
        <f t="array" ref="AP26:AP27">_xlfn.ANCHORARRAY(AO26)*($O$41:$O$42*(1-$O$41:$O$42))</f>
        <v>1.6437466017227093E-2</v>
      </c>
      <c r="AQ26" s="85" cm="1">
        <f t="array" ref="AQ26:AQ27">MMULT(TRANSPOSE($P$23:$Q$24),_xlfn.ANCHORARRAY(AN26))*_xlfn.ANCHORARRAY(T41)</f>
        <v>-1.9216457549755034E-3</v>
      </c>
      <c r="AR26" s="85" cm="1">
        <f t="array" ref="AR26:AR27">_xlfn.ANCHORARRAY(AQ26)*($L$41:$L$42*(1-$L$41:$L$42))</f>
        <v>-8.3828762785564568E-5</v>
      </c>
      <c r="AS26" s="85" cm="1">
        <f t="array" ref="AS26:AS27">_xlfn.ANCHORARRAY(AK26)*$O$41:$O$42+MMULT(TRANSPOSE($P$23:$Q$24),_xlfn.ANCHORARRAY(AN26))*$L$41:$L$42+MMULT(TRANSPOSE($P$18:$Q$19),_xlfn.ANCHORARRAY(AP26))+MMULT(TRANSPOSE($P$13:$Q$14),_xlfn.ANCHORARRAY(AR26))</f>
        <v>-0.15486594492623409</v>
      </c>
      <c r="AT26" s="25"/>
      <c r="AU26" cm="1">
        <f t="array" ref="AU26:AV27">MMULT(_xlfn.ANCHORARRAY(AN26),TRANSPOSE($E$14:$E$15))</f>
        <v>-1.8663698407508252E-2</v>
      </c>
      <c r="AV26">
        <v>-1.0159566207919621E-2</v>
      </c>
      <c r="AW26" s="83" cm="1">
        <f t="array" ref="AW26:AX27">MMULT(_xlfn.ANCHORARRAY(AN26),TRANSPOSE($L$41:$L$42*_xlfn.ANCHORARRAY(T35)))</f>
        <v>-2.1962638925708791E-3</v>
      </c>
      <c r="AX26" s="87">
        <v>-3.3977790999380384E-3</v>
      </c>
      <c r="AY26" cm="1">
        <f t="array" ref="AY26:AY27">_xlfn.ANCHORARRAY(AN26)</f>
        <v>-5.5235567156430828E-3</v>
      </c>
      <c r="AZ26" s="84" cm="1">
        <f t="array" ref="AZ26:BA27">MMULT(_xlfn.ANCHORARRAY(AP26),TRANSPOSE($E$14:$E$15))</f>
        <v>5.5541008108119849E-2</v>
      </c>
      <c r="BA26">
        <v>3.0233694137601467E-2</v>
      </c>
      <c r="BB26" s="83" cm="1">
        <f t="array" ref="BB26:BC27">MMULT(_xlfn.ANCHORARRAY(AP26),TRANSPOSE(_xlfn.ANCHORARRAY(T35)))</f>
        <v>6.8489124462661347E-3</v>
      </c>
      <c r="BC26" s="87">
        <v>1.0688841835681057E-2</v>
      </c>
      <c r="BD26" cm="1">
        <f t="array" ref="BD26:BD27">_xlfn.ANCHORARRAY(AP26)</f>
        <v>1.6437466017227093E-2</v>
      </c>
      <c r="BE26" s="84" cm="1">
        <f t="array" ref="BE26:BF27">MMULT(_xlfn.ANCHORARRAY(AR26),TRANSPOSE($E$14:$E$15))</f>
        <v>-2.8325132284301609E-4</v>
      </c>
      <c r="BF26">
        <v>-1.5418758410427153E-4</v>
      </c>
      <c r="BG26" s="83" cm="1">
        <f t="array" ref="BG26:BH27">MMULT(_xlfn.ANCHORARRAY(AR26),TRANSPOSE(_xlfn.ANCHORARRAY(T35)))</f>
        <v>-3.4928489354467912E-5</v>
      </c>
      <c r="BH26" s="87">
        <v>-5.4511588693576593E-5</v>
      </c>
      <c r="BI26" cm="1">
        <f t="array" ref="BI26:BI27">_xlfn.ANCHORARRAY(AR26)</f>
        <v>-8.3828762785564568E-5</v>
      </c>
      <c r="BK26" s="7">
        <v>3</v>
      </c>
      <c r="BL26" cm="1">
        <f t="array" ref="BL26">SUM($BL$15:$BP$20*BV7:BZ12)</f>
        <v>0.2205876272030918</v>
      </c>
      <c r="BM26" cm="1">
        <f t="array" ref="BM26">SUM($BL$15:$BP$20*BW7:CA12)</f>
        <v>0.11044243670412116</v>
      </c>
      <c r="BN26" s="8" cm="1">
        <f t="array" ref="BN26">SUM($BL$15:$BP$20*BX7:CB12)</f>
        <v>-0.16718198407848409</v>
      </c>
    </row>
    <row r="27" spans="10:74" x14ac:dyDescent="0.25">
      <c r="K27" t="s">
        <v>99</v>
      </c>
      <c r="L27" s="18" t="s">
        <v>100</v>
      </c>
      <c r="N27" t="s">
        <v>101</v>
      </c>
      <c r="O27" s="18" t="s">
        <v>100</v>
      </c>
      <c r="Q27" t="s">
        <v>122</v>
      </c>
      <c r="R27" s="18" t="s">
        <v>102</v>
      </c>
      <c r="T27" s="18" t="s">
        <v>103</v>
      </c>
      <c r="V27" s="7"/>
      <c r="W27">
        <v>1</v>
      </c>
      <c r="X27" s="8"/>
      <c r="AE27">
        <v>1</v>
      </c>
      <c r="AJ27">
        <v>2</v>
      </c>
      <c r="AK27" s="71">
        <v>-0.161073509848005</v>
      </c>
      <c r="AL27" s="25"/>
      <c r="AM27">
        <v>-0.12330856421514255</v>
      </c>
      <c r="AN27" s="85">
        <v>-2.3301061059144021E-5</v>
      </c>
      <c r="AO27" s="85">
        <v>5.6316521331561592E-2</v>
      </c>
      <c r="AP27" s="85">
        <v>1.0108103518260591E-2</v>
      </c>
      <c r="AQ27" s="85">
        <v>-3.7761100167608662E-3</v>
      </c>
      <c r="AR27" s="85">
        <v>-1.9297654564656705E-4</v>
      </c>
      <c r="AS27" s="85">
        <v>-2.6648059022153361E-2</v>
      </c>
      <c r="AT27" s="25"/>
      <c r="AU27">
        <v>-7.8732599042783115E-5</v>
      </c>
      <c r="AV27">
        <v>-4.2858014270899019E-5</v>
      </c>
      <c r="AW27" s="83">
        <v>-9.2649142024477743E-6</v>
      </c>
      <c r="AX27" s="87">
        <v>-1.433349241240153E-5</v>
      </c>
      <c r="AY27">
        <v>-2.3301061059144021E-5</v>
      </c>
      <c r="AZ27" s="84">
        <v>3.4154550274175029E-2</v>
      </c>
      <c r="BA27">
        <v>1.8591996464784655E-2</v>
      </c>
      <c r="BB27" s="83">
        <v>4.2116902886251617E-3</v>
      </c>
      <c r="BC27" s="87">
        <v>6.5730277192448359E-3</v>
      </c>
      <c r="BD27">
        <v>1.0108103518260591E-2</v>
      </c>
      <c r="BE27" s="84">
        <v>-6.5205378220705974E-4</v>
      </c>
      <c r="BF27">
        <v>-3.5494484677227794E-4</v>
      </c>
      <c r="BG27" s="83">
        <v>-8.0406521536290773E-5</v>
      </c>
      <c r="BH27" s="87">
        <v>-1.2548745483339444E-4</v>
      </c>
      <c r="BI27">
        <v>-1.9297654564656705E-4</v>
      </c>
      <c r="BK27" s="7">
        <v>4</v>
      </c>
      <c r="BL27" cm="1">
        <f t="array" ref="BL27">SUM($BL$15:$BP$20*BV8:BZ13)</f>
        <v>-0.22935174966317212</v>
      </c>
      <c r="BM27" cm="1">
        <f t="array" ref="BM27">SUM($BL$15:$BP$20*BW8:CA13)</f>
        <v>0.19232205235142144</v>
      </c>
      <c r="BN27" s="8" cm="1">
        <f t="array" ref="BN27">SUM($BL$15:$BP$20*BX8:CB13)</f>
        <v>-0.2992518864090718</v>
      </c>
    </row>
    <row r="28" spans="10:74" ht="15.75" thickBot="1" x14ac:dyDescent="0.3">
      <c r="K28">
        <v>1</v>
      </c>
      <c r="L28" s="19">
        <v>1</v>
      </c>
      <c r="N28">
        <v>1</v>
      </c>
      <c r="O28" s="19">
        <v>1</v>
      </c>
      <c r="Q28">
        <v>1</v>
      </c>
      <c r="R28" s="19">
        <v>1</v>
      </c>
      <c r="T28" s="19">
        <v>1</v>
      </c>
      <c r="V28" s="7">
        <v>1</v>
      </c>
      <c r="W28">
        <f>1/(1+EXP(-W22))</f>
        <v>0.69802009277378041</v>
      </c>
      <c r="X28" s="8" t="s">
        <v>42</v>
      </c>
      <c r="AD28">
        <v>1</v>
      </c>
      <c r="AE28" s="51" cm="1">
        <f t="array" ref="AE28">SUM(MMULT(TRANSPOSE($W$34:$W$36),TRANSPOSE(Z7:AB7)))</f>
        <v>-0.31513567744382831</v>
      </c>
      <c r="AK28" s="25"/>
      <c r="AL28" s="25"/>
      <c r="AN28" s="85"/>
      <c r="AO28" s="85"/>
      <c r="AP28" s="85"/>
      <c r="AQ28" s="85"/>
      <c r="AR28" s="85"/>
      <c r="AS28" s="85"/>
      <c r="AT28" s="25"/>
      <c r="AW28" s="83"/>
      <c r="AX28" s="87"/>
      <c r="AZ28" s="84"/>
      <c r="BB28" s="83"/>
      <c r="BC28" s="87"/>
      <c r="BE28" s="84"/>
      <c r="BG28" s="83"/>
      <c r="BH28" s="87"/>
      <c r="BK28" s="9">
        <v>5</v>
      </c>
      <c r="BL28" s="14" cm="1">
        <f t="array" ref="BL28">SUM($BL$15:$BP$20*BV9:BZ14)</f>
        <v>-4.139427724529398E-2</v>
      </c>
      <c r="BM28" s="14" cm="1">
        <f t="array" ref="BM28">SUM($BL$15:$BP$20*BW9:CA14)</f>
        <v>-0.33098503916119093</v>
      </c>
      <c r="BN28" s="11" cm="1">
        <f t="array" ref="BN28">SUM($BL$15:$BP$20*BX9:CB14)</f>
        <v>-0.12634966406108461</v>
      </c>
    </row>
    <row r="29" spans="10:74" ht="21" x14ac:dyDescent="0.35">
      <c r="J29">
        <v>1</v>
      </c>
      <c r="K29" cm="1">
        <f t="array" ref="K29:K30">MMULT($L$13:$M$14,$C$14:$C$15)+MMULT($P$13:$Q$14,$L$7:$L$8)+$T$13:$T$14</f>
        <v>4.988087614218065</v>
      </c>
      <c r="L29" s="19">
        <f>1/(1+EXP(-K29))</f>
        <v>0.99322748767453772</v>
      </c>
      <c r="N29" cm="1">
        <f t="array" ref="N29:N30">MMULT($L$18:$M$19,$C$14:$C$15)+MMULT($P$18:$Q$19,$L$7:$L$8)+$T$18:$T$19</f>
        <v>-0.48512985954806265</v>
      </c>
      <c r="O29" s="19">
        <f>1/(1+EXP(-N29))</f>
        <v>0.38104151749782389</v>
      </c>
      <c r="Q29" cm="1">
        <f t="array" ref="Q29:Q30">MMULT($L$23:$M$24,$C$14:$C$15)+MMULT($P$23:$Q$24,$L$29:$L$30*$L$7:$L$8)+$T$23:$T$24</f>
        <v>0.13068236356856866</v>
      </c>
      <c r="R29" s="19">
        <f>(EXP(Q29)-EXP(-Q29))/(EXP(Q29)+EXP(-Q29))</f>
        <v>0.12994348463857885</v>
      </c>
      <c r="T29" s="56" cm="1">
        <f t="array" ref="T29:T30">O29:O30*L7:L8+(1-O29:O30)*R29:R30</f>
        <v>0.38716804364868784</v>
      </c>
      <c r="V29" s="7">
        <v>2</v>
      </c>
      <c r="W29">
        <f t="shared" ref="W29" si="5">1/(1+EXP(-W23))</f>
        <v>0.72346688786867408</v>
      </c>
      <c r="X29" s="8" t="s">
        <v>43</v>
      </c>
      <c r="AD29">
        <v>2</v>
      </c>
      <c r="AE29" s="51" cm="1">
        <f t="array" ref="AE29">SUM(MMULT(TRANSPOSE($W$34:$W$36),TRANSPOSE(Z8:AB8)))</f>
        <v>0.36744827129306418</v>
      </c>
      <c r="AK29" s="43" t="s">
        <v>112</v>
      </c>
      <c r="AL29" s="25"/>
      <c r="AN29" s="85"/>
      <c r="AO29" s="85"/>
      <c r="AP29" s="85"/>
      <c r="AQ29" s="85"/>
      <c r="AR29" s="85"/>
      <c r="AS29" s="85"/>
      <c r="AT29" s="25"/>
      <c r="AU29" s="42" t="s">
        <v>112</v>
      </c>
      <c r="AW29" s="83"/>
      <c r="AX29" s="87"/>
      <c r="AZ29" s="84"/>
      <c r="BB29" s="83"/>
      <c r="BC29" s="87"/>
      <c r="BE29" s="84"/>
      <c r="BG29" s="83"/>
      <c r="BH29" s="87"/>
    </row>
    <row r="30" spans="10:74" ht="15.75" thickBot="1" x14ac:dyDescent="0.3">
      <c r="J30">
        <v>2</v>
      </c>
      <c r="K30">
        <v>1.9565639945420652</v>
      </c>
      <c r="L30" s="20">
        <f>1/(1+EXP(-K30))</f>
        <v>0.87616061648644028</v>
      </c>
      <c r="N30">
        <v>-0.42054556865893833</v>
      </c>
      <c r="O30" s="20">
        <f>1/(1+EXP(-N30))</f>
        <v>0.39638620772022026</v>
      </c>
      <c r="Q30">
        <v>3.5966643417756892</v>
      </c>
      <c r="R30" s="20">
        <f>(EXP(Q30)-EXP(-Q30))/(EXP(Q30)+EXP(-Q30))</f>
        <v>0.99849796256702539</v>
      </c>
      <c r="T30" s="57">
        <v>0.21543781682606056</v>
      </c>
      <c r="V30" s="9">
        <v>3</v>
      </c>
      <c r="W30" s="14">
        <f>1/(1+EXP(-W24))</f>
        <v>0.790372615566037</v>
      </c>
      <c r="X30" s="11" t="s">
        <v>44</v>
      </c>
      <c r="AD30">
        <v>3</v>
      </c>
      <c r="AE30" s="51" cm="1">
        <f t="array" ref="AE30">SUM(MMULT(TRANSPOSE($W$34:$W$36),TRANSPOSE(Z9:AB9)))</f>
        <v>-6.2308054682829607E-2</v>
      </c>
      <c r="AK30" s="25" t="s">
        <v>106</v>
      </c>
      <c r="AL30" s="25"/>
      <c r="AM30" t="s">
        <v>113</v>
      </c>
      <c r="AN30" s="85" t="s">
        <v>114</v>
      </c>
      <c r="AO30" s="85" t="s">
        <v>115</v>
      </c>
      <c r="AP30" s="85" t="s">
        <v>116</v>
      </c>
      <c r="AQ30" s="85" t="s">
        <v>117</v>
      </c>
      <c r="AR30" s="85" t="s">
        <v>118</v>
      </c>
      <c r="AS30" s="85" t="s">
        <v>123</v>
      </c>
      <c r="AT30" s="25"/>
      <c r="AU30" t="s">
        <v>124</v>
      </c>
      <c r="AW30" s="83" t="s">
        <v>125</v>
      </c>
      <c r="AX30" s="87"/>
      <c r="AY30" t="s">
        <v>126</v>
      </c>
      <c r="AZ30" s="84" t="s">
        <v>131</v>
      </c>
      <c r="BB30" s="83" t="s">
        <v>129</v>
      </c>
      <c r="BC30" s="87"/>
      <c r="BD30" t="s">
        <v>127</v>
      </c>
      <c r="BE30" s="84" t="s">
        <v>132</v>
      </c>
      <c r="BG30" s="83" t="s">
        <v>130</v>
      </c>
      <c r="BH30" s="87"/>
      <c r="BI30" t="s">
        <v>128</v>
      </c>
    </row>
    <row r="31" spans="10:74" ht="27" thickBot="1" x14ac:dyDescent="0.45">
      <c r="AD31">
        <v>4</v>
      </c>
      <c r="AE31" s="51" cm="1">
        <f t="array" ref="AE31">SUM(MMULT(TRANSPOSE($W$34:$W$36),TRANSPOSE(Z10:AB10)))</f>
        <v>6.4936859888075599E-2</v>
      </c>
      <c r="AK31" s="25">
        <v>1</v>
      </c>
      <c r="AL31" s="25"/>
      <c r="AM31">
        <v>1</v>
      </c>
      <c r="AN31" s="85">
        <v>1</v>
      </c>
      <c r="AO31" s="85">
        <v>1</v>
      </c>
      <c r="AP31" s="85">
        <v>1</v>
      </c>
      <c r="AQ31" s="85">
        <v>1</v>
      </c>
      <c r="AR31" s="85">
        <v>1</v>
      </c>
      <c r="AS31" s="85">
        <v>1</v>
      </c>
      <c r="AT31" s="25"/>
      <c r="AU31">
        <v>1</v>
      </c>
      <c r="AV31">
        <v>2</v>
      </c>
      <c r="AW31" s="83">
        <v>1</v>
      </c>
      <c r="AX31" s="87">
        <v>2</v>
      </c>
      <c r="AY31">
        <v>1</v>
      </c>
      <c r="AZ31" s="84">
        <v>1</v>
      </c>
      <c r="BA31">
        <v>2</v>
      </c>
      <c r="BB31" s="83">
        <v>1</v>
      </c>
      <c r="BC31" s="87">
        <v>2</v>
      </c>
      <c r="BD31">
        <v>1</v>
      </c>
      <c r="BE31" s="84">
        <v>1</v>
      </c>
      <c r="BF31">
        <v>2</v>
      </c>
      <c r="BG31" s="83">
        <v>1</v>
      </c>
      <c r="BH31" s="87">
        <v>2</v>
      </c>
      <c r="BI31">
        <v>1</v>
      </c>
      <c r="BL31" s="41" t="s">
        <v>86</v>
      </c>
    </row>
    <row r="32" spans="10:74" ht="27" thickBot="1" x14ac:dyDescent="0.45">
      <c r="K32" s="42" t="s">
        <v>112</v>
      </c>
      <c r="V32" s="4"/>
      <c r="W32" s="40" t="s">
        <v>72</v>
      </c>
      <c r="X32" s="6"/>
      <c r="AD32">
        <v>5</v>
      </c>
      <c r="AE32" s="51" cm="1">
        <f t="array" ref="AE32">SUM(MMULT(TRANSPOSE($W$34:$W$36),TRANSPOSE(Z11:AB11)))</f>
        <v>5.2442599284116584E-2</v>
      </c>
      <c r="AJ32">
        <v>1</v>
      </c>
      <c r="AK32" s="70" cm="1">
        <f t="array" ref="AK32:AK33">AI79:AI80+_xlfn.ANCHORARRAY(AS26)</f>
        <v>-0.2477517362228846</v>
      </c>
      <c r="AL32" s="25"/>
      <c r="AM32" cm="1">
        <f t="array" ref="AM32:AM33">_xlfn.ANCHORARRAY(AK32)*(1-$O$35:$O$36)</f>
        <v>-7.9838559221756991E-2</v>
      </c>
      <c r="AN32" s="85" cm="1">
        <f t="array" ref="AN32:AN33">_xlfn.ANCHORARRAY(AM32)*(1-$R$35:$R$36*$R$35:$R$36)</f>
        <v>-6.1543184725528985E-2</v>
      </c>
      <c r="AO32" s="85" cm="1">
        <f t="array" ref="AO32:AO33">_xlfn.ANCHORARRAY(AK32)*(_xlfn.ANCHORARRAY(T29)-$R$35:$R$36)</f>
        <v>2.2677441107102819E-2</v>
      </c>
      <c r="AP32" s="85" cm="1">
        <f t="array" ref="AP32:AP33">_xlfn.ANCHORARRAY(AO32)*($O$35:$O$36*(1-$O$35:$O$36))</f>
        <v>4.9528834022813228E-3</v>
      </c>
      <c r="AQ32" s="85" cm="1">
        <f t="array" ref="AQ32:AQ33">MMULT(TRANSPOSE($P$23:$Q$24),_xlfn.ANCHORARRAY(AN32))*_xlfn.ANCHORARRAY(T29)</f>
        <v>-1.6074689272760907E-2</v>
      </c>
      <c r="AR32" s="85" cm="1">
        <f t="array" ref="AR32:AR33">_xlfn.ANCHORARRAY(AQ32)*($L$35:$L$36*(1-$L$35:$L$36))</f>
        <v>-5.0874302401144591E-4</v>
      </c>
      <c r="AS32" s="85" cm="1">
        <f t="array" ref="AS32:AS33">_xlfn.ANCHORARRAY(AK32)*$O$35:$O$36+MMULT(TRANSPOSE($P$23:$Q$24),_xlfn.ANCHORARRAY(AN32))*$L$35:$L$36+MMULT(TRANSPOSE($P$18:$Q$19),_xlfn.ANCHORARRAY(AP32))+MMULT(TRANSPOSE($P$13:$Q$14),_xlfn.ANCHORARRAY(AR32))</f>
        <v>-0.24986384386875077</v>
      </c>
      <c r="AT32" s="25"/>
      <c r="AU32" cm="1">
        <f t="array" ref="AU32:AV33">MMULT(_xlfn.ANCHORARRAY(AN32),TRANSPOSE($D$14:$D$15))</f>
        <v>-0.19544732265608386</v>
      </c>
      <c r="AV32">
        <v>-5.1355427603056399E-2</v>
      </c>
      <c r="AW32" s="83" cm="1">
        <f t="array" ref="AW32:AX33">MMULT(_xlfn.ANCHORARRAY(AN32),TRANSPOSE($L$35:$L$36*_xlfn.ANCHORARRAY(T29)))</f>
        <v>-2.3047934728207792E-2</v>
      </c>
      <c r="AX32" s="87">
        <v>-1.1315831465269259E-2</v>
      </c>
      <c r="AY32" cm="1">
        <f t="array" ref="AY32:AY33">_xlfn.ANCHORARRAY(AN32)</f>
        <v>-6.1543184725528985E-2</v>
      </c>
      <c r="AZ32" s="84" cm="1">
        <f t="array" ref="AZ32:BA33">MMULT(_xlfn.ANCHORARRAY(AP32),TRANSPOSE($D$14:$D$15))</f>
        <v>1.5729244508890169E-2</v>
      </c>
      <c r="BA32">
        <v>4.1329912666467367E-3</v>
      </c>
      <c r="BB32" s="83" cm="1">
        <f t="array" ref="BB32:BC33">MMULT(_xlfn.ANCHORARRAY(AP32),TRANSPOSE(_xlfn.ANCHORARRAY(T29)))</f>
        <v>1.9175981772813168E-3</v>
      </c>
      <c r="BC32" s="87">
        <v>1.0670383871815192E-3</v>
      </c>
      <c r="BD32" cm="1">
        <f t="array" ref="BD32:BD33">_xlfn.ANCHORARRAY(AP32)</f>
        <v>4.9528834022813228E-3</v>
      </c>
      <c r="BE32" s="84" cm="1">
        <f t="array" ref="BE32:BF33">MMULT(_xlfn.ANCHORARRAY(AR32),TRANSPOSE($D$14:$D$15))</f>
        <v>-1.615653502600604E-3</v>
      </c>
      <c r="BF32">
        <v>-4.2452654432330772E-4</v>
      </c>
      <c r="BG32" s="83" cm="1">
        <f t="array" ref="BG32:BH33">MMULT(_xlfn.ANCHORARRAY(AR32),TRANSPOSE(_xlfn.ANCHORARRAY(T29)))</f>
        <v>-1.9696904132642895E-4</v>
      </c>
      <c r="BH32" s="87">
        <v>-1.0960248641851401E-4</v>
      </c>
      <c r="BI32" cm="1">
        <f t="array" ref="BI32:BI33">_xlfn.ANCHORARRAY(AR32)</f>
        <v>-5.0874302401144591E-4</v>
      </c>
      <c r="BL32" s="41" t="s">
        <v>56</v>
      </c>
      <c r="BT32">
        <v>0</v>
      </c>
      <c r="BU32">
        <v>0</v>
      </c>
      <c r="BV32">
        <v>0</v>
      </c>
    </row>
    <row r="33" spans="10:74" x14ac:dyDescent="0.25">
      <c r="K33" t="s">
        <v>99</v>
      </c>
      <c r="L33" s="18" t="s">
        <v>100</v>
      </c>
      <c r="N33" t="s">
        <v>101</v>
      </c>
      <c r="O33" s="18" t="s">
        <v>100</v>
      </c>
      <c r="Q33" t="s">
        <v>122</v>
      </c>
      <c r="R33" s="18" t="s">
        <v>102</v>
      </c>
      <c r="T33" s="18" t="s">
        <v>103</v>
      </c>
      <c r="V33" s="7"/>
      <c r="W33">
        <v>1</v>
      </c>
      <c r="X33" s="21" t="s">
        <v>77</v>
      </c>
      <c r="AD33">
        <v>6</v>
      </c>
      <c r="AE33" s="51" cm="1">
        <f t="array" ref="AE33">SUM(MMULT(TRANSPOSE($W$34:$W$36),TRANSPOSE(Z12:AB12)))</f>
        <v>0.31943942879640741</v>
      </c>
      <c r="AJ33">
        <v>2</v>
      </c>
      <c r="AK33" s="71">
        <v>0.24791442097426034</v>
      </c>
      <c r="AL33" s="25"/>
      <c r="AM33">
        <v>0.13760720939036664</v>
      </c>
      <c r="AN33" s="85">
        <v>3.1876997045577205E-4</v>
      </c>
      <c r="AO33" s="85">
        <v>-0.19421696340672884</v>
      </c>
      <c r="AP33" s="85">
        <v>-4.7965466595473946E-2</v>
      </c>
      <c r="AQ33" s="85">
        <v>-9.7635289342273869E-3</v>
      </c>
      <c r="AR33" s="85">
        <v>-1.2210668864400408E-3</v>
      </c>
      <c r="AS33" s="85">
        <v>8.3374751570801237E-2</v>
      </c>
      <c r="AT33" s="25"/>
      <c r="AU33">
        <v>1.012341781573347E-3</v>
      </c>
      <c r="AV33">
        <v>2.6600131619414045E-4</v>
      </c>
      <c r="AW33" s="83">
        <v>1.1937941634225708E-4</v>
      </c>
      <c r="AX33" s="87">
        <v>5.8611644456710767E-5</v>
      </c>
      <c r="AY33">
        <v>3.1876997045577205E-4</v>
      </c>
      <c r="AZ33" s="84">
        <v>-0.15232754151161829</v>
      </c>
      <c r="BA33">
        <v>-4.0025342500172499E-2</v>
      </c>
      <c r="BB33" s="83">
        <v>-1.8570695864466136E-2</v>
      </c>
      <c r="BC33" s="87">
        <v>-1.0333575406372243E-2</v>
      </c>
      <c r="BD33">
        <v>-4.7965466595473946E-2</v>
      </c>
      <c r="BE33" s="84">
        <v>-3.8778339925543241E-3</v>
      </c>
      <c r="BF33">
        <v>-1.0189334914130414E-3</v>
      </c>
      <c r="BG33" s="83">
        <v>-4.7275807758718504E-4</v>
      </c>
      <c r="BH33" s="87">
        <v>-2.6306398421323761E-4</v>
      </c>
      <c r="BI33">
        <v>-1.2210668864400408E-3</v>
      </c>
      <c r="BL33" t="s">
        <v>89</v>
      </c>
      <c r="BT33">
        <v>0</v>
      </c>
      <c r="BU33" s="18" cm="1">
        <f t="array" ref="BU33:BU38">FRONTEND!$B$26:$B$31</f>
        <v>0.36548104119790437</v>
      </c>
      <c r="BV33">
        <v>0</v>
      </c>
    </row>
    <row r="34" spans="10:74" x14ac:dyDescent="0.25">
      <c r="K34">
        <v>1</v>
      </c>
      <c r="L34" s="19">
        <v>1</v>
      </c>
      <c r="N34">
        <v>1</v>
      </c>
      <c r="O34" s="19">
        <v>1</v>
      </c>
      <c r="Q34">
        <v>1</v>
      </c>
      <c r="R34" s="19">
        <v>1</v>
      </c>
      <c r="T34" s="19">
        <v>1</v>
      </c>
      <c r="V34" s="22" t="s">
        <v>76</v>
      </c>
      <c r="W34" s="3">
        <f>-1/3*((2/(1+DATA!I16))*X34*LOG(W28)+((2*DATA!I16)/(1+DATA!I16))*(1-X34)*LOG(1-W28))</f>
        <v>2.6022012644185535E-2</v>
      </c>
      <c r="X34" s="8">
        <v>1</v>
      </c>
      <c r="AD34">
        <v>7</v>
      </c>
      <c r="AE34" s="55" cm="1">
        <f t="array" ref="AE34">SUM(MMULT(TRANSPOSE($W$34:$W$36),TRANSPOSE(Z13:AB13)))</f>
        <v>8.9524805429253299E-2</v>
      </c>
      <c r="AK34" s="25"/>
      <c r="AL34" s="25"/>
      <c r="AN34" s="85"/>
      <c r="AO34" s="85"/>
      <c r="AP34" s="85"/>
      <c r="AQ34" s="85"/>
      <c r="AR34" s="85"/>
      <c r="AS34" s="85"/>
      <c r="AT34" s="25"/>
      <c r="AW34" s="83"/>
      <c r="AX34" s="87"/>
      <c r="AZ34" s="84"/>
      <c r="BB34" s="83"/>
      <c r="BC34" s="87"/>
      <c r="BE34" s="84"/>
      <c r="BG34" s="83"/>
      <c r="BH34" s="87"/>
      <c r="BL34">
        <v>1</v>
      </c>
      <c r="BT34">
        <v>0</v>
      </c>
      <c r="BU34" s="19">
        <v>-0.24318936518565337</v>
      </c>
      <c r="BV34">
        <v>0</v>
      </c>
    </row>
    <row r="35" spans="10:74" ht="21" x14ac:dyDescent="0.35">
      <c r="J35">
        <v>1</v>
      </c>
      <c r="K35" cm="1">
        <f t="array" ref="K35:K36">MMULT($L$13:$M$14,$D$14:$D$15)+MMULT($P$13:$Q$14,_xlfn.ANCHORARRAY(T29))+$T$13:$T$14</f>
        <v>3.3865252056656088</v>
      </c>
      <c r="L35" s="19">
        <f>1/(1+EXP(-K35))</f>
        <v>0.9672807503526063</v>
      </c>
      <c r="N35" cm="1">
        <f t="array" ref="N35:N36">MMULT($L$18:$M$19,$D$14:$D$15)+MMULT($P$18:$Q$19,_xlfn.ANCHORARRAY(T29))+$T$18:$T$19</f>
        <v>0.74344045622884791</v>
      </c>
      <c r="O35" s="19">
        <f>1/(1+EXP(-N35))</f>
        <v>0.67774773069629701</v>
      </c>
      <c r="Q35" cm="1">
        <f t="array" ref="Q35:Q36">MMULT($L$23:$M$24,$D$14:$D$15)+MMULT($P$23:$Q$24,$L$35:$L$36*_xlfn.ANCHORARRAY(T29))+$T$23:$T$24</f>
        <v>0.5212977119955523</v>
      </c>
      <c r="R35" s="19">
        <f>(EXP(Q35)-EXP(-Q35))/(EXP(Q35)+EXP(-Q35))</f>
        <v>0.47870096871647239</v>
      </c>
      <c r="T35" s="56" cm="1">
        <f t="array" ref="T35:T36">O35:O36*_xlfn.ANCHORARRAY(T29)+(1-O35:O36)*R35:R36</f>
        <v>0.41666473646778723</v>
      </c>
      <c r="V35" s="7">
        <v>2</v>
      </c>
      <c r="W35" s="3">
        <f>-1/3*((2/(1+DATA!I17))*X35*LOG(W29)+((2*DATA!I17)/(1+DATA!I17))*(1-X35)*LOG(1-W29))</f>
        <v>5.5129937717396122E-3</v>
      </c>
      <c r="X35" s="8">
        <v>1</v>
      </c>
      <c r="AD35">
        <v>8</v>
      </c>
      <c r="AE35" s="55" cm="1">
        <f t="array" ref="AE35">SUM(MMULT(TRANSPOSE($W$34:$W$36),TRANSPOSE(Z14:AB14)))</f>
        <v>-0.18577158259330098</v>
      </c>
      <c r="AK35" s="43" t="s">
        <v>105</v>
      </c>
      <c r="AL35" s="25"/>
      <c r="AN35" s="85"/>
      <c r="AO35" s="85"/>
      <c r="AP35" s="85"/>
      <c r="AQ35" s="85"/>
      <c r="AR35" s="85"/>
      <c r="AS35" s="85"/>
      <c r="AT35" s="25"/>
      <c r="AU35" s="42" t="s">
        <v>105</v>
      </c>
      <c r="AW35" s="83"/>
      <c r="AX35" s="87"/>
      <c r="AZ35" s="84"/>
      <c r="BB35" s="83"/>
      <c r="BC35" s="87"/>
      <c r="BE35" s="84"/>
      <c r="BG35" s="83"/>
      <c r="BH35" s="87"/>
      <c r="BK35">
        <v>1</v>
      </c>
      <c r="BL35" s="55">
        <f>AV56*IF(AV56&gt;0,1,0)</f>
        <v>0</v>
      </c>
      <c r="BT35">
        <v>0</v>
      </c>
      <c r="BU35" s="19">
        <v>8.6633902217030781E-2</v>
      </c>
      <c r="BV35">
        <v>0</v>
      </c>
    </row>
    <row r="36" spans="10:74" ht="15.75" thickBot="1" x14ac:dyDescent="0.3">
      <c r="J36">
        <v>2</v>
      </c>
      <c r="K36">
        <v>1.7620221422798252</v>
      </c>
      <c r="L36" s="20">
        <f>1/(1+EXP(-K36))</f>
        <v>0.85346273838978381</v>
      </c>
      <c r="N36">
        <v>-0.22113401228960927</v>
      </c>
      <c r="O36" s="20">
        <f>1/(1+EXP(-N36))</f>
        <v>0.44494068215316251</v>
      </c>
      <c r="Q36">
        <v>3.7264119716168049</v>
      </c>
      <c r="R36" s="20">
        <f>(EXP(Q36)-EXP(-Q36))/(EXP(Q36)+EXP(-Q36))</f>
        <v>0.99884106801044159</v>
      </c>
      <c r="T36" s="57">
        <v>0.65027309102745778</v>
      </c>
      <c r="V36" s="9">
        <v>3</v>
      </c>
      <c r="W36" s="23">
        <f>-1/3*((2/(1+DATA!I18))*X36*LOG(W30)+((2*DATA!I18)/(1+DATA!I18))*(1-X36)*LOG(1-W30))</f>
        <v>0.3958219909108871</v>
      </c>
      <c r="X36" s="11">
        <v>0</v>
      </c>
      <c r="AD36">
        <v>9</v>
      </c>
      <c r="AE36" s="55" cm="1">
        <f t="array" ref="AE36">SUM(MMULT(TRANSPOSE($W$34:$W$36),TRANSPOSE(Z15:AB15)))</f>
        <v>-0.33767791435844657</v>
      </c>
      <c r="AK36" s="25" t="s">
        <v>106</v>
      </c>
      <c r="AL36" s="25"/>
      <c r="AM36" t="s">
        <v>113</v>
      </c>
      <c r="AN36" s="85" t="s">
        <v>114</v>
      </c>
      <c r="AO36" s="85" t="s">
        <v>115</v>
      </c>
      <c r="AP36" s="85" t="s">
        <v>116</v>
      </c>
      <c r="AQ36" s="85" t="s">
        <v>117</v>
      </c>
      <c r="AR36" s="85" t="s">
        <v>118</v>
      </c>
      <c r="AS36" s="86" t="s">
        <v>123</v>
      </c>
      <c r="AT36" s="25"/>
      <c r="AU36" t="s">
        <v>124</v>
      </c>
      <c r="AW36" s="83" t="s">
        <v>125</v>
      </c>
      <c r="AX36" s="87"/>
      <c r="AY36" t="s">
        <v>126</v>
      </c>
      <c r="AZ36" s="84" t="s">
        <v>131</v>
      </c>
      <c r="BB36" s="83" t="s">
        <v>129</v>
      </c>
      <c r="BC36" s="87"/>
      <c r="BD36" t="s">
        <v>127</v>
      </c>
      <c r="BE36" s="84" t="s">
        <v>132</v>
      </c>
      <c r="BG36" s="83" t="s">
        <v>130</v>
      </c>
      <c r="BH36" s="87"/>
      <c r="BI36" t="s">
        <v>128</v>
      </c>
      <c r="BK36">
        <v>2</v>
      </c>
      <c r="BL36" s="55">
        <f t="shared" ref="BL36:BL40" si="6">AV57*IF(AV57&gt;0,1,0)</f>
        <v>0</v>
      </c>
      <c r="BT36">
        <v>0</v>
      </c>
      <c r="BU36" s="19">
        <v>-0.84368679885201792</v>
      </c>
      <c r="BV36">
        <v>0</v>
      </c>
    </row>
    <row r="37" spans="10:74" x14ac:dyDescent="0.25">
      <c r="AD37">
        <v>10</v>
      </c>
      <c r="AE37" s="55" cm="1">
        <f t="array" ref="AE37">SUM(MMULT(TRANSPOSE($W$34:$W$36),TRANSPOSE(Z16:AB16)))</f>
        <v>-6.7718585461745653E-2</v>
      </c>
      <c r="AK37" s="25">
        <v>1</v>
      </c>
      <c r="AL37" s="25"/>
      <c r="AM37">
        <v>1</v>
      </c>
      <c r="AN37" s="85">
        <v>1</v>
      </c>
      <c r="AO37" s="85">
        <v>1</v>
      </c>
      <c r="AP37" s="85">
        <v>1</v>
      </c>
      <c r="AQ37" s="85">
        <v>1</v>
      </c>
      <c r="AR37" s="85">
        <v>1</v>
      </c>
      <c r="AS37" s="86">
        <v>1</v>
      </c>
      <c r="AT37" s="25"/>
      <c r="AU37">
        <v>1</v>
      </c>
      <c r="AV37">
        <v>2</v>
      </c>
      <c r="AW37" s="83">
        <v>1</v>
      </c>
      <c r="AX37" s="87">
        <v>2</v>
      </c>
      <c r="AY37">
        <v>1</v>
      </c>
      <c r="AZ37" s="84">
        <v>1</v>
      </c>
      <c r="BA37">
        <v>2</v>
      </c>
      <c r="BB37" s="83">
        <v>1</v>
      </c>
      <c r="BC37" s="87">
        <v>2</v>
      </c>
      <c r="BD37">
        <v>1</v>
      </c>
      <c r="BE37" s="84">
        <v>1</v>
      </c>
      <c r="BF37">
        <v>2</v>
      </c>
      <c r="BG37" s="83">
        <v>1</v>
      </c>
      <c r="BH37" s="87">
        <v>2</v>
      </c>
      <c r="BI37">
        <v>1</v>
      </c>
      <c r="BK37">
        <v>3</v>
      </c>
      <c r="BL37" s="55">
        <f t="shared" si="6"/>
        <v>0</v>
      </c>
      <c r="BT37">
        <v>0</v>
      </c>
      <c r="BU37" s="19">
        <v>0.17422066566536737</v>
      </c>
      <c r="BV37">
        <v>0</v>
      </c>
    </row>
    <row r="38" spans="10:74" ht="21.75" thickBot="1" x14ac:dyDescent="0.4">
      <c r="K38" s="42" t="s">
        <v>111</v>
      </c>
      <c r="AD38">
        <v>11</v>
      </c>
      <c r="AE38" s="55" cm="1">
        <f t="array" ref="AE38">SUM(MMULT(TRANSPOSE($W$34:$W$36),TRANSPOSE(Z17:AB17)))</f>
        <v>6.5756880748488438E-3</v>
      </c>
      <c r="AJ38">
        <v>1</v>
      </c>
      <c r="AK38" s="70" cm="1">
        <f t="array" ref="AK38:AK39">AJ79:AJ80+_xlfn.ANCHORARRAY(AS32)</f>
        <v>-0.52023711859795241</v>
      </c>
      <c r="AL38" s="25"/>
      <c r="AM38" cm="1">
        <f t="array" ref="AM38:AM39">_xlfn.ANCHORARRAY(AK38)*(1-$O$29:$O$30)</f>
        <v>-0.32200517746869323</v>
      </c>
      <c r="AN38" s="85" cm="1">
        <f t="array" ref="AN38:AN39">_xlfn.ANCHORARRAY(AM38)*(1-$R$29:$R$30*$R$29:$R$30)</f>
        <v>-0.3165680204831281</v>
      </c>
      <c r="AO38" s="85" cm="1">
        <f t="array" ref="AO38:AO39">_xlfn.ANCHORARRAY(AK38)*(L7:L8-$R$29:$R$30)</f>
        <v>-0.35118945644240018</v>
      </c>
      <c r="AP38" s="85" cm="1">
        <f t="array" ref="AP38:AP39">_xlfn.ANCHORARRAY(AO38)*($O$29:$O$30*(1-$O$29:$O$30))</f>
        <v>-8.2827639773356512E-2</v>
      </c>
      <c r="AQ38" s="85" cm="1">
        <f t="array" ref="AQ38:AQ39">MMULT(TRANSPOSE($P$23:$Q$24),_xlfn.ANCHORARRAY(AN38))*$L$7:$L$8</f>
        <v>-0.1713453958113591</v>
      </c>
      <c r="AR38" s="85" cm="1">
        <f t="array" ref="AR38:AR39">_xlfn.ANCHORARRAY(AQ38)*($L$29:$L$30*(1-$L$29:$L$30))</f>
        <v>-1.1525797189335389E-3</v>
      </c>
      <c r="AS38" s="86" cm="1">
        <f t="array" ref="AS38:AS39">_xlfn.ANCHORARRAY(AK38)*$O$29:$O$30+MMULT(TRANSPOSE($P$23:$Q$24),_xlfn.ANCHORARRAY(AN38))*$L$29:$L$30+MMULT(TRANSPOSE($P$18:$Q$19),_xlfn.ANCHORARRAY(AP38))+MMULT(TRANSPOSE($P$13:$Q$14),_xlfn.ANCHORARRAY(AR38))</f>
        <v>-0.46671760958528241</v>
      </c>
      <c r="AT38" s="25"/>
      <c r="AU38" cm="1">
        <f t="array" ref="AU38:AV39">MMULT(_xlfn.ANCHORARRAY(AN38),TRANSPOSE($C$14:$C$15))</f>
        <v>-1.2756639202071476</v>
      </c>
      <c r="AV38">
        <v>-0.45148431759973812</v>
      </c>
      <c r="AW38" s="83" cm="1">
        <f t="array" ref="AW38:AX39">MMULT(_xlfn.ANCHORARRAY(AN38),TRANSPOSE($L$29:$L$30*L7:L8))</f>
        <v>-0.25311136802835993</v>
      </c>
      <c r="AX38" s="87">
        <v>0.27098505005070261</v>
      </c>
      <c r="AY38" cm="1">
        <f t="array" ref="AY38:AY39">_xlfn.ANCHORARRAY(AN38)</f>
        <v>-0.3165680204831281</v>
      </c>
      <c r="AZ38" s="84" cm="1">
        <f t="array" ref="AZ38:BA39">MMULT(_xlfn.ANCHORARRAY(AP38),TRANSPOSE($C$14:$C$15))</f>
        <v>-0.33376786288625365</v>
      </c>
      <c r="BA38">
        <v>-0.11812747340808491</v>
      </c>
      <c r="BB38" s="83" cm="1">
        <f t="array" ref="BB38:BC39">MMULT(_xlfn.ANCHORARRAY(AP38),TRANSPOSE(L7:L8))</f>
        <v>-6.6676250017551994E-2</v>
      </c>
      <c r="BC38" s="87">
        <v>8.0922604058569311E-2</v>
      </c>
      <c r="BD38" cm="1">
        <f t="array" ref="BD38:BD39">_xlfn.ANCHORARRAY(AP38)</f>
        <v>-8.2827639773356512E-2</v>
      </c>
      <c r="BE38" s="84" cm="1">
        <f t="array" ref="BE38:BF39">MMULT(_xlfn.ANCHORARRAY(AR38),TRANSPOSE($C$14:$C$15))</f>
        <v>-4.644513240352313E-3</v>
      </c>
      <c r="BF38">
        <v>-1.6437910155543986E-3</v>
      </c>
      <c r="BG38" s="83" cm="1">
        <f t="array" ref="BG38:BH39">MMULT(_xlfn.ANCHORARRAY(AR38),TRANSPOSE(L7:L8))</f>
        <v>-9.2782667374149887E-4</v>
      </c>
      <c r="BH38" s="87">
        <v>1.1260703853980675E-3</v>
      </c>
      <c r="BI38" cm="1">
        <f t="array" ref="BI38:BI39">_xlfn.ANCHORARRAY(AR38)</f>
        <v>-1.1525797189335389E-3</v>
      </c>
      <c r="BK38">
        <v>4</v>
      </c>
      <c r="BL38" s="55">
        <f t="shared" si="6"/>
        <v>1.4465151245891214E-3</v>
      </c>
      <c r="BT38">
        <v>0</v>
      </c>
      <c r="BU38" s="20">
        <v>0.46054055495736873</v>
      </c>
      <c r="BV38">
        <v>0</v>
      </c>
    </row>
    <row r="39" spans="10:74" x14ac:dyDescent="0.25">
      <c r="K39" t="s">
        <v>99</v>
      </c>
      <c r="L39" s="18" t="s">
        <v>100</v>
      </c>
      <c r="N39" t="s">
        <v>101</v>
      </c>
      <c r="O39" s="18" t="s">
        <v>100</v>
      </c>
      <c r="Q39" t="s">
        <v>122</v>
      </c>
      <c r="R39" s="18" t="s">
        <v>102</v>
      </c>
      <c r="T39" s="18" t="s">
        <v>103</v>
      </c>
      <c r="V39" s="13"/>
      <c r="AD39">
        <v>12</v>
      </c>
      <c r="AE39" s="55" cm="1">
        <f t="array" ref="AE39">SUM(MMULT(TRANSPOSE($W$34:$W$36),TRANSPOSE(Z18:AB18)))</f>
        <v>-2.8241994495790219E-3</v>
      </c>
      <c r="AJ39">
        <v>2</v>
      </c>
      <c r="AK39" s="71">
        <v>0.12813715428542788</v>
      </c>
      <c r="AL39" s="25"/>
      <c r="AM39">
        <v>7.7345353630166355E-2</v>
      </c>
      <c r="AN39" s="85">
        <v>2.3217673271367311E-4</v>
      </c>
      <c r="AO39" s="85">
        <v>-0.25313468721999938</v>
      </c>
      <c r="AP39" s="85">
        <v>-6.0566063886024535E-2</v>
      </c>
      <c r="AQ39" s="85">
        <v>0.22897952293383958</v>
      </c>
      <c r="AR39" s="85">
        <v>2.4845008821427306E-2</v>
      </c>
      <c r="AS39" s="86">
        <v>-0.22154785483655021</v>
      </c>
      <c r="AT39" s="25"/>
      <c r="AU39">
        <v>9.355950755303681E-4</v>
      </c>
      <c r="AV39">
        <v>3.3112679408296784E-4</v>
      </c>
      <c r="AW39" s="83">
        <v>1.8563647190839578E-4</v>
      </c>
      <c r="AX39" s="87">
        <v>-1.9874535475505024E-4</v>
      </c>
      <c r="AY39">
        <v>2.3217673271367311E-4</v>
      </c>
      <c r="AZ39" s="84">
        <v>-0.24406111005922149</v>
      </c>
      <c r="BA39">
        <v>-8.6378365008417821E-2</v>
      </c>
      <c r="BB39" s="83">
        <v>-4.875568142824975E-2</v>
      </c>
      <c r="BC39" s="87">
        <v>5.9173044416645969E-2</v>
      </c>
      <c r="BD39">
        <v>-6.0566063886024535E-2</v>
      </c>
      <c r="BE39" s="84">
        <v>0.10011712902128814</v>
      </c>
      <c r="BF39">
        <v>3.5433559701901138E-2</v>
      </c>
      <c r="BG39" s="83">
        <v>2.0000232101248981E-2</v>
      </c>
      <c r="BH39" s="87">
        <v>-2.4273573618534477E-2</v>
      </c>
      <c r="BI39">
        <v>2.4845008821427306E-2</v>
      </c>
      <c r="BK39">
        <v>5</v>
      </c>
      <c r="BL39" s="55">
        <f t="shared" si="6"/>
        <v>1.0068830431229235E-3</v>
      </c>
      <c r="BT39">
        <v>0</v>
      </c>
      <c r="BU39">
        <v>0</v>
      </c>
      <c r="BV39">
        <v>0</v>
      </c>
    </row>
    <row r="40" spans="10:74" x14ac:dyDescent="0.25">
      <c r="K40">
        <v>1</v>
      </c>
      <c r="L40" s="19">
        <v>1</v>
      </c>
      <c r="N40">
        <v>1</v>
      </c>
      <c r="O40" s="19">
        <v>1</v>
      </c>
      <c r="Q40">
        <v>1</v>
      </c>
      <c r="R40" s="19">
        <v>1</v>
      </c>
      <c r="T40" s="19">
        <v>1</v>
      </c>
      <c r="BK40">
        <v>6</v>
      </c>
      <c r="BL40" s="55">
        <f t="shared" si="6"/>
        <v>1.5988692705242835E-3</v>
      </c>
    </row>
    <row r="41" spans="10:74" ht="15.75" thickBot="1" x14ac:dyDescent="0.3">
      <c r="J41">
        <v>1</v>
      </c>
      <c r="K41" cm="1">
        <f t="array" ref="K41:K42">MMULT($L$13:$M$14,$E$14:$E$15)+MMULT($P$13:$Q$14,_xlfn.ANCHORARRAY(T35))+$T$13:$T$14</f>
        <v>3.038579223163997</v>
      </c>
      <c r="L41" s="19">
        <f>1/(1+EXP(-K41))</f>
        <v>0.95428689005719791</v>
      </c>
      <c r="N41" cm="1">
        <f t="array" ref="N41:N42">MMULT($L$18:$M$19,$E$14:$E$15)+MMULT($P$18:$Q$19,_xlfn.ANCHORARRAY(T35))+$T$18:$T$19</f>
        <v>1.3827233388031401</v>
      </c>
      <c r="O41" s="19">
        <f>1/(1+EXP(-N41))</f>
        <v>0.79942802427572601</v>
      </c>
      <c r="Q41" cm="1">
        <f t="array" ref="Q41:Q42">MMULT($L$23:$M$24,$E$14:$E$15)+MMULT($P$23:$Q$24,$L$41:$L$42*_xlfn.ANCHORARRAY(T35))+$T$23:$T$24</f>
        <v>1.648734544059846</v>
      </c>
      <c r="R41" s="19">
        <f>(EXP(Q41)-EXP(-Q41))/(EXP(Q41)+EXP(-Q41))</f>
        <v>0.92868376687659193</v>
      </c>
      <c r="T41" s="56" cm="1">
        <f t="array" ref="T41:T42">O41:O42*_xlfn.ANCHORARRAY(T35)+(1-O41:O42)*R41:R42</f>
        <v>0.51936140500530836</v>
      </c>
      <c r="AE41" s="51" t="s">
        <v>54</v>
      </c>
      <c r="AG41" s="13" t="s">
        <v>51</v>
      </c>
      <c r="AU41" t="s">
        <v>133</v>
      </c>
    </row>
    <row r="42" spans="10:74" ht="15.75" thickBot="1" x14ac:dyDescent="0.3">
      <c r="J42">
        <v>2</v>
      </c>
      <c r="K42">
        <v>2.862806788730869</v>
      </c>
      <c r="L42" s="20">
        <f>1/(1+EXP(-K42))</f>
        <v>0.94597691898295577</v>
      </c>
      <c r="N42">
        <v>-1.18330855796561</v>
      </c>
      <c r="O42" s="20">
        <f>1/(1+EXP(-N42))</f>
        <v>0.23445783026953887</v>
      </c>
      <c r="Q42">
        <v>4.9800730591151048</v>
      </c>
      <c r="R42" s="20">
        <f>(EXP(Q42)-EXP(-Q42))/(EXP(Q42)+EXP(-Q42))</f>
        <v>0.99990551280000106</v>
      </c>
      <c r="T42" s="57">
        <v>0.91793145379932639</v>
      </c>
      <c r="AE42">
        <v>1</v>
      </c>
      <c r="AF42" s="13" t="s">
        <v>82</v>
      </c>
      <c r="AG42">
        <v>1</v>
      </c>
      <c r="AH42">
        <v>2</v>
      </c>
      <c r="AT42" s="4"/>
      <c r="AU42" s="5" t="s">
        <v>124</v>
      </c>
      <c r="AV42" s="6"/>
      <c r="AW42" s="4" t="s">
        <v>125</v>
      </c>
      <c r="AX42" s="6"/>
      <c r="AY42" s="18" t="s">
        <v>126</v>
      </c>
      <c r="AZ42" s="4" t="s">
        <v>131</v>
      </c>
      <c r="BA42" s="6"/>
      <c r="BB42" s="4" t="s">
        <v>129</v>
      </c>
      <c r="BC42" s="6"/>
      <c r="BD42" s="18" t="s">
        <v>127</v>
      </c>
      <c r="BE42" s="4" t="s">
        <v>132</v>
      </c>
      <c r="BF42" s="6"/>
      <c r="BG42" s="4" t="s">
        <v>130</v>
      </c>
      <c r="BH42" s="6"/>
      <c r="BI42" s="18" t="s">
        <v>128</v>
      </c>
      <c r="BK42" s="4"/>
      <c r="BL42" s="39" t="s">
        <v>50</v>
      </c>
      <c r="BN42" s="4"/>
      <c r="BO42" s="39" t="s">
        <v>52</v>
      </c>
    </row>
    <row r="43" spans="10:74" x14ac:dyDescent="0.25">
      <c r="AD43">
        <v>1</v>
      </c>
      <c r="AE43" s="3">
        <f>AE28</f>
        <v>-0.31513567744382831</v>
      </c>
      <c r="AF43">
        <f t="shared" ref="AF43:AF48" si="7">MATCH(MAX(_xlfn.ANCHORARRAY(K65)),_xlfn.ANCHORARRAY(K65),0)</f>
        <v>1</v>
      </c>
      <c r="AG43">
        <f t="shared" ref="AG43:AH48" si="8">IF($AF43=AG$42,$AE43,0)</f>
        <v>-0.31513567744382831</v>
      </c>
      <c r="AH43">
        <f t="shared" si="8"/>
        <v>0</v>
      </c>
      <c r="AT43" s="7"/>
      <c r="AU43">
        <v>1</v>
      </c>
      <c r="AV43" s="8">
        <v>2</v>
      </c>
      <c r="AW43" s="7">
        <v>1</v>
      </c>
      <c r="AX43" s="8">
        <v>2</v>
      </c>
      <c r="AY43" s="19">
        <v>1</v>
      </c>
      <c r="AZ43" s="7">
        <v>1</v>
      </c>
      <c r="BA43" s="8">
        <v>2</v>
      </c>
      <c r="BB43" s="7">
        <v>1</v>
      </c>
      <c r="BC43" s="8">
        <v>2</v>
      </c>
      <c r="BD43" s="19">
        <v>1</v>
      </c>
      <c r="BE43" s="7">
        <v>1</v>
      </c>
      <c r="BF43" s="8">
        <v>2</v>
      </c>
      <c r="BG43" s="7">
        <v>1</v>
      </c>
      <c r="BH43" s="8">
        <v>2</v>
      </c>
      <c r="BI43" s="19">
        <v>1</v>
      </c>
      <c r="BK43" s="7"/>
      <c r="BL43" s="8">
        <v>1</v>
      </c>
      <c r="BN43" s="7"/>
      <c r="BO43" s="8">
        <v>1</v>
      </c>
    </row>
    <row r="44" spans="10:74" ht="21.75" thickBot="1" x14ac:dyDescent="0.4">
      <c r="K44" s="42" t="s">
        <v>110</v>
      </c>
      <c r="AD44">
        <v>2</v>
      </c>
      <c r="AE44" s="3">
        <f t="shared" ref="AE44:AE48" si="9">AE29</f>
        <v>0.36744827129306418</v>
      </c>
      <c r="AF44">
        <f t="shared" si="7"/>
        <v>2</v>
      </c>
      <c r="AG44">
        <f t="shared" si="8"/>
        <v>0</v>
      </c>
      <c r="AH44">
        <f t="shared" si="8"/>
        <v>0.36744827129306418</v>
      </c>
      <c r="AT44" s="7">
        <v>1</v>
      </c>
      <c r="AU44">
        <f>SUM(AU8,AU14,AU20,AU26,AU32,AU38)</f>
        <v>-1.4910344327143772</v>
      </c>
      <c r="AV44" s="8">
        <f>SUM(AV8,AV14,AV20,AV26,AV32,AV38)</f>
        <v>-0.51343297634823404</v>
      </c>
      <c r="AW44" s="7">
        <f>SUM(AW8,AW14,AW20,AW26,AW32,AW38)</f>
        <v>-0.27876008416782827</v>
      </c>
      <c r="AX44" s="8">
        <f>SUM(AX8,AX14,AX20,AX26,AX32,AX38)</f>
        <v>0.25550057394328141</v>
      </c>
      <c r="AY44" s="19">
        <f>SUM(AY8,AY14,AY20,AY26,AY32,AY38)</f>
        <v>-0.38465933347710057</v>
      </c>
      <c r="AZ44" s="7">
        <f>SUM(AZ8,AZ14,AZ20,AZ26,AZ32,AZ38)</f>
        <v>-0.25957112660987597</v>
      </c>
      <c r="BA44" s="8">
        <f>SUM(BA8,BA14,BA20,BA26,BA32,BA38)</f>
        <v>-8.295767816164043E-2</v>
      </c>
      <c r="BB44" s="7">
        <f>SUM(BB8,BB14,BB20,BB26,BB32,BB38)</f>
        <v>-5.6882677977589682E-2</v>
      </c>
      <c r="BC44" s="8">
        <f>SUM(BC8,BC14,BC20,BC26,BC32,BC38)</f>
        <v>9.4375880463087591E-2</v>
      </c>
      <c r="BD44" s="19">
        <f>SUM(BD8,BD14,BD20,BD26,BD32,BD38)</f>
        <v>-5.9642711115416809E-2</v>
      </c>
      <c r="BE44" s="7">
        <f>SUM(BE8,BE14,BE20,BE26,BE32,BE38)</f>
        <v>-6.6957854728141135E-3</v>
      </c>
      <c r="BF44" s="8">
        <f>SUM(BF8,BF14,BF20,BF26,BF32,BF38)</f>
        <v>-2.2648951820017607E-3</v>
      </c>
      <c r="BG44" s="7">
        <f>SUM(BG8,BG14,BG20,BG26,BG32,BG38)</f>
        <v>-1.2115156737069533E-3</v>
      </c>
      <c r="BH44" s="8">
        <f>SUM(BH8,BH14,BH20,BH26,BH32,BH38)</f>
        <v>8.7003177473824974E-4</v>
      </c>
      <c r="BI44" s="19">
        <f>SUM(BI8,BI14,BI20,BI26,BI32,BI38)</f>
        <v>-1.8451706008308661E-3</v>
      </c>
      <c r="BK44" s="7">
        <v>1</v>
      </c>
      <c r="BL44" s="8" cm="1">
        <f t="array" ref="BL44">SUM($BL$35:$BL$40*BU32:BU37)</f>
        <v>-4.4562061298900654E-4</v>
      </c>
      <c r="BN44" s="9">
        <v>1</v>
      </c>
      <c r="BO44" s="11">
        <f>SUM(AV56:AV61)</f>
        <v>-0.28782411015095449</v>
      </c>
    </row>
    <row r="45" spans="10:74" ht="15.75" thickBot="1" x14ac:dyDescent="0.3">
      <c r="K45" t="s">
        <v>99</v>
      </c>
      <c r="L45" s="18" t="s">
        <v>100</v>
      </c>
      <c r="N45" t="s">
        <v>101</v>
      </c>
      <c r="O45" s="18" t="s">
        <v>100</v>
      </c>
      <c r="Q45" t="s">
        <v>122</v>
      </c>
      <c r="R45" s="18" t="s">
        <v>102</v>
      </c>
      <c r="T45" s="18" t="s">
        <v>103</v>
      </c>
      <c r="AD45">
        <v>3</v>
      </c>
      <c r="AE45" s="3">
        <f t="shared" si="9"/>
        <v>-6.2308054682829607E-2</v>
      </c>
      <c r="AF45">
        <f t="shared" si="7"/>
        <v>2</v>
      </c>
      <c r="AG45">
        <f t="shared" si="8"/>
        <v>0</v>
      </c>
      <c r="AH45">
        <f t="shared" si="8"/>
        <v>-6.2308054682829607E-2</v>
      </c>
      <c r="AT45" s="9">
        <v>2</v>
      </c>
      <c r="AU45" s="14">
        <f>SUM(AU9,AU15,AU21,AU27,AU33,AU39)</f>
        <v>3.1289566057609718E-3</v>
      </c>
      <c r="AV45" s="11">
        <f>SUM(AV9,AV15,AV21,AV27,AV33,AV39)</f>
        <v>9.1608050618298528E-4</v>
      </c>
      <c r="AW45" s="9">
        <f>SUM(AW9,AW15,AW21,AW27,AW33,AW39)</f>
        <v>5.878724081096494E-4</v>
      </c>
      <c r="AX45" s="11">
        <f>SUM(AX9,AX15,AX21,AX27,AX33,AX39)</f>
        <v>3.8140036526671114E-4</v>
      </c>
      <c r="AY45" s="20">
        <f>SUM(AY9,AY15,AY21,AY27,AY33,AY39)</f>
        <v>1.2235890103785372E-3</v>
      </c>
      <c r="AZ45" s="9">
        <f>SUM(AZ9,AZ15,AZ21,AZ27,AZ33,AZ39)</f>
        <v>-0.37501325198167101</v>
      </c>
      <c r="BA45" s="11">
        <f>SUM(BA9,BA15,BA21,BA27,BA33,BA39)</f>
        <v>-0.11133128401468868</v>
      </c>
      <c r="BB45" s="9">
        <f>SUM(BB9,BB15,BB21,BB27,BB33,BB39)</f>
        <v>-6.5585165364152931E-2</v>
      </c>
      <c r="BC45" s="11">
        <f>SUM(BC9,BC15,BC21,BC27,BC33,BC39)</f>
        <v>5.10061635174828E-2</v>
      </c>
      <c r="BD45" s="20">
        <f>SUM(BD9,BD15,BD21,BD27,BD33,BD39)</f>
        <v>-0.103030880974427</v>
      </c>
      <c r="BE45" s="9">
        <f>SUM(BE9,BE15,BE21,BE27,BE33,BE39)</f>
        <v>9.5600290374178276E-2</v>
      </c>
      <c r="BF45" s="11">
        <f>SUM(BF9,BF15,BF21,BF27,BF33,BF39)</f>
        <v>3.4055321811174613E-2</v>
      </c>
      <c r="BG45" s="9">
        <f>SUM(BG9,BG15,BG21,BG27,BG33,BG39)</f>
        <v>1.943543100606971E-2</v>
      </c>
      <c r="BH45" s="11">
        <f>SUM(BH9,BH15,BH21,BH27,BH33,BH39)</f>
        <v>-2.4683209081415469E-2</v>
      </c>
      <c r="BI45" s="20">
        <f>SUM(BI9,BI15,BI21,BI27,BI33,BI39)</f>
        <v>2.3407343351347372E-2</v>
      </c>
      <c r="BK45" s="7">
        <v>2</v>
      </c>
      <c r="BL45" s="8" cm="1">
        <f t="array" ref="BL45">SUM($BL$35:$BL$40*BU33:BU38)</f>
        <v>-3.0864173978404025E-4</v>
      </c>
    </row>
    <row r="46" spans="10:74" ht="15.75" thickBot="1" x14ac:dyDescent="0.3">
      <c r="K46">
        <v>1</v>
      </c>
      <c r="L46" s="19">
        <v>1</v>
      </c>
      <c r="N46">
        <v>1</v>
      </c>
      <c r="O46" s="19">
        <v>1</v>
      </c>
      <c r="Q46">
        <v>1</v>
      </c>
      <c r="R46" s="19">
        <v>1</v>
      </c>
      <c r="T46" s="19">
        <v>1</v>
      </c>
      <c r="AD46">
        <v>4</v>
      </c>
      <c r="AE46" s="3">
        <f t="shared" si="9"/>
        <v>6.4936859888075599E-2</v>
      </c>
      <c r="AF46">
        <f t="shared" si="7"/>
        <v>2</v>
      </c>
      <c r="AG46">
        <f t="shared" si="8"/>
        <v>0</v>
      </c>
      <c r="AH46">
        <f t="shared" si="8"/>
        <v>6.4936859888075599E-2</v>
      </c>
      <c r="BK46" s="9">
        <v>3</v>
      </c>
      <c r="BL46" s="11" cm="1">
        <f t="array" ref="BL46">SUM($BL$35:$BL$40*BU34:BU39)</f>
        <v>7.1572330335793397E-4</v>
      </c>
    </row>
    <row r="47" spans="10:74" x14ac:dyDescent="0.25">
      <c r="J47">
        <v>1</v>
      </c>
      <c r="K47" cm="1">
        <f t="array" ref="K47:K48">MMULT($L$13:$M$14,$F$14:$F$15)+MMULT($P$13:$Q$14,_xlfn.ANCHORARRAY(T41))+$T$13:$T$14</f>
        <v>1.3371332597847649</v>
      </c>
      <c r="L47" s="19">
        <f>1/(1+EXP(-K47))</f>
        <v>0.79201811175814696</v>
      </c>
      <c r="N47" cm="1">
        <f t="array" ref="N47:N48">MMULT($L$18:$M$19,$F$14:$F$15)+MMULT($P$18:$Q$19,_xlfn.ANCHORARRAY(T41))+$T$18:$T$19</f>
        <v>1.6888736778354332</v>
      </c>
      <c r="O47" s="19">
        <f>1/(1+EXP(-N47))</f>
        <v>0.84407598012031504</v>
      </c>
      <c r="Q47" cm="1">
        <f t="array" ref="Q47:Q48">MMULT($L$23:$M$24,$F$14:$F$15)+MMULT($P$23:$Q$24,$L$47:$L$48*_xlfn.ANCHORARRAY(T41))+$T$23:$T$24</f>
        <v>1.4282952652370959</v>
      </c>
      <c r="R47" s="19">
        <f>(EXP(Q47)-EXP(-Q47))/(EXP(Q47)+EXP(-Q47))</f>
        <v>0.89131671508595911</v>
      </c>
      <c r="T47" s="56" cm="1">
        <f t="array" ref="T47:T48">O47:O48*_xlfn.ANCHORARRAY(T41)+(1-O47:O48)*R47:R48</f>
        <v>0.57735817216867813</v>
      </c>
      <c r="AD47">
        <v>5</v>
      </c>
      <c r="AE47" s="3">
        <f t="shared" si="9"/>
        <v>5.2442599284116584E-2</v>
      </c>
      <c r="AF47">
        <f t="shared" si="7"/>
        <v>2</v>
      </c>
      <c r="AG47">
        <f t="shared" si="8"/>
        <v>0</v>
      </c>
      <c r="AH47">
        <f t="shared" si="8"/>
        <v>5.2442599284116584E-2</v>
      </c>
      <c r="AU47" t="s">
        <v>134</v>
      </c>
    </row>
    <row r="48" spans="10:74" ht="15.75" thickBot="1" x14ac:dyDescent="0.3">
      <c r="J48">
        <v>2</v>
      </c>
      <c r="K48">
        <v>1.5017183286635662</v>
      </c>
      <c r="L48" s="20">
        <f>1/(1+EXP(-K48))</f>
        <v>0.81783061897784792</v>
      </c>
      <c r="N48">
        <v>0.59335365703469889</v>
      </c>
      <c r="O48" s="20">
        <f>1/(1+EXP(-N48))</f>
        <v>0.64413425983619388</v>
      </c>
      <c r="Q48">
        <v>2.7747741276668814</v>
      </c>
      <c r="R48" s="20">
        <f>(EXP(Q48)-EXP(-Q48))/(EXP(Q48)+EXP(-Q48))</f>
        <v>0.99225170721052736</v>
      </c>
      <c r="T48" s="57">
        <v>0.94437948578866504</v>
      </c>
      <c r="AD48">
        <v>6</v>
      </c>
      <c r="AE48" s="3">
        <f t="shared" si="9"/>
        <v>0.31943942879640741</v>
      </c>
      <c r="AF48">
        <f t="shared" si="7"/>
        <v>2</v>
      </c>
      <c r="AG48">
        <f t="shared" si="8"/>
        <v>0</v>
      </c>
      <c r="AH48">
        <f t="shared" si="8"/>
        <v>0.31943942879640741</v>
      </c>
      <c r="AU48" t="s">
        <v>105</v>
      </c>
      <c r="AV48" t="s">
        <v>112</v>
      </c>
      <c r="AW48" t="s">
        <v>111</v>
      </c>
      <c r="AX48" t="s">
        <v>110</v>
      </c>
      <c r="AY48" t="s">
        <v>108</v>
      </c>
      <c r="AZ48" t="s">
        <v>107</v>
      </c>
    </row>
    <row r="49" spans="10:52" x14ac:dyDescent="0.25"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10:52" ht="21.75" thickBot="1" x14ac:dyDescent="0.4">
      <c r="K50" s="42" t="s">
        <v>108</v>
      </c>
      <c r="AE50" s="55" t="s">
        <v>57</v>
      </c>
      <c r="AG50" s="13" t="s">
        <v>83</v>
      </c>
      <c r="AT50">
        <v>1</v>
      </c>
      <c r="AU50" s="51" cm="1">
        <f t="array" ref="AU50:AU51">MMULT(TRANSPOSE($L$23:$M$24),_xlfn.ANCHORARRAY($AN$38))+MMULT(TRANSPOSE($L$18:$M$19),_xlfn.ANCHORARRAY($AP$38)+MMULT(TRANSPOSE($L$13:$M$14),_xlfn.ANCHORARRAY($AR$38)))</f>
        <v>0.18751422972621923</v>
      </c>
      <c r="AV50" s="51" cm="1">
        <f t="array" ref="AV50:AV51">MMULT(TRANSPOSE($L$23:$M$24),_xlfn.ANCHORARRAY(AN32))+MMULT(TRANSPOSE($L$18:$M$19),_xlfn.ANCHORARRAY(AP32)+MMULT(TRANSPOSE($L$13:$M$14),_xlfn.ANCHORARRAY(AR32)))</f>
        <v>4.2883302141116221E-2</v>
      </c>
      <c r="AW50" s="51" cm="1">
        <f t="array" ref="AW50:AW51">MMULT(TRANSPOSE($L$23:$M$24),_xlfn.ANCHORARRAY(AN26))+MMULT(TRANSPOSE($L$18:$M$19),_xlfn.ANCHORARRAY(AP26)+MMULT(TRANSPOSE($L$13:$M$14),_xlfn.ANCHORARRAY(AR26)))</f>
        <v>-3.196507745993166E-3</v>
      </c>
      <c r="AX50" s="51" cm="1">
        <f t="array" ref="AX50:AX51">MMULT(TRANSPOSE($L$23:$M$24),_xlfn.ANCHORARRAY(AN20))+MMULT(TRANSPOSE($L$18:$M$19),_xlfn.ANCHORARRAY(AP20)+MMULT(TRANSPOSE($L$13:$M$14),_xlfn.ANCHORARRAY(AR20)))</f>
        <v>1.0754901329510518E-3</v>
      </c>
      <c r="AY50" s="51" cm="1">
        <f t="array" ref="AY50:AY51">MMULT(TRANSPOSE($L$23:$M$24),_xlfn.ANCHORARRAY(AN14))+MMULT(TRANSPOSE($L$18:$M$19),_xlfn.ANCHORARRAY(AP14)+MMULT(TRANSPOSE($L$13:$M$14),_xlfn.ANCHORARRAY(AR14)))</f>
        <v>2.0588790171859967E-4</v>
      </c>
      <c r="AZ50" s="51" cm="1">
        <f t="array" ref="AZ50:AZ51">MMULT(TRANSPOSE($L$23:$M$24),_xlfn.ANCHORARRAY(AN8))+MMULT(TRANSPOSE($L$18:$M$19),_xlfn.ANCHORARRAY(AP8)+MMULT(TRANSPOSE($L$13:$M$14),_xlfn.ANCHORARRAY(AR8)))</f>
        <v>5.1198187927677975E-4</v>
      </c>
    </row>
    <row r="51" spans="10:52" x14ac:dyDescent="0.25">
      <c r="K51" t="s">
        <v>99</v>
      </c>
      <c r="L51" s="18" t="s">
        <v>100</v>
      </c>
      <c r="N51" t="s">
        <v>101</v>
      </c>
      <c r="O51" s="18" t="s">
        <v>100</v>
      </c>
      <c r="Q51" t="s">
        <v>122</v>
      </c>
      <c r="R51" s="18" t="s">
        <v>102</v>
      </c>
      <c r="T51" s="18" t="s">
        <v>103</v>
      </c>
      <c r="AE51">
        <v>1</v>
      </c>
      <c r="AF51">
        <v>2</v>
      </c>
      <c r="AG51" s="13">
        <v>2</v>
      </c>
      <c r="AT51">
        <v>2</v>
      </c>
      <c r="AU51" s="55">
        <v>-0.2716883329052453</v>
      </c>
      <c r="AV51" s="55">
        <v>-1.0651493819151606E-2</v>
      </c>
      <c r="AW51" s="55">
        <v>-9.5365508647938628E-3</v>
      </c>
      <c r="AX51" s="55">
        <v>1.4465151245891214E-3</v>
      </c>
      <c r="AY51" s="55">
        <v>1.0068830431229235E-3</v>
      </c>
      <c r="AZ51" s="55">
        <v>1.5988692705242835E-3</v>
      </c>
    </row>
    <row r="52" spans="10:52" ht="15.75" thickBot="1" x14ac:dyDescent="0.3">
      <c r="K52">
        <v>1</v>
      </c>
      <c r="L52" s="19">
        <v>1</v>
      </c>
      <c r="N52">
        <v>1</v>
      </c>
      <c r="O52" s="19">
        <v>1</v>
      </c>
      <c r="Q52">
        <v>1</v>
      </c>
      <c r="R52" s="19">
        <v>1</v>
      </c>
      <c r="T52" s="19">
        <v>1</v>
      </c>
      <c r="AD52">
        <v>1</v>
      </c>
      <c r="AE52">
        <f t="shared" ref="AE52:AF57" si="10">$AE34*1/$AG$51</f>
        <v>4.4762402714626649E-2</v>
      </c>
      <c r="AF52">
        <f t="shared" si="10"/>
        <v>4.4762402714626649E-2</v>
      </c>
    </row>
    <row r="53" spans="10:52" x14ac:dyDescent="0.25">
      <c r="J53">
        <v>1</v>
      </c>
      <c r="K53" cm="1">
        <f t="array" ref="K53:K54">MMULT($L$13:$M$14,$G$14:$G$15)+MMULT($P$13:$Q$14,_xlfn.ANCHORARRAY(T47))+$T$13:$T$14</f>
        <v>3.9242257648581811</v>
      </c>
      <c r="L53" s="19">
        <f>1/(1+EXP(-K53))</f>
        <v>0.98062536510471698</v>
      </c>
      <c r="N53" cm="1">
        <f t="array" ref="N53:N54">MMULT($L$18:$M$19,$G$14:$G$15)+MMULT($P$18:$Q$19,_xlfn.ANCHORARRAY(T47))+$T$18:$T$19</f>
        <v>1.109010114917186</v>
      </c>
      <c r="O53" s="19">
        <f>1/(1+EXP(-N53))</f>
        <v>0.75194452020663882</v>
      </c>
      <c r="Q53" cm="1">
        <f t="array" ref="Q53:Q54">MMULT($L$23:$M$24,$G$14:$G$15)+MMULT($P$23:$Q$24,$L$53:$L$54*_xlfn.ANCHORARRAY(T47))+$T$23:$T$24</f>
        <v>0.14848135075113778</v>
      </c>
      <c r="R53" s="19">
        <f>(EXP(Q53)-EXP(-Q53))/(EXP(Q53)+EXP(-Q53))</f>
        <v>0.14739971320236822</v>
      </c>
      <c r="T53" s="56" cm="1">
        <f t="array" ref="T53:T54">O53:O54*_xlfn.ANCHORARRAY(T47)+(1-O53:O54)*R53:R54</f>
        <v>0.47070462033857591</v>
      </c>
      <c r="AD53">
        <v>2</v>
      </c>
      <c r="AE53">
        <f t="shared" si="10"/>
        <v>-9.2885791296650491E-2</v>
      </c>
      <c r="AF53">
        <f t="shared" si="10"/>
        <v>-9.2885791296650491E-2</v>
      </c>
      <c r="AT53" s="4"/>
      <c r="AU53" s="40" t="s">
        <v>80</v>
      </c>
      <c r="AV53" s="6"/>
    </row>
    <row r="54" spans="10:52" ht="15.75" thickBot="1" x14ac:dyDescent="0.3">
      <c r="J54">
        <v>2</v>
      </c>
      <c r="K54">
        <v>1.588456818106095</v>
      </c>
      <c r="L54" s="20">
        <f>1/(1+EXP(-K54))</f>
        <v>0.83039887740192486</v>
      </c>
      <c r="N54">
        <v>-0.23615568847957658</v>
      </c>
      <c r="O54" s="20">
        <f>1/(1+EXP(-N54))</f>
        <v>0.44123393723371734</v>
      </c>
      <c r="Q54">
        <v>4.8469648761917252</v>
      </c>
      <c r="R54" s="20">
        <f>(EXP(Q54)-EXP(-Q54))/(EXP(Q54)+EXP(-Q54))</f>
        <v>0.99987669433778126</v>
      </c>
      <c r="T54" s="57">
        <v>0.97538944250417403</v>
      </c>
      <c r="AD54">
        <v>3</v>
      </c>
      <c r="AE54">
        <f t="shared" si="10"/>
        <v>-0.16883895717922329</v>
      </c>
      <c r="AF54">
        <f t="shared" si="10"/>
        <v>-0.16883895717922329</v>
      </c>
      <c r="AT54" s="7"/>
      <c r="AU54" t="s">
        <v>58</v>
      </c>
      <c r="AV54" s="8"/>
    </row>
    <row r="55" spans="10:52" x14ac:dyDescent="0.25">
      <c r="AD55">
        <v>4</v>
      </c>
      <c r="AE55">
        <f t="shared" si="10"/>
        <v>-3.3859292730872827E-2</v>
      </c>
      <c r="AF55">
        <f t="shared" si="10"/>
        <v>-3.3859292730872827E-2</v>
      </c>
      <c r="AT55" s="7"/>
      <c r="AU55">
        <v>1</v>
      </c>
      <c r="AV55" s="8">
        <v>2</v>
      </c>
    </row>
    <row r="56" spans="10:52" ht="21.75" thickBot="1" x14ac:dyDescent="0.4">
      <c r="K56" s="42" t="s">
        <v>107</v>
      </c>
      <c r="AD56">
        <v>5</v>
      </c>
      <c r="AE56">
        <f t="shared" si="10"/>
        <v>3.2878440374244219E-3</v>
      </c>
      <c r="AF56">
        <f t="shared" si="10"/>
        <v>3.2878440374244219E-3</v>
      </c>
      <c r="AT56" s="7">
        <v>1</v>
      </c>
      <c r="AU56" s="66">
        <f>AU50</f>
        <v>0.18751422972621923</v>
      </c>
      <c r="AV56" s="53">
        <f>AU51</f>
        <v>-0.2716883329052453</v>
      </c>
    </row>
    <row r="57" spans="10:52" x14ac:dyDescent="0.25">
      <c r="K57" t="s">
        <v>99</v>
      </c>
      <c r="L57" s="18" t="s">
        <v>100</v>
      </c>
      <c r="N57" t="s">
        <v>101</v>
      </c>
      <c r="O57" s="18" t="s">
        <v>100</v>
      </c>
      <c r="Q57" t="s">
        <v>122</v>
      </c>
      <c r="R57" s="18" t="s">
        <v>102</v>
      </c>
      <c r="T57" s="18" t="s">
        <v>103</v>
      </c>
      <c r="AD57">
        <v>6</v>
      </c>
      <c r="AE57">
        <f t="shared" si="10"/>
        <v>-1.412099724789511E-3</v>
      </c>
      <c r="AF57">
        <f t="shared" si="10"/>
        <v>-1.412099724789511E-3</v>
      </c>
      <c r="AT57" s="7">
        <v>2</v>
      </c>
      <c r="AU57" s="66">
        <f>AV50</f>
        <v>4.2883302141116221E-2</v>
      </c>
      <c r="AV57" s="53">
        <f>AV51</f>
        <v>-1.0651493819151606E-2</v>
      </c>
    </row>
    <row r="58" spans="10:52" ht="15.75" thickBot="1" x14ac:dyDescent="0.3">
      <c r="K58">
        <v>1</v>
      </c>
      <c r="L58" s="19">
        <v>1</v>
      </c>
      <c r="N58">
        <v>1</v>
      </c>
      <c r="O58" s="19">
        <v>1</v>
      </c>
      <c r="Q58">
        <v>1</v>
      </c>
      <c r="R58" s="19">
        <v>1</v>
      </c>
      <c r="T58" s="19">
        <v>1</v>
      </c>
      <c r="AT58" s="7">
        <v>3</v>
      </c>
      <c r="AU58" s="66">
        <f>AW50</f>
        <v>-3.196507745993166E-3</v>
      </c>
      <c r="AV58" s="53">
        <f>AW51</f>
        <v>-9.5365508647938628E-3</v>
      </c>
    </row>
    <row r="59" spans="10:52" x14ac:dyDescent="0.25">
      <c r="J59">
        <v>1</v>
      </c>
      <c r="K59" cm="1">
        <f t="array" ref="K59:K60">MMULT($L$13:$M$14,$H$14:$H$15)+MMULT($P$13:$Q$14,_xlfn.ANCHORARRAY(T53))+$T$13:$T$14</f>
        <v>2.5368599878778619</v>
      </c>
      <c r="L59" s="19">
        <f>1/(1+EXP(-K59))</f>
        <v>0.9266857821417015</v>
      </c>
      <c r="N59" cm="1">
        <f t="array" ref="N59:N60">MMULT($L$18:$M$19,$H$14:$H$15)+MMULT($P$18:$Q$19,_xlfn.ANCHORARRAY(T53))+$T$18:$T$19</f>
        <v>1.6310867948631214</v>
      </c>
      <c r="O59" s="19">
        <f>1/(1+EXP(-N59))</f>
        <v>0.83631846438894075</v>
      </c>
      <c r="Q59" cm="1">
        <f t="array" ref="Q59:Q60">MMULT($L$23:$M$24,$H$14:$H$15)+MMULT($P$23:$Q$24,$L$59:$L$60*_xlfn.ANCHORARRAY(T53))+$T$23:$T$24</f>
        <v>1.5266501571866833</v>
      </c>
      <c r="R59" s="19">
        <f>(EXP(Q59)-EXP(-Q59))/(EXP(Q59)+EXP(-Q59))</f>
        <v>0.90984959367928464</v>
      </c>
      <c r="T59" s="56" cm="1">
        <f t="array" ref="T59:T60">O59:O60*_xlfn.ANCHORARRAY(T53)+(1-O59:O60)*R59:R60</f>
        <v>0.54258454393086075</v>
      </c>
      <c r="AD59" s="4"/>
      <c r="AE59" s="40" t="s">
        <v>79</v>
      </c>
      <c r="AF59" s="6"/>
      <c r="AT59" s="7">
        <v>4</v>
      </c>
      <c r="AU59" s="66">
        <f>AX50</f>
        <v>1.0754901329510518E-3</v>
      </c>
      <c r="AV59" s="53">
        <f>AX51</f>
        <v>1.4465151245891214E-3</v>
      </c>
    </row>
    <row r="60" spans="10:52" ht="15.75" thickBot="1" x14ac:dyDescent="0.3">
      <c r="J60">
        <v>2</v>
      </c>
      <c r="K60">
        <v>2.3575214488462839</v>
      </c>
      <c r="L60" s="20">
        <f>1/(1+EXP(-K60))</f>
        <v>0.91353021847978833</v>
      </c>
      <c r="N60">
        <v>-0.5927358040533619</v>
      </c>
      <c r="O60" s="20">
        <f>1/(1+EXP(-N60))</f>
        <v>0.35600738031724971</v>
      </c>
      <c r="Q60">
        <v>4.5579483887494074</v>
      </c>
      <c r="R60" s="20">
        <f>(EXP(Q60)-EXP(-Q60))/(EXP(Q60)+EXP(-Q60))</f>
        <v>0.99978021472162781</v>
      </c>
      <c r="T60" s="57">
        <v>0.99109691980057746</v>
      </c>
      <c r="AD60" s="7"/>
      <c r="AE60">
        <v>1</v>
      </c>
      <c r="AF60" s="8">
        <v>2</v>
      </c>
      <c r="AT60" s="7">
        <v>5</v>
      </c>
      <c r="AU60" s="66">
        <f>AY50</f>
        <v>2.0588790171859967E-4</v>
      </c>
      <c r="AV60" s="53">
        <f>AY51</f>
        <v>1.0068830431229235E-3</v>
      </c>
    </row>
    <row r="61" spans="10:52" ht="15.75" thickBot="1" x14ac:dyDescent="0.3">
      <c r="AD61" s="22" t="s">
        <v>105</v>
      </c>
      <c r="AE61" s="51">
        <f>AG43+AE52</f>
        <v>-0.27037327472920164</v>
      </c>
      <c r="AF61" s="53">
        <f>AH43+AF52</f>
        <v>4.4762402714626649E-2</v>
      </c>
      <c r="AT61" s="9">
        <v>6</v>
      </c>
      <c r="AU61" s="52">
        <f>AZ50</f>
        <v>5.1198187927677975E-4</v>
      </c>
      <c r="AV61" s="54">
        <f>AZ51</f>
        <v>1.5988692705242835E-3</v>
      </c>
    </row>
    <row r="62" spans="10:52" x14ac:dyDescent="0.25">
      <c r="AD62" s="7">
        <v>2</v>
      </c>
      <c r="AE62" s="51">
        <f t="shared" ref="AE62:AF66" si="11">AG44+AE53</f>
        <v>-9.2885791296650491E-2</v>
      </c>
      <c r="AF62" s="53">
        <f t="shared" si="11"/>
        <v>0.2745624799964137</v>
      </c>
    </row>
    <row r="63" spans="10:52" x14ac:dyDescent="0.25">
      <c r="J63" t="s">
        <v>236</v>
      </c>
      <c r="N63" t="s">
        <v>54</v>
      </c>
      <c r="P63" t="s">
        <v>57</v>
      </c>
      <c r="AD63" s="7">
        <v>3</v>
      </c>
      <c r="AE63" s="51">
        <f t="shared" si="11"/>
        <v>-0.16883895717922329</v>
      </c>
      <c r="AF63" s="53">
        <f t="shared" si="11"/>
        <v>-0.23114701186205289</v>
      </c>
    </row>
    <row r="64" spans="10:52" x14ac:dyDescent="0.25">
      <c r="K64">
        <v>1</v>
      </c>
      <c r="L64">
        <v>2</v>
      </c>
      <c r="N64">
        <v>1</v>
      </c>
      <c r="P64">
        <v>1</v>
      </c>
      <c r="AD64" s="7">
        <v>4</v>
      </c>
      <c r="AE64" s="51">
        <f t="shared" si="11"/>
        <v>-3.3859292730872827E-2</v>
      </c>
      <c r="AF64" s="53">
        <f t="shared" si="11"/>
        <v>3.1077567157202772E-2</v>
      </c>
    </row>
    <row r="65" spans="10:36" x14ac:dyDescent="0.25">
      <c r="J65" s="13" t="s">
        <v>105</v>
      </c>
      <c r="K65" s="51" cm="1">
        <f t="array" ref="K65:L65">TRANSPOSE(_xlfn.ANCHORARRAY(T29))</f>
        <v>0.38716804364868784</v>
      </c>
      <c r="L65" s="55">
        <v>0.21543781682606056</v>
      </c>
      <c r="N65">
        <f t="shared" ref="N65:N70" si="12">MAX(_xlfn.ANCHORARRAY(K65))</f>
        <v>0.38716804364868784</v>
      </c>
      <c r="P65">
        <f t="shared" ref="P65:P70" si="13">AVERAGE(_xlfn.ANCHORARRAY(K65))</f>
        <v>0.3013029302373742</v>
      </c>
      <c r="AD65" s="7">
        <v>5</v>
      </c>
      <c r="AE65" s="51">
        <f t="shared" si="11"/>
        <v>3.2878440374244219E-3</v>
      </c>
      <c r="AF65" s="53">
        <f t="shared" si="11"/>
        <v>5.5730443321541007E-2</v>
      </c>
    </row>
    <row r="66" spans="10:36" ht="15.75" thickBot="1" x14ac:dyDescent="0.3">
      <c r="J66">
        <v>2</v>
      </c>
      <c r="K66" s="51" cm="1">
        <f t="array" ref="K66:L66">TRANSPOSE(_xlfn.ANCHORARRAY(T35))</f>
        <v>0.41666473646778723</v>
      </c>
      <c r="L66" s="55">
        <v>0.65027309102745778</v>
      </c>
      <c r="N66">
        <f t="shared" si="12"/>
        <v>0.65027309102745778</v>
      </c>
      <c r="P66">
        <f t="shared" si="13"/>
        <v>0.53346891374762251</v>
      </c>
      <c r="AD66" s="9">
        <v>6</v>
      </c>
      <c r="AE66" s="52">
        <f t="shared" si="11"/>
        <v>-1.412099724789511E-3</v>
      </c>
      <c r="AF66" s="54">
        <f t="shared" si="11"/>
        <v>0.3180273290716179</v>
      </c>
    </row>
    <row r="67" spans="10:36" ht="15.75" thickBot="1" x14ac:dyDescent="0.3">
      <c r="J67">
        <v>3</v>
      </c>
      <c r="K67" s="51" cm="1">
        <f t="array" ref="K67:L67">TRANSPOSE(_xlfn.ANCHORARRAY(T41))</f>
        <v>0.51936140500530836</v>
      </c>
      <c r="L67" s="55">
        <v>0.91793145379932639</v>
      </c>
      <c r="N67">
        <f t="shared" si="12"/>
        <v>0.91793145379932639</v>
      </c>
      <c r="P67">
        <f t="shared" si="13"/>
        <v>0.71864642940231738</v>
      </c>
    </row>
    <row r="68" spans="10:36" x14ac:dyDescent="0.25">
      <c r="J68">
        <v>4</v>
      </c>
      <c r="K68" s="51" cm="1">
        <f t="array" ref="K68:L68">TRANSPOSE(_xlfn.ANCHORARRAY(T47))</f>
        <v>0.57735817216867813</v>
      </c>
      <c r="L68" s="55">
        <v>0.94437948578866504</v>
      </c>
      <c r="N68">
        <f t="shared" si="12"/>
        <v>0.94437948578866504</v>
      </c>
      <c r="P68">
        <f t="shared" si="13"/>
        <v>0.76086882897867159</v>
      </c>
      <c r="AD68" s="59"/>
      <c r="AE68" s="60" t="s">
        <v>109</v>
      </c>
      <c r="AF68" s="61"/>
    </row>
    <row r="69" spans="10:36" x14ac:dyDescent="0.25">
      <c r="J69">
        <v>5</v>
      </c>
      <c r="K69" s="51" cm="1">
        <f t="array" ref="K69:L69">TRANSPOSE(_xlfn.ANCHORARRAY(T53))</f>
        <v>0.47070462033857591</v>
      </c>
      <c r="L69" s="55">
        <v>0.97538944250417403</v>
      </c>
      <c r="N69">
        <f t="shared" si="12"/>
        <v>0.97538944250417403</v>
      </c>
      <c r="P69">
        <f t="shared" si="13"/>
        <v>0.72304703142137494</v>
      </c>
      <c r="AD69" s="62"/>
      <c r="AE69">
        <v>1</v>
      </c>
      <c r="AF69" s="63">
        <v>2</v>
      </c>
    </row>
    <row r="70" spans="10:36" x14ac:dyDescent="0.25">
      <c r="J70">
        <v>6</v>
      </c>
      <c r="K70" s="51" cm="1">
        <f t="array" ref="K70:L70">TRANSPOSE(_xlfn.ANCHORARRAY(T59))</f>
        <v>0.54258454393086075</v>
      </c>
      <c r="L70" s="55">
        <v>0.99109691980057746</v>
      </c>
      <c r="N70">
        <f t="shared" si="12"/>
        <v>0.99109691980057746</v>
      </c>
      <c r="P70">
        <f t="shared" si="13"/>
        <v>0.76684073186571911</v>
      </c>
      <c r="AD70" s="64" t="s">
        <v>107</v>
      </c>
      <c r="AE70" s="66" cm="1">
        <f t="array" ref="AE70:AF70">AE66:AF66</f>
        <v>-1.412099724789511E-3</v>
      </c>
      <c r="AF70" s="68">
        <v>0.3180273290716179</v>
      </c>
    </row>
    <row r="71" spans="10:36" ht="15.75" thickBot="1" x14ac:dyDescent="0.3">
      <c r="AD71" s="62">
        <v>5</v>
      </c>
      <c r="AE71" s="66" cm="1">
        <f t="array" ref="AE71:AF71">AE65:AF65</f>
        <v>3.2878440374244219E-3</v>
      </c>
      <c r="AF71" s="68">
        <v>5.5730443321541007E-2</v>
      </c>
    </row>
    <row r="72" spans="10:36" x14ac:dyDescent="0.25">
      <c r="J72" s="4"/>
      <c r="K72" s="39" t="s">
        <v>64</v>
      </c>
      <c r="AD72" s="62">
        <v>4</v>
      </c>
      <c r="AE72" s="66" cm="1">
        <f t="array" ref="AE72:AF72">AE64:AF64</f>
        <v>-3.3859292730872827E-2</v>
      </c>
      <c r="AF72" s="68">
        <v>3.1077567157202772E-2</v>
      </c>
    </row>
    <row r="73" spans="10:36" x14ac:dyDescent="0.25">
      <c r="J73" s="7"/>
      <c r="K73" s="8">
        <v>1</v>
      </c>
      <c r="AD73" s="62">
        <v>3</v>
      </c>
      <c r="AE73" s="66" cm="1">
        <f t="array" ref="AE73:AF73">AE63:AF63</f>
        <v>-0.16883895717922329</v>
      </c>
      <c r="AF73" s="68">
        <v>-0.23114701186205289</v>
      </c>
    </row>
    <row r="74" spans="10:36" x14ac:dyDescent="0.25">
      <c r="J74" s="7">
        <v>1</v>
      </c>
      <c r="K74" s="58" cm="1">
        <f t="array" ref="K74:K79">N65:N70</f>
        <v>0.38716804364868784</v>
      </c>
      <c r="AD74" s="62">
        <v>2</v>
      </c>
      <c r="AE74" s="66" cm="1">
        <f t="array" ref="AE74:AF74">AE62:AF62</f>
        <v>-9.2885791296650491E-2</v>
      </c>
      <c r="AF74" s="68">
        <v>0.2745624799964137</v>
      </c>
    </row>
    <row r="75" spans="10:36" ht="15.75" thickBot="1" x14ac:dyDescent="0.3">
      <c r="J75" s="7">
        <v>2</v>
      </c>
      <c r="K75" s="58">
        <v>0.65027309102745778</v>
      </c>
      <c r="AD75" s="65">
        <v>1</v>
      </c>
      <c r="AE75" s="67" cm="1">
        <f t="array" ref="AE75:AF75">AE61:AF61</f>
        <v>-0.27037327472920164</v>
      </c>
      <c r="AF75" s="69">
        <v>4.4762402714626649E-2</v>
      </c>
    </row>
    <row r="76" spans="10:36" ht="15.75" thickBot="1" x14ac:dyDescent="0.3">
      <c r="J76" s="7">
        <v>3</v>
      </c>
      <c r="K76" s="58">
        <v>0.91793145379932639</v>
      </c>
    </row>
    <row r="77" spans="10:36" x14ac:dyDescent="0.25">
      <c r="J77" s="7">
        <v>4</v>
      </c>
      <c r="K77" s="58">
        <v>0.94437948578866504</v>
      </c>
      <c r="AD77" s="59"/>
      <c r="AE77" s="74" t="s">
        <v>235</v>
      </c>
      <c r="AF77" s="74"/>
      <c r="AG77" s="74"/>
      <c r="AH77" s="74"/>
      <c r="AI77" s="74"/>
      <c r="AJ77" s="61"/>
    </row>
    <row r="78" spans="10:36" x14ac:dyDescent="0.25">
      <c r="J78" s="7">
        <v>5</v>
      </c>
      <c r="K78" s="58">
        <v>0.97538944250417403</v>
      </c>
      <c r="AD78" s="62"/>
      <c r="AE78" s="13" t="s">
        <v>107</v>
      </c>
      <c r="AF78">
        <v>5</v>
      </c>
      <c r="AG78">
        <v>4</v>
      </c>
      <c r="AH78">
        <v>3</v>
      </c>
      <c r="AI78">
        <v>2</v>
      </c>
      <c r="AJ78" s="63">
        <v>1</v>
      </c>
    </row>
    <row r="79" spans="10:36" x14ac:dyDescent="0.25">
      <c r="J79" s="7">
        <v>6</v>
      </c>
      <c r="K79" s="58">
        <v>0.99109691980057746</v>
      </c>
      <c r="AD79" s="62">
        <v>1</v>
      </c>
      <c r="AE79" s="66" cm="1">
        <f t="array" ref="AE79:AJ80">TRANSPOSE(AE70:AF75)</f>
        <v>-1.412099724789511E-3</v>
      </c>
      <c r="AF79" s="66">
        <v>3.2878440374244219E-3</v>
      </c>
      <c r="AG79" s="66">
        <v>-3.3859292730872827E-2</v>
      </c>
      <c r="AH79" s="66">
        <v>-0.16883895717922329</v>
      </c>
      <c r="AI79" s="66">
        <v>-9.2885791296650491E-2</v>
      </c>
      <c r="AJ79" s="75">
        <v>-0.27037327472920164</v>
      </c>
    </row>
    <row r="80" spans="10:36" ht="15.75" thickBot="1" x14ac:dyDescent="0.3">
      <c r="J80" s="7">
        <v>7</v>
      </c>
      <c r="K80" s="53" cm="1">
        <f t="array" ref="K80:K85">P65:P70</f>
        <v>0.3013029302373742</v>
      </c>
      <c r="AD80" s="65">
        <v>2</v>
      </c>
      <c r="AE80" s="76">
        <v>0.3180273290716179</v>
      </c>
      <c r="AF80" s="76">
        <v>5.5730443321541007E-2</v>
      </c>
      <c r="AG80" s="76">
        <v>3.1077567157202772E-2</v>
      </c>
      <c r="AH80" s="76">
        <v>-0.23114701186205289</v>
      </c>
      <c r="AI80" s="76">
        <v>0.2745624799964137</v>
      </c>
      <c r="AJ80" s="69">
        <v>4.4762402714626649E-2</v>
      </c>
    </row>
    <row r="81" spans="10:11" x14ac:dyDescent="0.25">
      <c r="J81" s="7">
        <v>8</v>
      </c>
      <c r="K81" s="53">
        <v>0.53346891374762251</v>
      </c>
    </row>
    <row r="82" spans="10:11" x14ac:dyDescent="0.25">
      <c r="J82" s="7">
        <v>9</v>
      </c>
      <c r="K82" s="53">
        <v>0.71864642940231738</v>
      </c>
    </row>
    <row r="83" spans="10:11" x14ac:dyDescent="0.25">
      <c r="J83" s="7">
        <v>10</v>
      </c>
      <c r="K83" s="53">
        <v>0.76086882897867159</v>
      </c>
    </row>
    <row r="84" spans="10:11" x14ac:dyDescent="0.25">
      <c r="J84" s="7">
        <v>11</v>
      </c>
      <c r="K84" s="53">
        <v>0.72304703142137494</v>
      </c>
    </row>
    <row r="85" spans="10:11" ht="15.75" thickBot="1" x14ac:dyDescent="0.3">
      <c r="J85" s="9">
        <v>12</v>
      </c>
      <c r="K85" s="54">
        <v>0.76684073186571911</v>
      </c>
    </row>
  </sheetData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CU91"/>
  <sheetViews>
    <sheetView tabSelected="1" topLeftCell="BP22" zoomScaleNormal="100" workbookViewId="0">
      <selection activeCell="CL43" sqref="CL43"/>
    </sheetView>
  </sheetViews>
  <sheetFormatPr defaultRowHeight="15" x14ac:dyDescent="0.25"/>
  <cols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.75" thickBot="1" x14ac:dyDescent="0.3"/>
    <row r="2" spans="2:99" ht="26.25" x14ac:dyDescent="0.4">
      <c r="B2" s="4"/>
      <c r="C2" s="40" t="s">
        <v>62</v>
      </c>
      <c r="D2" s="6"/>
      <c r="F2" s="26" t="s">
        <v>153</v>
      </c>
      <c r="G2" s="6">
        <f>$G$4/$G$5</f>
        <v>1</v>
      </c>
      <c r="J2" s="41" t="s">
        <v>49</v>
      </c>
      <c r="AG2" s="41" t="s">
        <v>49</v>
      </c>
      <c r="AO2" s="41" t="s">
        <v>78</v>
      </c>
      <c r="AU2" s="41" t="s">
        <v>78</v>
      </c>
      <c r="CC2" s="41" t="s">
        <v>86</v>
      </c>
    </row>
    <row r="3" spans="2:99" ht="26.25" x14ac:dyDescent="0.4">
      <c r="B3" s="7"/>
      <c r="C3">
        <v>1</v>
      </c>
      <c r="D3" s="8">
        <v>2</v>
      </c>
      <c r="F3" s="22" t="s">
        <v>154</v>
      </c>
      <c r="G3" s="8">
        <f>$G$4/$G$5</f>
        <v>1</v>
      </c>
      <c r="J3" s="41" t="s">
        <v>136</v>
      </c>
      <c r="AG3" s="41" t="s">
        <v>66</v>
      </c>
      <c r="AO3" s="41" t="s">
        <v>66</v>
      </c>
      <c r="AU3" s="41" t="s">
        <v>151</v>
      </c>
      <c r="CC3" s="41" t="s">
        <v>48</v>
      </c>
    </row>
    <row r="4" spans="2:99" ht="15.75" thickBot="1" x14ac:dyDescent="0.3">
      <c r="B4" s="7">
        <v>1</v>
      </c>
      <c r="C4" s="51" cm="1">
        <f t="array" ref="C4:D9">FRONTEND!M49:N54</f>
        <v>4.0296676785617889</v>
      </c>
      <c r="D4" s="53">
        <v>1.426184227044502</v>
      </c>
      <c r="F4" s="22" t="s">
        <v>155</v>
      </c>
      <c r="G4" s="8">
        <v>2</v>
      </c>
      <c r="J4" s="51" t="s">
        <v>137</v>
      </c>
      <c r="P4" t="s">
        <v>137</v>
      </c>
      <c r="AD4" t="s">
        <v>137</v>
      </c>
      <c r="CC4" t="s">
        <v>90</v>
      </c>
      <c r="CE4" t="s">
        <v>51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7">
        <v>2</v>
      </c>
      <c r="C5" s="51">
        <v>3.1757752467270279</v>
      </c>
      <c r="D5" s="53">
        <v>0.83446165212430812</v>
      </c>
      <c r="F5" s="22" t="s">
        <v>135</v>
      </c>
      <c r="G5" s="8">
        <v>2</v>
      </c>
      <c r="J5" t="s">
        <v>147</v>
      </c>
      <c r="L5" t="s">
        <v>148</v>
      </c>
      <c r="N5" t="s">
        <v>149</v>
      </c>
      <c r="P5" t="s">
        <v>146</v>
      </c>
      <c r="W5" t="s">
        <v>150</v>
      </c>
      <c r="AD5" t="s">
        <v>152</v>
      </c>
      <c r="AG5" t="s">
        <v>46</v>
      </c>
      <c r="AI5" s="4"/>
      <c r="AJ5" s="40" t="s">
        <v>67</v>
      </c>
      <c r="AK5" s="5"/>
      <c r="AL5" s="6"/>
      <c r="AN5" s="4"/>
      <c r="AO5" s="40" t="s">
        <v>67</v>
      </c>
      <c r="AP5" s="5"/>
      <c r="AQ5" s="6"/>
      <c r="AT5" s="4"/>
      <c r="AU5" s="40" t="s">
        <v>159</v>
      </c>
      <c r="AV5" s="6"/>
      <c r="AX5" s="4" t="s">
        <v>160</v>
      </c>
      <c r="AY5" s="6"/>
      <c r="CC5">
        <v>1</v>
      </c>
      <c r="CD5" s="13" t="s">
        <v>82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.75" thickBot="1" x14ac:dyDescent="0.3">
      <c r="B6" s="7">
        <v>3</v>
      </c>
      <c r="C6" s="51">
        <v>3.3789276309323317</v>
      </c>
      <c r="D6" s="53">
        <v>1.8393159934697598</v>
      </c>
      <c r="F6" s="27" t="s">
        <v>156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B6">
        <v>1</v>
      </c>
      <c r="CC6" s="51" cm="1">
        <f t="array" ref="CC6:CC11">CA85:CA90</f>
        <v>0.31274999909362333</v>
      </c>
      <c r="CD6">
        <f>MATCH(MAX(FRONTEND!$M28:$Q28),FRONTEND!$M28:$Q28,0)</f>
        <v>4</v>
      </c>
      <c r="CE6">
        <f>IF($CD6=CE$5,$CC6,0)</f>
        <v>0</v>
      </c>
      <c r="CF6">
        <f t="shared" ref="CF6:CI11" si="0">IF($CD6=CF$5,$CC6,0)</f>
        <v>0</v>
      </c>
      <c r="CG6">
        <f t="shared" si="0"/>
        <v>0</v>
      </c>
      <c r="CH6">
        <f t="shared" si="0"/>
        <v>0.31274999909362333</v>
      </c>
      <c r="CI6">
        <f t="shared" si="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.75" thickBot="1" x14ac:dyDescent="0.3">
      <c r="B7" s="7">
        <v>4</v>
      </c>
      <c r="C7" s="51">
        <v>1.5094131886761968</v>
      </c>
      <c r="D7" s="53">
        <v>0.40501335750777256</v>
      </c>
      <c r="I7">
        <v>1</v>
      </c>
      <c r="J7" cm="1">
        <f t="array" ref="J7:J12">MMULT($C$14:$D$19,C25:C26)</f>
        <v>-2.0638794124255071</v>
      </c>
      <c r="L7" cm="1">
        <f t="array" ref="L7:L12">MMULT($C$14:$D$19,E25:E26)</f>
        <v>0.22603359966980396</v>
      </c>
      <c r="N7" cm="1">
        <f t="array" ref="N7:N12">MMULT($C$14:$D$19,G25:G26)</f>
        <v>-1.825466586380061</v>
      </c>
      <c r="P7" cm="1">
        <f t="array" ref="P7:U12">MMULT(_xlfn.ANCHORARRAY(J7),TRANSPOSE(_xlfn.ANCHORARRAY(L7)))/SQRT($G$2)</f>
        <v>-0.46650609287493733</v>
      </c>
      <c r="Q7">
        <v>-0.69203250271583039</v>
      </c>
      <c r="R7">
        <v>1.2947180466473431</v>
      </c>
      <c r="S7">
        <v>1.4757396020305149</v>
      </c>
      <c r="T7">
        <v>-0.69650688118968207</v>
      </c>
      <c r="U7">
        <v>1.0518367476861903</v>
      </c>
      <c r="W7" cm="1">
        <f t="array" ref="W7">EXP(P7)/SUM(EXP($P7:$U7))</f>
        <v>5.0122207288495528E-2</v>
      </c>
      <c r="X7" cm="1">
        <f t="array" ref="X7">EXP(Q7)/SUM(EXP($P7:$U7))</f>
        <v>4.0002332275072647E-2</v>
      </c>
      <c r="Y7" cm="1">
        <f t="array" ref="Y7">EXP(R7)/SUM(EXP($P7:$U7))</f>
        <v>0.29168904155620906</v>
      </c>
      <c r="Z7" cm="1">
        <f t="array" ref="Z7">EXP(S7)/SUM(EXP($P7:$U7))</f>
        <v>0.34957211011401446</v>
      </c>
      <c r="AA7" cm="1">
        <f t="array" ref="AA7">EXP(T7)/SUM(EXP($P7:$U7))</f>
        <v>3.982374652868826E-2</v>
      </c>
      <c r="AB7" cm="1">
        <f t="array" ref="AB7">EXP(U7)/SUM(EXP($P7:$U7))</f>
        <v>0.22879056223752009</v>
      </c>
      <c r="AD7" s="51" cm="1">
        <f t="array" ref="AD7:AD12">MMULT(W7:AB12,_xlfn.ANCHORARRAY(N7))</f>
        <v>-1.4845011406808191</v>
      </c>
      <c r="AF7">
        <v>1</v>
      </c>
      <c r="AG7" s="51">
        <f>U47</f>
        <v>4.2328723840496405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AG34*AJ7:AJ18</f>
        <v>-1.5259872677937807E-2</v>
      </c>
      <c r="AP7" cm="1">
        <f t="array" ref="AP7:AP18">AG35*AK7:AK18</f>
        <v>-4.0768771388087065E-2</v>
      </c>
      <c r="AQ7" s="8" cm="1">
        <f t="array" ref="AQ7:AQ18">AG36*AL7:AL18</f>
        <v>-0.26030777680371747</v>
      </c>
      <c r="AT7" s="7">
        <v>1</v>
      </c>
      <c r="AU7" cm="1">
        <f t="array" ref="AU7:AV8">MMULT(TRANSPOSE($M$38:$N$43),$AO$61:$AP$66)</f>
        <v>-0.52810695886239323</v>
      </c>
      <c r="AV7" s="8">
        <v>0.17663761326990568</v>
      </c>
      <c r="AX7" s="9">
        <f>SUM(AO61:AO66)</f>
        <v>-0.15853719052712081</v>
      </c>
      <c r="AY7" s="11">
        <f>SUM(AP61:AP66)</f>
        <v>2.4892970529402703E-2</v>
      </c>
      <c r="CB7">
        <v>2</v>
      </c>
      <c r="CC7" s="51">
        <v>-0.21112873148536432</v>
      </c>
      <c r="CD7">
        <f>MATCH(MAX(FRONTEND!$M29:$Q29),FRONTEND!$M29:$Q29,0)</f>
        <v>2</v>
      </c>
      <c r="CE7">
        <f t="shared" ref="CE7:CE11" si="1">IF($CD7=CE$5,$CC7,0)</f>
        <v>0</v>
      </c>
      <c r="CF7">
        <f t="shared" si="0"/>
        <v>-0.21112873148536432</v>
      </c>
      <c r="CG7">
        <f t="shared" si="0"/>
        <v>0</v>
      </c>
      <c r="CH7">
        <f t="shared" si="0"/>
        <v>0</v>
      </c>
      <c r="CI7">
        <f t="shared" si="0"/>
        <v>0</v>
      </c>
      <c r="CK7">
        <v>0</v>
      </c>
      <c r="CL7">
        <v>0</v>
      </c>
      <c r="CM7">
        <v>0</v>
      </c>
      <c r="CN7" s="4" cm="1">
        <f t="array" ref="CN7:CR12">FRONTEND!$B$4:$F$9</f>
        <v>9.8070127981472688E-2</v>
      </c>
      <c r="CO7" s="5">
        <v>0.76989837351610546</v>
      </c>
      <c r="CP7" s="5">
        <v>1.0888675284528564</v>
      </c>
      <c r="CQ7" s="5">
        <v>0.41864132753818439</v>
      </c>
      <c r="CR7" s="6">
        <v>-0.54807215149909738</v>
      </c>
      <c r="CS7">
        <v>0</v>
      </c>
      <c r="CT7">
        <v>0</v>
      </c>
      <c r="CU7">
        <v>0</v>
      </c>
    </row>
    <row r="8" spans="2:99" ht="15.75" thickBot="1" x14ac:dyDescent="0.3">
      <c r="B8" s="7">
        <v>5</v>
      </c>
      <c r="C8" s="51">
        <v>4.5198656803290973</v>
      </c>
      <c r="D8" s="53">
        <v>0.53701995183003415</v>
      </c>
      <c r="I8">
        <v>2</v>
      </c>
      <c r="J8">
        <v>-1.9070064083330449</v>
      </c>
      <c r="L8">
        <v>0.33530665529656201</v>
      </c>
      <c r="N8">
        <v>-1.4011549166412927</v>
      </c>
      <c r="P8">
        <v>-0.43104752306890221</v>
      </c>
      <c r="Q8">
        <v>-0.63943194040726303</v>
      </c>
      <c r="R8">
        <v>1.1963080774371755</v>
      </c>
      <c r="S8">
        <v>1.3635704010418417</v>
      </c>
      <c r="T8">
        <v>-0.64356622672824282</v>
      </c>
      <c r="U8">
        <v>0.97188789533029551</v>
      </c>
      <c r="W8" cm="1">
        <f t="array" ref="W8">EXP(P8)/SUM(EXP($P8:$U8))</f>
        <v>5.619514257894026E-2</v>
      </c>
      <c r="X8" cm="1">
        <f t="array" ref="X8">EXP(Q8)/SUM(EXP($P8:$U8))</f>
        <v>4.5624547992788318E-2</v>
      </c>
      <c r="Y8" cm="1">
        <f t="array" ref="Y8">EXP(R8)/SUM(EXP($P8:$U8))</f>
        <v>0.28605552138355067</v>
      </c>
      <c r="Z8" cm="1">
        <f t="array" ref="Z8">EXP(S8)/SUM(EXP($P8:$U8))</f>
        <v>0.33813602193698655</v>
      </c>
      <c r="AA8" cm="1">
        <f t="array" ref="AA8">EXP(T8)/SUM(EXP($P8:$U8))</f>
        <v>4.5436312426100273E-2</v>
      </c>
      <c r="AB8" cm="1">
        <f t="array" ref="AB8">EXP(U8)/SUM(EXP($P8:$U8))</f>
        <v>0.22855245368163393</v>
      </c>
      <c r="AD8" s="51">
        <v>-1.4874554263512736</v>
      </c>
      <c r="AF8">
        <v>2</v>
      </c>
      <c r="AG8" s="51">
        <f t="shared" ref="AG8:AG18" si="2">U48</f>
        <v>3.832354605243542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-0.10761626627351661</v>
      </c>
      <c r="AP8">
        <v>-2.4303291438501975E-3</v>
      </c>
      <c r="AQ8" s="8">
        <v>0.33157455888494092</v>
      </c>
      <c r="AT8" s="9">
        <v>2</v>
      </c>
      <c r="AU8" s="14">
        <v>-0.61408436347788586</v>
      </c>
      <c r="AV8" s="11">
        <v>-9.3790490698512086E-2</v>
      </c>
      <c r="CB8">
        <v>3</v>
      </c>
      <c r="CC8" s="51">
        <v>-0.13024854056827415</v>
      </c>
      <c r="CD8">
        <f>MATCH(MAX(FRONTEND!$M30:$Q30),FRONTEND!$M30:$Q30,0)</f>
        <v>3</v>
      </c>
      <c r="CE8">
        <f t="shared" si="1"/>
        <v>0</v>
      </c>
      <c r="CF8">
        <f t="shared" si="0"/>
        <v>0</v>
      </c>
      <c r="CG8">
        <f t="shared" si="0"/>
        <v>-0.13024854056827415</v>
      </c>
      <c r="CH8">
        <f t="shared" si="0"/>
        <v>0</v>
      </c>
      <c r="CI8">
        <f t="shared" si="0"/>
        <v>0</v>
      </c>
      <c r="CK8">
        <v>0</v>
      </c>
      <c r="CL8">
        <v>0</v>
      </c>
      <c r="CM8">
        <v>0</v>
      </c>
      <c r="CN8" s="7">
        <v>0.3947945813296071</v>
      </c>
      <c r="CO8">
        <v>0.76298402984034686</v>
      </c>
      <c r="CP8">
        <v>-1.5092547447204521</v>
      </c>
      <c r="CQ8">
        <v>0.78695236170270555</v>
      </c>
      <c r="CR8" s="8">
        <v>-1.6514230540804744</v>
      </c>
      <c r="CS8">
        <v>0</v>
      </c>
      <c r="CT8">
        <v>0</v>
      </c>
      <c r="CU8">
        <v>0</v>
      </c>
    </row>
    <row r="9" spans="2:99" ht="15.75" thickBot="1" x14ac:dyDescent="0.3">
      <c r="B9" s="9">
        <v>6</v>
      </c>
      <c r="C9" s="52">
        <v>3.0540707238032767</v>
      </c>
      <c r="D9" s="54">
        <v>1.2588938475691771</v>
      </c>
      <c r="I9">
        <v>3</v>
      </c>
      <c r="J9">
        <v>-0.53568303015788654</v>
      </c>
      <c r="L9">
        <v>-0.62732252613817585</v>
      </c>
      <c r="N9">
        <v>-2.0229192118359989</v>
      </c>
      <c r="P9">
        <v>-0.12108236358861525</v>
      </c>
      <c r="Q9">
        <v>-0.17961808514136829</v>
      </c>
      <c r="R9">
        <v>0.33604603168799801</v>
      </c>
      <c r="S9">
        <v>0.38303045080073583</v>
      </c>
      <c r="T9">
        <v>-0.18077941685702761</v>
      </c>
      <c r="U9">
        <v>0.27300582235556931</v>
      </c>
      <c r="W9" cm="1">
        <f t="array" ref="W9">EXP(P9)/SUM(EXP($P9:$U9))</f>
        <v>0.13152229673100149</v>
      </c>
      <c r="X9" cm="1">
        <f t="array" ref="X9">EXP(Q9)/SUM(EXP($P9:$U9))</f>
        <v>0.12404453726144411</v>
      </c>
      <c r="Y9" cm="1">
        <f t="array" ref="Y9">EXP(R9)/SUM(EXP($P9:$U9))</f>
        <v>0.20774363373912538</v>
      </c>
      <c r="Z9" cm="1">
        <f t="array" ref="Z9">EXP(S9)/SUM(EXP($P9:$U9))</f>
        <v>0.21773728220168392</v>
      </c>
      <c r="AA9" cm="1">
        <f t="array" ref="AA9">EXP(T9)/SUM(EXP($P9:$U9))</f>
        <v>0.12390056402269359</v>
      </c>
      <c r="AB9" cm="1">
        <f t="array" ref="AB9">EXP(U9)/SUM(EXP($P9:$U9))</f>
        <v>0.19505168604405151</v>
      </c>
      <c r="AD9" s="51">
        <v>-1.5009017159257829</v>
      </c>
      <c r="AF9">
        <v>3</v>
      </c>
      <c r="AG9" s="51">
        <f t="shared" si="2"/>
        <v>3.8938801266061343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-7.0605381047174925E-2</v>
      </c>
      <c r="AP9">
        <v>1.8956567322031541E-2</v>
      </c>
      <c r="AQ9" s="8">
        <v>-4.0484885595436781E-2</v>
      </c>
      <c r="CB9">
        <v>4</v>
      </c>
      <c r="CC9" s="51">
        <v>8.0546347536957746E-2</v>
      </c>
      <c r="CD9">
        <f>MATCH(MAX(FRONTEND!$M31:$Q31),FRONTEND!$M31:$Q31,0)</f>
        <v>4</v>
      </c>
      <c r="CE9">
        <f t="shared" si="1"/>
        <v>0</v>
      </c>
      <c r="CF9">
        <f t="shared" si="0"/>
        <v>0</v>
      </c>
      <c r="CG9">
        <f t="shared" si="0"/>
        <v>0</v>
      </c>
      <c r="CH9">
        <f t="shared" si="0"/>
        <v>8.0546347536957746E-2</v>
      </c>
      <c r="CI9">
        <f t="shared" si="0"/>
        <v>0</v>
      </c>
      <c r="CK9">
        <v>0</v>
      </c>
      <c r="CL9">
        <v>0</v>
      </c>
      <c r="CM9">
        <v>0</v>
      </c>
      <c r="CN9" s="7">
        <v>1.2610501600821225</v>
      </c>
      <c r="CO9">
        <v>1.0201001967063095</v>
      </c>
      <c r="CP9">
        <v>0.20946802791688546</v>
      </c>
      <c r="CQ9">
        <v>-1.5474479187727208</v>
      </c>
      <c r="CR9" s="8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226</v>
      </c>
      <c r="I10">
        <v>4</v>
      </c>
      <c r="J10">
        <v>0.58766126652339312</v>
      </c>
      <c r="L10">
        <v>-0.71503189243803733</v>
      </c>
      <c r="N10">
        <v>-0.94958435988018719</v>
      </c>
      <c r="P10">
        <v>0.1328311914587986</v>
      </c>
      <c r="Q10">
        <v>0.19704673372530043</v>
      </c>
      <c r="R10">
        <v>-0.36865315022901479</v>
      </c>
      <c r="S10">
        <v>-0.4201965475147556</v>
      </c>
      <c r="T10">
        <v>0.19832075143438671</v>
      </c>
      <c r="U10">
        <v>-0.29949604206511443</v>
      </c>
      <c r="W10" cm="1">
        <f t="array" ref="W10">EXP(P10)/SUM(EXP($P10:$U10))</f>
        <v>0.20145704216268739</v>
      </c>
      <c r="X10" cm="1">
        <f t="array" ref="X10">EXP(Q10)/SUM(EXP($P10:$U10))</f>
        <v>0.21481811872110998</v>
      </c>
      <c r="Y10" cm="1">
        <f t="array" ref="Y10">EXP(R10)/SUM(EXP($P10:$U10))</f>
        <v>0.12200863570691152</v>
      </c>
      <c r="Z10" cm="1">
        <f t="array" ref="Z10">EXP(S10)/SUM(EXP($P10:$U10))</f>
        <v>0.1158792185686526</v>
      </c>
      <c r="AA10" cm="1">
        <f t="array" ref="AA10">EXP(T10)/SUM(EXP($P10:$U10))</f>
        <v>0.21509197522056644</v>
      </c>
      <c r="AB10" cm="1">
        <f t="array" ref="AB10">EXP(U10)/SUM(EXP($P10:$U10))</f>
        <v>0.13074500962007196</v>
      </c>
      <c r="AD10" s="51">
        <v>-1.4898987144975875</v>
      </c>
      <c r="AF10">
        <v>4</v>
      </c>
      <c r="AG10" s="51">
        <f t="shared" si="2"/>
        <v>2.6120122844945275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-3.31389772334321E-2</v>
      </c>
      <c r="AP10">
        <v>-1.2273162176443498E-2</v>
      </c>
      <c r="AQ10" s="8">
        <v>6.2232964634307782E-2</v>
      </c>
      <c r="AU10" t="s">
        <v>163</v>
      </c>
      <c r="CB10">
        <v>5</v>
      </c>
      <c r="CC10" s="51">
        <v>1.7798542859487759E-2</v>
      </c>
      <c r="CD10">
        <f>MATCH(MAX(FRONTEND!$M32:$Q32),FRONTEND!$M32:$Q32,0)</f>
        <v>1</v>
      </c>
      <c r="CE10">
        <f t="shared" si="1"/>
        <v>1.7798542859487759E-2</v>
      </c>
      <c r="CF10">
        <f t="shared" si="0"/>
        <v>0</v>
      </c>
      <c r="CG10">
        <f t="shared" si="0"/>
        <v>0</v>
      </c>
      <c r="CH10">
        <f t="shared" si="0"/>
        <v>0</v>
      </c>
      <c r="CI10">
        <f t="shared" si="0"/>
        <v>0</v>
      </c>
      <c r="CK10">
        <v>0</v>
      </c>
      <c r="CL10">
        <v>0</v>
      </c>
      <c r="CM10">
        <v>0</v>
      </c>
      <c r="CN10" s="7">
        <v>-1.914822845899089</v>
      </c>
      <c r="CO10">
        <v>-0.96507706088431011</v>
      </c>
      <c r="CP10">
        <v>-0.73600695036684105</v>
      </c>
      <c r="CQ10">
        <v>-1.2146668976505628</v>
      </c>
      <c r="CR10" s="8">
        <v>0.61213976054071273</v>
      </c>
      <c r="CS10">
        <v>0</v>
      </c>
      <c r="CT10">
        <v>0</v>
      </c>
      <c r="CU10">
        <v>0</v>
      </c>
    </row>
    <row r="11" spans="2:99" ht="15.75" thickBot="1" x14ac:dyDescent="0.3">
      <c r="I11">
        <v>5</v>
      </c>
      <c r="J11">
        <v>-1.7169540440736242</v>
      </c>
      <c r="L11">
        <v>0.3374746009851104</v>
      </c>
      <c r="N11">
        <v>-1.1811578008804937</v>
      </c>
      <c r="P11">
        <v>-0.3880893030495885</v>
      </c>
      <c r="Q11">
        <v>-0.57570611781623282</v>
      </c>
      <c r="R11">
        <v>1.0770839481914227</v>
      </c>
      <c r="S11">
        <v>1.2276768993631049</v>
      </c>
      <c r="T11">
        <v>-0.57942838093351801</v>
      </c>
      <c r="U11">
        <v>0.87502949386110818</v>
      </c>
      <c r="W11" cm="1">
        <f t="array" ref="W11">EXP(P11)/SUM(EXP($P11:$U11))</f>
        <v>6.4303498706921619E-2</v>
      </c>
      <c r="X11" cm="1">
        <f t="array" ref="X11">EXP(Q11)/SUM(EXP($P11:$U11))</f>
        <v>5.330324585899341E-2</v>
      </c>
      <c r="Y11" cm="1">
        <f t="array" ref="Y11">EXP(R11)/SUM(EXP($P11:$U11))</f>
        <v>0.27832438702543388</v>
      </c>
      <c r="Z11" cm="1">
        <f t="array" ref="Z11">EXP(S11)/SUM(EXP($P11:$U11))</f>
        <v>0.32355860101516815</v>
      </c>
      <c r="AA11" cm="1">
        <f t="array" ref="AA11">EXP(T11)/SUM(EXP($P11:$U11))</f>
        <v>5.3105205959864552E-2</v>
      </c>
      <c r="AB11" cm="1">
        <f t="array" ref="AB11">EXP(U11)/SUM(EXP($P11:$U11))</f>
        <v>0.22740506143361833</v>
      </c>
      <c r="AD11" s="51">
        <v>-1.4907471685258837</v>
      </c>
      <c r="AF11">
        <v>5</v>
      </c>
      <c r="AG11" s="51">
        <f t="shared" si="2"/>
        <v>3.5889474153044705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-6.5708556232612791E-2</v>
      </c>
      <c r="AP11">
        <v>-1.1240272290307163E-2</v>
      </c>
      <c r="AQ11" s="8">
        <v>5.7883348826533572E-2</v>
      </c>
      <c r="AU11">
        <v>1</v>
      </c>
      <c r="AV11">
        <v>2</v>
      </c>
      <c r="CB11">
        <v>6</v>
      </c>
      <c r="CC11" s="51">
        <v>-0.14111125184555007</v>
      </c>
      <c r="CD11">
        <f>MATCH(MAX(FRONTEND!$M33:$Q33),FRONTEND!$M33:$Q33,0)</f>
        <v>5</v>
      </c>
      <c r="CE11">
        <f t="shared" si="1"/>
        <v>0</v>
      </c>
      <c r="CF11">
        <f t="shared" si="0"/>
        <v>0</v>
      </c>
      <c r="CG11">
        <f t="shared" si="0"/>
        <v>0</v>
      </c>
      <c r="CH11">
        <f t="shared" si="0"/>
        <v>0</v>
      </c>
      <c r="CI11">
        <f t="shared" si="0"/>
        <v>-0.14111125184555007</v>
      </c>
      <c r="CK11">
        <v>0</v>
      </c>
      <c r="CL11">
        <v>0</v>
      </c>
      <c r="CM11">
        <v>0</v>
      </c>
      <c r="CN11" s="7">
        <v>0.61185767787065537</v>
      </c>
      <c r="CO11">
        <v>-1.6862564508613829</v>
      </c>
      <c r="CP11">
        <v>-0.39331255882270999</v>
      </c>
      <c r="CQ11">
        <v>1.027314449369916</v>
      </c>
      <c r="CR11" s="8">
        <v>1.3115002107703582</v>
      </c>
      <c r="CS11">
        <v>0</v>
      </c>
      <c r="CT11">
        <v>0</v>
      </c>
      <c r="CU11">
        <v>0</v>
      </c>
    </row>
    <row r="12" spans="2:99" ht="15.75" thickBot="1" x14ac:dyDescent="0.3">
      <c r="B12" s="4" t="s">
        <v>238</v>
      </c>
      <c r="C12" s="5"/>
      <c r="D12" s="6"/>
      <c r="I12">
        <v>6</v>
      </c>
      <c r="J12">
        <v>-0.40392637701006984</v>
      </c>
      <c r="L12">
        <v>-0.50964060271818568</v>
      </c>
      <c r="N12">
        <v>-1.6080451683162567</v>
      </c>
      <c r="P12">
        <v>-9.1300932997168432E-2</v>
      </c>
      <c r="Q12">
        <v>-0.13543920246130464</v>
      </c>
      <c r="R12">
        <v>0.25339211519979821</v>
      </c>
      <c r="S12">
        <v>0.28882024175915039</v>
      </c>
      <c r="T12">
        <v>-0.13631489290883458</v>
      </c>
      <c r="U12">
        <v>0.20585728223318508</v>
      </c>
      <c r="W12" cm="1">
        <f t="array" ref="W12">EXP(P12)/SUM(EXP($P12:$U12))</f>
        <v>0.14019636809123706</v>
      </c>
      <c r="X12" cm="1">
        <f t="array" ref="X12">EXP(Q12)/SUM(EXP($P12:$U12))</f>
        <v>0.13414292011621404</v>
      </c>
      <c r="Y12" cm="1">
        <f t="array" ref="Y12">EXP(R12)/SUM(EXP($P12:$U12))</f>
        <v>0.19789510493583798</v>
      </c>
      <c r="Z12" cm="1">
        <f t="array" ref="Z12">EXP(S12)/SUM(EXP($P12:$U12))</f>
        <v>0.20503183173149833</v>
      </c>
      <c r="AA12" cm="1">
        <f t="array" ref="AA12">EXP(T12)/SUM(EXP($P12:$U12))</f>
        <v>0.13402550386011466</v>
      </c>
      <c r="AB12" cm="1">
        <f t="array" ref="AB12">EXP(U12)/SUM(EXP($P12:$U12))</f>
        <v>0.18870827126509801</v>
      </c>
      <c r="AD12" s="51">
        <v>-1.5006563211591386</v>
      </c>
      <c r="AF12">
        <v>6</v>
      </c>
      <c r="AG12" s="51">
        <f t="shared" si="2"/>
        <v>3.5058253057054722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6.5139157998361383E-2</v>
      </c>
      <c r="AP12">
        <v>5.4196339907859409E-2</v>
      </c>
      <c r="AQ12" s="8">
        <v>0.25328147434500531</v>
      </c>
      <c r="AT12">
        <v>1</v>
      </c>
      <c r="AU12" s="51" cm="1">
        <f t="array" ref="AU12:AV17">MMULT($AO$61:$AP$66,TRANSPOSE($C$47:$D$48))</f>
        <v>0.26634858564171998</v>
      </c>
      <c r="AV12" s="55">
        <v>-1.882352649667739E-2</v>
      </c>
      <c r="CK12">
        <v>0</v>
      </c>
      <c r="CL12">
        <v>0</v>
      </c>
      <c r="CM12">
        <v>0</v>
      </c>
      <c r="CN12" s="9">
        <v>-0.45094970136476858</v>
      </c>
      <c r="CO12" s="14">
        <v>9.8350911682930572E-2</v>
      </c>
      <c r="CP12" s="14">
        <v>1.3402386975402607</v>
      </c>
      <c r="CQ12" s="14">
        <v>0.52920667781247754</v>
      </c>
      <c r="CR12" s="11">
        <v>0.78585618911594302</v>
      </c>
      <c r="CS12">
        <v>0</v>
      </c>
      <c r="CT12">
        <v>0</v>
      </c>
      <c r="CU12">
        <v>0</v>
      </c>
    </row>
    <row r="13" spans="2:99" x14ac:dyDescent="0.25">
      <c r="B13" s="7"/>
      <c r="C13">
        <v>1</v>
      </c>
      <c r="D13" s="8">
        <v>2</v>
      </c>
      <c r="AF13">
        <v>7</v>
      </c>
      <c r="AG13" s="55">
        <f t="shared" si="2"/>
        <v>4.1097346305780267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-2.3914725838559248E-2</v>
      </c>
      <c r="AP13">
        <v>-5.2434351278568013E-2</v>
      </c>
      <c r="AQ13" s="8">
        <v>8.4315629504546019E-2</v>
      </c>
      <c r="AT13">
        <v>2</v>
      </c>
      <c r="AU13" s="51">
        <v>-0.11447062838990696</v>
      </c>
      <c r="AV13" s="55">
        <v>4.0189856469501656E-2</v>
      </c>
      <c r="CC13" t="s">
        <v>89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7">
        <v>1</v>
      </c>
      <c r="C14" s="66">
        <f>C4+SIN($B14/POWER(10000,(2*($C$13-1)/$G$4)))</f>
        <v>4.8711386633696856</v>
      </c>
      <c r="D14" s="53">
        <f>D4+COS($B14/POWER(10000,(2*($D$13-1)/$G$4)))</f>
        <v>2.426184222044502</v>
      </c>
      <c r="J14" s="55" t="s">
        <v>138</v>
      </c>
      <c r="P14" t="s">
        <v>138</v>
      </c>
      <c r="AD14" t="s">
        <v>138</v>
      </c>
      <c r="AF14">
        <v>8</v>
      </c>
      <c r="AG14" s="55">
        <f t="shared" si="2"/>
        <v>3.6926556974367313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6.2519926120804897E-2</v>
      </c>
      <c r="AP14">
        <v>1.1240272290307163E-2</v>
      </c>
      <c r="AQ14" s="8">
        <v>-0.16996960233456104</v>
      </c>
      <c r="AT14">
        <v>3</v>
      </c>
      <c r="AU14" s="51">
        <v>0.27625915755589442</v>
      </c>
      <c r="AV14" s="55">
        <v>6.899306374222694E-2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7">
        <v>2</v>
      </c>
      <c r="C15" s="66">
        <f t="shared" ref="C15:C19" si="3">C5+SIN($B15/POWER(10000,(2*($C$13-1)/$G$4)))</f>
        <v>4.0850726735527099</v>
      </c>
      <c r="D15" s="53">
        <f t="shared" ref="D15:D19" si="4">D5+COS($B15/POWER(10000,(2*($D$13-1)/$G$4)))</f>
        <v>1.8344616321243081</v>
      </c>
      <c r="J15" t="s">
        <v>147</v>
      </c>
      <c r="L15" t="s">
        <v>148</v>
      </c>
      <c r="N15" t="s">
        <v>149</v>
      </c>
      <c r="P15" t="s">
        <v>146</v>
      </c>
      <c r="W15" t="s">
        <v>150</v>
      </c>
      <c r="AD15" t="s">
        <v>152</v>
      </c>
      <c r="AF15">
        <v>9</v>
      </c>
      <c r="AG15" s="55">
        <f t="shared" si="2"/>
        <v>2.9654650740244204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0.11274085038177932</v>
      </c>
      <c r="AP15">
        <v>-5.7538042480653424E-2</v>
      </c>
      <c r="AQ15" s="8">
        <v>-0.30280017738735776</v>
      </c>
      <c r="AT15">
        <v>4</v>
      </c>
      <c r="AU15" s="51">
        <v>-1.9529548713789906E-2</v>
      </c>
      <c r="AV15" s="55">
        <v>-1.0107752221133639E-3</v>
      </c>
      <c r="CB15">
        <v>1</v>
      </c>
      <c r="CC15">
        <f>CE6*IF(CE6&gt;0,1,0)</f>
        <v>0</v>
      </c>
      <c r="CD15">
        <f t="shared" ref="CD15:CG20" si="5">CF6*IF(CF6&gt;0,1,0)</f>
        <v>0</v>
      </c>
      <c r="CE15">
        <f t="shared" si="5"/>
        <v>0</v>
      </c>
      <c r="CF15">
        <f t="shared" si="5"/>
        <v>0.31274999909362333</v>
      </c>
      <c r="CG15">
        <f t="shared" si="5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7">
        <v>3</v>
      </c>
      <c r="C16" s="66">
        <f t="shared" si="3"/>
        <v>3.5200476389921991</v>
      </c>
      <c r="D16" s="53">
        <f t="shared" si="4"/>
        <v>2.8393159484697601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5">
        <f t="shared" si="2"/>
        <v>1.2823613959582065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5.3409554372782317E-2</v>
      </c>
      <c r="AP16">
        <v>2.2176753437633052E-2</v>
      </c>
      <c r="AQ16" s="8">
        <v>-6.9259267093019938E-2</v>
      </c>
      <c r="AT16">
        <v>5</v>
      </c>
      <c r="AU16" s="51">
        <v>-2.726350980710799E-2</v>
      </c>
      <c r="AV16" s="55">
        <v>-1.7371266686359427E-2</v>
      </c>
      <c r="CB16">
        <v>2</v>
      </c>
      <c r="CC16">
        <f t="shared" ref="CC16:CC20" si="6">CE7*IF(CE7&gt;0,1,0)</f>
        <v>0</v>
      </c>
      <c r="CD16">
        <f t="shared" si="5"/>
        <v>0</v>
      </c>
      <c r="CE16">
        <f t="shared" si="5"/>
        <v>0</v>
      </c>
      <c r="CF16">
        <f t="shared" si="5"/>
        <v>0</v>
      </c>
      <c r="CG16">
        <f t="shared" si="5"/>
        <v>0</v>
      </c>
    </row>
    <row r="17" spans="2:91" x14ac:dyDescent="0.25">
      <c r="B17" s="7">
        <v>4</v>
      </c>
      <c r="C17" s="66">
        <f t="shared" si="3"/>
        <v>0.75261069336826858</v>
      </c>
      <c r="D17" s="53">
        <f t="shared" si="4"/>
        <v>1.4050132775077735</v>
      </c>
      <c r="I17">
        <v>1</v>
      </c>
      <c r="J17" cm="1">
        <f t="array" ref="J17:J22">MMULT($C$14:$D$19,C31:C32)</f>
        <v>-1.7948126842144454</v>
      </c>
      <c r="L17" cm="1">
        <f t="array" ref="L17:L22">MMULT($C$14:$D$19,E31:E32)</f>
        <v>1.023708698298142</v>
      </c>
      <c r="N17" cm="1">
        <f t="array" ref="N17:N22">MMULT($C$14:$D$19,G31:G32)</f>
        <v>5.6586161734737113</v>
      </c>
      <c r="P17" cm="1">
        <f t="array" ref="P17:U22">MMULT(_xlfn.ANCHORARRAY(J17),TRANSPOSE(_xlfn.ANCHORARRAY(L17)))/SQRT($G$2)</f>
        <v>-1.8373653566461641</v>
      </c>
      <c r="Q17">
        <v>-1.5703307723625868</v>
      </c>
      <c r="R17">
        <v>-1.1678990611649964</v>
      </c>
      <c r="S17">
        <v>-0.13226727644115774</v>
      </c>
      <c r="T17">
        <v>-1.3779865836121952</v>
      </c>
      <c r="U17">
        <v>-0.91752472214110381</v>
      </c>
      <c r="W17" cm="1">
        <f t="array" ref="W17">EXP(P17)/SUM(EXP($P17:$U17))</f>
        <v>7.2185559485007836E-2</v>
      </c>
      <c r="X17" cm="1">
        <f t="array" ref="X17">EXP(Q17)/SUM(EXP($P17:$U17))</f>
        <v>9.4280520896315612E-2</v>
      </c>
      <c r="Y17" cm="1">
        <f t="array" ref="Y17">EXP(R17)/SUM(EXP($P17:$U17))</f>
        <v>0.14099244596730084</v>
      </c>
      <c r="Z17" cm="1">
        <f t="array" ref="Z17">EXP(S17)/SUM(EXP($P17:$U17))</f>
        <v>0.39715955391071206</v>
      </c>
      <c r="AA17" cm="1">
        <f t="array" ref="AA17">EXP(T17)/SUM(EXP($P17:$U17))</f>
        <v>0.114276253326848</v>
      </c>
      <c r="AB17" cm="1">
        <f t="array" ref="AB17">EXP(U17)/SUM(EXP($P17:$U17))</f>
        <v>0.18110566641381554</v>
      </c>
      <c r="AD17" s="55" cm="1">
        <f t="array" ref="AD17:AD22">MMULT(W17:AB22,_xlfn.ANCHORARRAY(N17))</f>
        <v>3.1297931164209145</v>
      </c>
      <c r="AF17">
        <v>11</v>
      </c>
      <c r="AG17" s="55">
        <f t="shared" si="2"/>
        <v>3.3856475489389961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2.7444994890917992E-2</v>
      </c>
      <c r="AP17">
        <v>2.9528499097779898E-2</v>
      </c>
      <c r="AQ17" s="8">
        <v>-2.0075149882034767E-3</v>
      </c>
      <c r="AT17">
        <v>6</v>
      </c>
      <c r="AU17" s="51">
        <v>-0.28738672217941075</v>
      </c>
      <c r="AV17" s="55">
        <v>3.2049182122524819E-2</v>
      </c>
      <c r="CB17">
        <v>3</v>
      </c>
      <c r="CC17">
        <f t="shared" si="6"/>
        <v>0</v>
      </c>
      <c r="CD17">
        <f t="shared" si="5"/>
        <v>0</v>
      </c>
      <c r="CE17">
        <f t="shared" si="5"/>
        <v>0</v>
      </c>
      <c r="CF17">
        <f t="shared" si="5"/>
        <v>0</v>
      </c>
      <c r="CG17">
        <f t="shared" si="5"/>
        <v>0</v>
      </c>
    </row>
    <row r="18" spans="2:91" ht="15.75" thickBot="1" x14ac:dyDescent="0.3">
      <c r="B18" s="7">
        <v>5</v>
      </c>
      <c r="C18" s="66">
        <f t="shared" si="3"/>
        <v>3.5609414056659587</v>
      </c>
      <c r="D18" s="53">
        <f t="shared" si="4"/>
        <v>1.5370198268300368</v>
      </c>
      <c r="I18">
        <v>2</v>
      </c>
      <c r="J18">
        <v>-1.5528285235745845</v>
      </c>
      <c r="L18">
        <v>0.87492738722753682</v>
      </c>
      <c r="N18">
        <v>4.6583844864813848</v>
      </c>
      <c r="P18">
        <v>-1.5896440665487637</v>
      </c>
      <c r="Q18">
        <v>-1.3586122029435048</v>
      </c>
      <c r="R18">
        <v>-1.0104380199579093</v>
      </c>
      <c r="S18">
        <v>-0.11443444845234581</v>
      </c>
      <c r="T18">
        <v>-1.1922006630305544</v>
      </c>
      <c r="U18">
        <v>-0.7938201975930097</v>
      </c>
      <c r="W18" cm="1">
        <f t="array" ref="W18">EXP(P18)/SUM(EXP($P18:$U18))</f>
        <v>8.2503116871132348E-2</v>
      </c>
      <c r="X18" cm="1">
        <f t="array" ref="X18">EXP(Q18)/SUM(EXP($P18:$U18))</f>
        <v>0.1039456261030875</v>
      </c>
      <c r="Y18" cm="1">
        <f t="array" ref="Y18">EXP(R18)/SUM(EXP($P18:$U18))</f>
        <v>0.14723679181716787</v>
      </c>
      <c r="Z18" cm="1">
        <f t="array" ref="Z18">EXP(S18)/SUM(EXP($P18:$U18))</f>
        <v>0.36069967647751344</v>
      </c>
      <c r="AA18" cm="1">
        <f t="array" ref="AA18">EXP(T18)/SUM(EXP($P18:$U18))</f>
        <v>0.12276592290160873</v>
      </c>
      <c r="AB18" cm="1">
        <f t="array" ref="AB18">EXP(U18)/SUM(EXP($P18:$U18))</f>
        <v>0.18284886582949014</v>
      </c>
      <c r="AD18" s="55">
        <v>3.2539977828631028</v>
      </c>
      <c r="AF18">
        <v>12</v>
      </c>
      <c r="AG18" s="55">
        <f t="shared" si="2"/>
        <v>2.5733646764432545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-1.9017901023997117E-2</v>
      </c>
      <c r="AP18" s="14">
        <v>-2.6855137039544685E-2</v>
      </c>
      <c r="AQ18" s="11">
        <v>3.3458583136724614E-3</v>
      </c>
      <c r="CB18">
        <v>4</v>
      </c>
      <c r="CC18">
        <f t="shared" si="6"/>
        <v>0</v>
      </c>
      <c r="CD18">
        <f t="shared" si="5"/>
        <v>0</v>
      </c>
      <c r="CE18">
        <f t="shared" si="5"/>
        <v>0</v>
      </c>
      <c r="CF18">
        <f t="shared" si="5"/>
        <v>8.0546347536957746E-2</v>
      </c>
      <c r="CG18">
        <f t="shared" si="5"/>
        <v>0</v>
      </c>
    </row>
    <row r="19" spans="2:91" ht="15.75" thickBot="1" x14ac:dyDescent="0.3">
      <c r="B19" s="9">
        <v>6</v>
      </c>
      <c r="C19" s="52">
        <f t="shared" si="3"/>
        <v>2.7746552256043508</v>
      </c>
      <c r="D19" s="54">
        <f t="shared" si="4"/>
        <v>2.2588936675691826</v>
      </c>
      <c r="I19">
        <v>3</v>
      </c>
      <c r="J19">
        <v>-1.038506004453398</v>
      </c>
      <c r="L19">
        <v>0.6507080496125216</v>
      </c>
      <c r="N19">
        <v>4.561547456431974</v>
      </c>
      <c r="P19">
        <v>-1.0631276299937926</v>
      </c>
      <c r="Q19">
        <v>-0.90861734509652026</v>
      </c>
      <c r="R19">
        <v>-0.6757642166687633</v>
      </c>
      <c r="S19">
        <v>-7.6531864291431467E-2</v>
      </c>
      <c r="T19">
        <v>-0.7973240626855892</v>
      </c>
      <c r="U19">
        <v>-0.53089380388183405</v>
      </c>
      <c r="W19" cm="1">
        <f t="array" ref="W19">EXP(P19)/SUM(EXP($P19:$U19))</f>
        <v>0.10718714533471584</v>
      </c>
      <c r="X19" cm="1">
        <f t="array" ref="X19">EXP(Q19)/SUM(EXP($P19:$U19))</f>
        <v>0.12509664685810298</v>
      </c>
      <c r="Y19" cm="1">
        <f t="array" ref="Y19">EXP(R19)/SUM(EXP($P19:$U19))</f>
        <v>0.15789649790961591</v>
      </c>
      <c r="Z19" cm="1">
        <f t="array" ref="Z19">EXP(S19)/SUM(EXP($P19:$U19))</f>
        <v>0.28748540514233112</v>
      </c>
      <c r="AA19" cm="1">
        <f t="array" ref="AA19">EXP(T19)/SUM(EXP($P19:$U19))</f>
        <v>0.13982335778245461</v>
      </c>
      <c r="AB19" cm="1">
        <f t="array" ref="AB19">EXP(U19)/SUM(EXP($P19:$U19))</f>
        <v>0.18251094697277956</v>
      </c>
      <c r="AD19" s="55">
        <v>3.5115975451813366</v>
      </c>
      <c r="AU19" t="s">
        <v>53</v>
      </c>
      <c r="CB19">
        <v>5</v>
      </c>
      <c r="CC19">
        <f t="shared" si="6"/>
        <v>1.7798542859487759E-2</v>
      </c>
      <c r="CD19">
        <f t="shared" si="5"/>
        <v>0</v>
      </c>
      <c r="CE19">
        <f t="shared" si="5"/>
        <v>0</v>
      </c>
      <c r="CF19">
        <f t="shared" si="5"/>
        <v>0</v>
      </c>
      <c r="CG19">
        <f t="shared" si="5"/>
        <v>0</v>
      </c>
    </row>
    <row r="20" spans="2:91" x14ac:dyDescent="0.25">
      <c r="I20">
        <v>4</v>
      </c>
      <c r="J20">
        <v>-3.2128247623496697E-2</v>
      </c>
      <c r="L20">
        <v>7.369419527979798E-2</v>
      </c>
      <c r="N20">
        <v>1.3223978809488952</v>
      </c>
      <c r="P20">
        <v>-3.2889966553250181E-2</v>
      </c>
      <c r="Q20">
        <v>-2.8109883749425284E-2</v>
      </c>
      <c r="R20">
        <v>-2.0906109348553668E-2</v>
      </c>
      <c r="S20">
        <v>-2.3676653543636709E-3</v>
      </c>
      <c r="T20">
        <v>-2.4666804825666789E-2</v>
      </c>
      <c r="U20">
        <v>-1.6424255150910935E-2</v>
      </c>
      <c r="W20" cm="1">
        <f t="array" ref="W20">EXP(P20)/SUM(EXP($P20:$U20))</f>
        <v>0.16467141334954533</v>
      </c>
      <c r="X20" cm="1">
        <f t="array" ref="X20">EXP(Q20)/SUM(EXP($P20:$U20))</f>
        <v>0.16546044064629975</v>
      </c>
      <c r="Y20" cm="1">
        <f t="array" ref="Y20">EXP(R20)/SUM(EXP($P20:$U20))</f>
        <v>0.16665668389303764</v>
      </c>
      <c r="Z20" cm="1">
        <f t="array" ref="Z20">EXP(S20)/SUM(EXP($P20:$U20))</f>
        <v>0.16977505506020901</v>
      </c>
      <c r="AA20" cm="1">
        <f t="array" ref="AA20">EXP(T20)/SUM(EXP($P20:$U20))</f>
        <v>0.16603111587836714</v>
      </c>
      <c r="AB20" cm="1">
        <f t="array" ref="AB20">EXP(U20)/SUM(EXP($P20:$U20))</f>
        <v>0.16740529117254105</v>
      </c>
      <c r="AD20" s="55">
        <v>3.9604722951944709</v>
      </c>
      <c r="AG20" t="s">
        <v>68</v>
      </c>
      <c r="AI20" s="4"/>
      <c r="AJ20" s="39" t="s">
        <v>52</v>
      </c>
      <c r="AN20" s="4"/>
      <c r="AO20" s="39" t="s">
        <v>52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5"/>
        <v>0</v>
      </c>
      <c r="CE20">
        <f t="shared" si="5"/>
        <v>0</v>
      </c>
      <c r="CF20">
        <f t="shared" si="5"/>
        <v>0</v>
      </c>
      <c r="CG20">
        <f t="shared" si="5"/>
        <v>0</v>
      </c>
    </row>
    <row r="21" spans="2:91" ht="15.75" thickBot="1" x14ac:dyDescent="0.3">
      <c r="I21">
        <v>5</v>
      </c>
      <c r="J21">
        <v>-1.3683677457737731</v>
      </c>
      <c r="L21">
        <v>0.76776066702209267</v>
      </c>
      <c r="N21">
        <v>4.0336932530253975</v>
      </c>
      <c r="P21">
        <v>-1.4008099638192322</v>
      </c>
      <c r="Q21">
        <v>-1.1972224165762817</v>
      </c>
      <c r="R21">
        <v>-0.89040790700513472</v>
      </c>
      <c r="S21">
        <v>-0.1008407598716294</v>
      </c>
      <c r="T21">
        <v>-1.0505789332267894</v>
      </c>
      <c r="U21">
        <v>-0.69952215446785893</v>
      </c>
      <c r="W21" cm="1">
        <f t="array" ref="W21">EXP(P21)/SUM(EXP($P21:$U21))</f>
        <v>9.093653596459958E-2</v>
      </c>
      <c r="X21" cm="1">
        <f t="array" ref="X21">EXP(Q21)/SUM(EXP($P21:$U21))</f>
        <v>0.11146932082366025</v>
      </c>
      <c r="Y21" cm="1">
        <f t="array" ref="Y21">EXP(R21)/SUM(EXP($P21:$U21))</f>
        <v>0.15149671068251416</v>
      </c>
      <c r="Z21" cm="1">
        <f t="array" ref="Z21">EXP(S21)/SUM(EXP($P21:$U21))</f>
        <v>0.33366285272282331</v>
      </c>
      <c r="AA21" cm="1">
        <f t="array" ref="AA21">EXP(T21)/SUM(EXP($P21:$U21))</f>
        <v>0.129074903975952</v>
      </c>
      <c r="AB21" cm="1">
        <f t="array" ref="AB21">EXP(U21)/SUM(EXP($P21:$U21))</f>
        <v>0.18335967583045062</v>
      </c>
      <c r="AD21" s="55">
        <v>3.3477357057581143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0.26634858564171998</v>
      </c>
      <c r="AV21">
        <f>AV12*IF(AV12&gt;0,1,0)</f>
        <v>0</v>
      </c>
    </row>
    <row r="22" spans="2:91" ht="15.75" thickBot="1" x14ac:dyDescent="0.3">
      <c r="I22">
        <v>6</v>
      </c>
      <c r="J22">
        <v>-0.81364040198785337</v>
      </c>
      <c r="L22">
        <v>0.51120918088601908</v>
      </c>
      <c r="N22">
        <v>3.6046679335887055</v>
      </c>
      <c r="P22">
        <v>-0.83293075680176243</v>
      </c>
      <c r="Q22">
        <v>-0.71187627105399531</v>
      </c>
      <c r="R22">
        <v>-0.52944235906346415</v>
      </c>
      <c r="S22">
        <v>-5.9960574671626195E-2</v>
      </c>
      <c r="T22">
        <v>-0.62468109774631797</v>
      </c>
      <c r="U22">
        <v>-0.4159404434359818</v>
      </c>
      <c r="W22" cm="1">
        <f t="array" ref="W22">EXP(P22)/SUM(EXP($P22:$U22))</f>
        <v>0.1190708466837412</v>
      </c>
      <c r="X22" cm="1">
        <f t="array" ref="X22">EXP(Q22)/SUM(EXP($P22:$U22))</f>
        <v>0.13439364624277017</v>
      </c>
      <c r="Y22" cm="1">
        <f t="array" ref="Y22">EXP(R22)/SUM(EXP($P22:$U22))</f>
        <v>0.16129049629873926</v>
      </c>
      <c r="Z22" cm="1">
        <f t="array" ref="Z22">EXP(S22)/SUM(EXP($P22:$U22))</f>
        <v>0.2579301594254767</v>
      </c>
      <c r="AA22" cm="1">
        <f t="array" ref="AA22">EXP(T22)/SUM(EXP($P22:$U22))</f>
        <v>0.14663819953117022</v>
      </c>
      <c r="AB22" cm="1">
        <f t="array" ref="AB22">EXP(U22)/SUM(EXP($P22:$U22))</f>
        <v>0.18067665181810239</v>
      </c>
      <c r="AD22" s="55">
        <v>3.6194268942095986</v>
      </c>
      <c r="AF22">
        <v>1</v>
      </c>
      <c r="AG22" cm="1">
        <f t="array" ref="AG22:AG24">TRANSPOSE(MMULT(TRANSPOSE(AG7:AG18),AJ7:AL18)+TRANSPOSE(AJ22:AJ24))</f>
        <v>-1.3409210566804277</v>
      </c>
      <c r="AI22" s="7">
        <v>1</v>
      </c>
      <c r="AJ22" s="8">
        <v>1</v>
      </c>
      <c r="AN22" s="7">
        <v>1</v>
      </c>
      <c r="AO22" s="8">
        <f>AG34</f>
        <v>0.11387964685028214</v>
      </c>
      <c r="AT22">
        <v>2</v>
      </c>
      <c r="AU22">
        <f t="shared" ref="AU22:AV22" si="7">AU13*IF(AU13&gt;0,1,0)</f>
        <v>0</v>
      </c>
      <c r="AV22">
        <f t="shared" si="7"/>
        <v>4.0189856469501656E-2</v>
      </c>
      <c r="CB22" s="4"/>
      <c r="CC22" s="40" t="s">
        <v>50</v>
      </c>
      <c r="CD22" s="5"/>
      <c r="CE22" s="6"/>
      <c r="CG22" s="4"/>
      <c r="CH22" s="39" t="s">
        <v>52</v>
      </c>
    </row>
    <row r="23" spans="2:91" x14ac:dyDescent="0.25">
      <c r="B23" s="4"/>
      <c r="C23" s="6" t="s">
        <v>139</v>
      </c>
      <c r="E23" s="18" t="s">
        <v>140</v>
      </c>
      <c r="G23" s="18" t="s">
        <v>141</v>
      </c>
      <c r="AF23">
        <v>2</v>
      </c>
      <c r="AG23">
        <v>-3.5388422109588644</v>
      </c>
      <c r="AI23" s="7">
        <v>2</v>
      </c>
      <c r="AJ23" s="8">
        <v>1</v>
      </c>
      <c r="AN23" s="7">
        <v>2</v>
      </c>
      <c r="AO23" s="8">
        <f>AG35</f>
        <v>6.0758228596254939E-2</v>
      </c>
      <c r="AT23">
        <v>3</v>
      </c>
      <c r="AU23">
        <f t="shared" ref="AU23:AV23" si="8">AU14*IF(AU14&gt;0,1,0)</f>
        <v>0.27625915755589442</v>
      </c>
      <c r="AV23">
        <f t="shared" si="8"/>
        <v>6.899306374222694E-2</v>
      </c>
      <c r="CB23" s="7"/>
      <c r="CC23">
        <v>1</v>
      </c>
      <c r="CD23">
        <v>2</v>
      </c>
      <c r="CE23" s="8">
        <v>3</v>
      </c>
      <c r="CG23" s="7"/>
      <c r="CH23" s="8">
        <v>1</v>
      </c>
    </row>
    <row r="24" spans="2:91" ht="15.75" thickBot="1" x14ac:dyDescent="0.3">
      <c r="B24" s="7"/>
      <c r="C24" s="8">
        <v>1</v>
      </c>
      <c r="E24" s="19">
        <v>1</v>
      </c>
      <c r="G24" s="19">
        <v>1</v>
      </c>
      <c r="AF24">
        <v>3</v>
      </c>
      <c r="AG24">
        <v>1.0101702409922373</v>
      </c>
      <c r="AI24" s="9">
        <v>3</v>
      </c>
      <c r="AJ24" s="11">
        <v>1</v>
      </c>
      <c r="AN24" s="9">
        <v>3</v>
      </c>
      <c r="AO24" s="11">
        <f>AG36</f>
        <v>0.33458583136724612</v>
      </c>
      <c r="AT24">
        <v>4</v>
      </c>
      <c r="AU24">
        <f t="shared" ref="AU24:AV24" si="9">AU15*IF(AU15&gt;0,1,0)</f>
        <v>0</v>
      </c>
      <c r="AV24">
        <f t="shared" si="9"/>
        <v>0</v>
      </c>
      <c r="CB24" s="7">
        <v>1</v>
      </c>
      <c r="CC24" cm="1">
        <f t="array" ref="CC24">SUM($CC$15:$CG$20*CM5:CQ10)</f>
        <v>-0.12156495719005597</v>
      </c>
      <c r="CD24" cm="1">
        <f t="array" ref="CD24">SUM($CC$15:$CG$20*CN5:CR10)</f>
        <v>8.5830993742921358E-2</v>
      </c>
      <c r="CE24" s="8" cm="1">
        <f t="array" ref="CE24">SUM($CC$15:$CG$20*CO5:CS10)</f>
        <v>-0.11485979817246091</v>
      </c>
      <c r="CG24" s="9">
        <v>1</v>
      </c>
      <c r="CH24" s="11">
        <f>SUM(CA85:CA90)</f>
        <v>-7.1393634409119694E-2</v>
      </c>
    </row>
    <row r="25" spans="2:91" ht="15.75" thickBot="1" x14ac:dyDescent="0.3">
      <c r="B25" s="7">
        <v>1</v>
      </c>
      <c r="C25" s="12">
        <v>-0.86199999999999999</v>
      </c>
      <c r="E25" s="28">
        <v>0.40899999999999997</v>
      </c>
      <c r="G25" s="28">
        <v>-5.1999999999999998E-2</v>
      </c>
      <c r="J25" t="s">
        <v>62</v>
      </c>
      <c r="M25" s="38" t="s">
        <v>165</v>
      </c>
      <c r="N25" s="6"/>
      <c r="AT25">
        <v>5</v>
      </c>
      <c r="AU25">
        <f t="shared" ref="AU25:AV25" si="10">AU16*IF(AU16&gt;0,1,0)</f>
        <v>0</v>
      </c>
      <c r="AV25">
        <f t="shared" si="10"/>
        <v>0</v>
      </c>
      <c r="CB25" s="7">
        <v>2</v>
      </c>
      <c r="CC25" cm="1">
        <f t="array" ref="CC25">SUM($CC$15:$CG$20*CM6:CQ11)</f>
        <v>1.6871884574474624E-2</v>
      </c>
      <c r="CD25" cm="1">
        <f t="array" ref="CD25">SUM($CC$15:$CG$20*CN6:CR11)</f>
        <v>-0.15872233435187078</v>
      </c>
      <c r="CE25" s="8" cm="1">
        <f t="array" ref="CE25">SUM($CC$15:$CG$20*CO6:CS11)</f>
        <v>-5.8255679584180285E-2</v>
      </c>
    </row>
    <row r="26" spans="2:91" ht="15.75" thickBot="1" x14ac:dyDescent="0.3">
      <c r="B26" s="9">
        <v>2</v>
      </c>
      <c r="C26" s="24">
        <v>0.88</v>
      </c>
      <c r="E26" s="29">
        <v>-0.72799999999999998</v>
      </c>
      <c r="G26" s="29">
        <v>-0.64800000000000002</v>
      </c>
      <c r="J26">
        <v>1</v>
      </c>
      <c r="K26">
        <v>2</v>
      </c>
      <c r="M26" s="7">
        <v>1</v>
      </c>
      <c r="N26" s="8">
        <v>2</v>
      </c>
      <c r="AF26" s="4"/>
      <c r="AG26" s="40" t="s">
        <v>69</v>
      </c>
      <c r="AH26" s="6"/>
      <c r="AO26" t="s">
        <v>81</v>
      </c>
      <c r="AT26">
        <v>6</v>
      </c>
      <c r="AU26">
        <f t="shared" ref="AU26:AV26" si="11">AU17*IF(AU17&gt;0,1,0)</f>
        <v>0</v>
      </c>
      <c r="AV26">
        <f t="shared" si="11"/>
        <v>3.2049182122524819E-2</v>
      </c>
      <c r="CB26" s="7">
        <v>3</v>
      </c>
      <c r="CC26" cm="1">
        <f t="array" ref="CC26">SUM($CC$15:$CG$20*CM7:CQ12)</f>
        <v>0.28126064692284275</v>
      </c>
      <c r="CD26" cm="1">
        <f t="array" ref="CD26">SUM($CC$15:$CG$20*CN7:CR12)</f>
        <v>4.3983267831807435E-2</v>
      </c>
      <c r="CE26" s="8" cm="1">
        <f t="array" ref="CE26">SUM($CC$15:$CG$20*CO7:CS12)</f>
        <v>-0.1521168507036246</v>
      </c>
    </row>
    <row r="27" spans="2:91" ht="15.75" thickBot="1" x14ac:dyDescent="0.3">
      <c r="I27">
        <v>1</v>
      </c>
      <c r="J27" s="51" cm="1">
        <f t="array" ref="J27:J32">_xlfn.ANCHORARRAY(AD7)</f>
        <v>-1.4845011406808191</v>
      </c>
      <c r="K27" s="55" cm="1">
        <f t="array" ref="K27:K32">_xlfn.ANCHORARRAY(AD17)</f>
        <v>3.1297931164209145</v>
      </c>
      <c r="M27" s="72" cm="1">
        <f t="array" ref="M27:N32">C14:D19+MMULT(J27:K32,C36:D37)</f>
        <v>7.2461017282211628</v>
      </c>
      <c r="N27" s="53">
        <v>4.9934072753504779</v>
      </c>
      <c r="AF27" s="7"/>
      <c r="AG27">
        <v>1</v>
      </c>
      <c r="AH27" s="8"/>
      <c r="AO27">
        <v>1</v>
      </c>
      <c r="CB27" s="7">
        <v>4</v>
      </c>
      <c r="CC27" cm="1">
        <f t="array" ref="CC27">SUM($CC$15:$CG$20*CM8:CQ13)</f>
        <v>-0.50369931009695224</v>
      </c>
      <c r="CD27" cm="1">
        <f t="array" ref="CD27">SUM($CC$15:$CG$20*CN8:CR13)</f>
        <v>0.32083952949071948</v>
      </c>
      <c r="CE27" s="8" cm="1">
        <f t="array" ref="CE27">SUM($CC$15:$CG$20*CO8:CS13)</f>
        <v>-0.40909550397849603</v>
      </c>
    </row>
    <row r="28" spans="2:91" ht="15.75" thickBot="1" x14ac:dyDescent="0.3">
      <c r="I28">
        <v>2</v>
      </c>
      <c r="J28" s="51">
        <v>-1.4874554263512736</v>
      </c>
      <c r="K28" s="55">
        <v>3.2539977828631028</v>
      </c>
      <c r="M28" s="72">
        <v>6.5277613616921109</v>
      </c>
      <c r="N28" s="53">
        <v>4.4997588540123203</v>
      </c>
      <c r="AF28" s="7">
        <v>1</v>
      </c>
      <c r="AG28">
        <f>1/(1+EXP(-AG22))</f>
        <v>0.20735863193051313</v>
      </c>
      <c r="AH28" s="8" t="s">
        <v>42</v>
      </c>
      <c r="AN28">
        <v>1</v>
      </c>
      <c r="AO28" s="51" cm="1">
        <f t="array" ref="AO28">SUM(MMULT(TRANSPOSE($AG$34:$AG$36),TRANSPOSE(AJ7:AL7)))</f>
        <v>-0.31633642086974234</v>
      </c>
      <c r="AT28" s="4"/>
      <c r="AU28" s="40" t="s">
        <v>157</v>
      </c>
      <c r="AV28" s="6"/>
      <c r="AX28" s="38" t="s">
        <v>158</v>
      </c>
      <c r="AY28" s="6"/>
      <c r="CB28" s="9">
        <v>5</v>
      </c>
      <c r="CC28" s="14" cm="1">
        <f t="array" ref="CC28">SUM($CC$15:$CG$20*CM9:CQ14)</f>
        <v>0.17346245745570643</v>
      </c>
      <c r="CD28" s="14" cm="1">
        <f t="array" ref="CD28">SUM($CC$15:$CG$20*CN9:CR14)</f>
        <v>-0.44133867020363515</v>
      </c>
      <c r="CE28" s="11" cm="1">
        <f t="array" ref="CE28">SUM($CC$15:$CG$20*CO9:CS14)</f>
        <v>-9.6204952443682795E-2</v>
      </c>
    </row>
    <row r="29" spans="2:91" x14ac:dyDescent="0.25">
      <c r="B29" s="4"/>
      <c r="C29" s="6" t="s">
        <v>142</v>
      </c>
      <c r="E29" s="18" t="s">
        <v>143</v>
      </c>
      <c r="G29" s="18" t="s">
        <v>144</v>
      </c>
      <c r="I29">
        <v>3</v>
      </c>
      <c r="J29" s="51">
        <v>-1.5009017159257829</v>
      </c>
      <c r="K29" s="55">
        <v>3.5115975451813366</v>
      </c>
      <c r="M29" s="72">
        <v>6.1066681414678534</v>
      </c>
      <c r="N29" s="53">
        <v>5.7085161307556067</v>
      </c>
      <c r="AF29" s="7">
        <v>2</v>
      </c>
      <c r="AG29">
        <f t="shared" ref="AG29" si="12">1/(1+EXP(-AG23))</f>
        <v>2.8227029088125882E-2</v>
      </c>
      <c r="AH29" s="8" t="s">
        <v>43</v>
      </c>
      <c r="AN29">
        <v>2</v>
      </c>
      <c r="AO29" s="51" cm="1">
        <f t="array" ref="AO29">SUM(MMULT(TRANSPOSE($AG$34:$AG$36),TRANSPOSE(AJ8:AL8)))</f>
        <v>0.22152796346757411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1" ht="15.75" thickBot="1" x14ac:dyDescent="0.3">
      <c r="B30" s="7"/>
      <c r="C30" s="8">
        <v>1</v>
      </c>
      <c r="E30" s="19">
        <v>1</v>
      </c>
      <c r="G30" s="19">
        <v>1</v>
      </c>
      <c r="I30">
        <v>4</v>
      </c>
      <c r="J30" s="51">
        <v>-1.4898987144975875</v>
      </c>
      <c r="K30" s="55">
        <v>3.9604722951944709</v>
      </c>
      <c r="M30" s="72">
        <v>3.5737148896739726</v>
      </c>
      <c r="N30" s="53">
        <v>4.6271785587068521</v>
      </c>
      <c r="AF30" s="9">
        <v>3</v>
      </c>
      <c r="AG30" s="14">
        <f>1/(1+EXP(-AG24))</f>
        <v>0.73305346435345753</v>
      </c>
      <c r="AH30" s="11" t="s">
        <v>44</v>
      </c>
      <c r="AN30">
        <v>3</v>
      </c>
      <c r="AO30" s="51" cm="1">
        <f t="array" ref="AO30">SUM(MMULT(TRANSPOSE($AG$34:$AG$36),TRANSPOSE(AJ9:AL9)))</f>
        <v>-9.2133699320580159E-2</v>
      </c>
      <c r="AT30" s="7">
        <v>1</v>
      </c>
      <c r="AU30" cm="1">
        <f t="array" ref="AU30:AV31">MMULT(TRANSPOSE(_xlfn.ANCHORARRAY($M$27)),AU21:AV26)</f>
        <v>3.6170119429630585</v>
      </c>
      <c r="AV30" s="8">
        <v>0.85733373074596286</v>
      </c>
      <c r="AX30" s="9">
        <f>SUM(AU21:AU26)</f>
        <v>0.5426077431976144</v>
      </c>
      <c r="AY30" s="11">
        <f>SUM(AV21:AV26)</f>
        <v>0.14123210233425343</v>
      </c>
    </row>
    <row r="31" spans="2:91" ht="27" thickBot="1" x14ac:dyDescent="0.45">
      <c r="B31" s="7">
        <v>1</v>
      </c>
      <c r="C31" s="12">
        <v>-0.48699999999999999</v>
      </c>
      <c r="E31" s="28">
        <v>0.251</v>
      </c>
      <c r="G31" s="28">
        <v>0.94499999999999995</v>
      </c>
      <c r="I31">
        <v>5</v>
      </c>
      <c r="J31" s="51">
        <v>-1.4907471685258837</v>
      </c>
      <c r="K31" s="55">
        <v>3.3477357057581143</v>
      </c>
      <c r="M31" s="72">
        <v>6.055246430422061</v>
      </c>
      <c r="N31" s="53">
        <v>4.2764063704271909</v>
      </c>
      <c r="AN31">
        <v>4</v>
      </c>
      <c r="AO31" s="51" cm="1">
        <f t="array" ref="AO31">SUM(MMULT(TRANSPOSE($AG$34:$AG$36),TRANSPOSE(AJ10:AL10)))</f>
        <v>1.6820825224432186E-2</v>
      </c>
      <c r="AT31" s="9">
        <v>2</v>
      </c>
      <c r="AU31" s="14">
        <v>2.9070168224994521</v>
      </c>
      <c r="AV31" s="11">
        <v>0.74176656255535944</v>
      </c>
      <c r="CC31" s="41" t="s">
        <v>86</v>
      </c>
    </row>
    <row r="32" spans="2:91" ht="27" thickBot="1" x14ac:dyDescent="0.45">
      <c r="B32" s="9">
        <v>2</v>
      </c>
      <c r="C32" s="24">
        <v>0.23799999999999999</v>
      </c>
      <c r="E32" s="29">
        <v>-8.2000000000000003E-2</v>
      </c>
      <c r="G32" s="29">
        <v>0.435</v>
      </c>
      <c r="I32">
        <v>6</v>
      </c>
      <c r="J32" s="51">
        <v>-1.5006563211591386</v>
      </c>
      <c r="K32" s="55">
        <v>3.6194268942095986</v>
      </c>
      <c r="M32" s="73">
        <v>5.4187402833417089</v>
      </c>
      <c r="N32" s="54">
        <v>5.213046690045168</v>
      </c>
      <c r="AF32" s="4"/>
      <c r="AG32" s="40" t="s">
        <v>72</v>
      </c>
      <c r="AH32" s="6"/>
      <c r="AN32">
        <v>5</v>
      </c>
      <c r="AO32" s="51" cm="1">
        <f t="array" ref="AO32">SUM(MMULT(TRANSPOSE($AG$34:$AG$36),TRANSPOSE(AJ11:AL11)))</f>
        <v>-1.9065479696386382E-2</v>
      </c>
      <c r="CC32" s="41" t="s">
        <v>56</v>
      </c>
      <c r="CK32">
        <v>0</v>
      </c>
      <c r="CL32">
        <v>0</v>
      </c>
      <c r="CM32">
        <v>0</v>
      </c>
    </row>
    <row r="33" spans="2:91" ht="15.75" thickBot="1" x14ac:dyDescent="0.3">
      <c r="M33" t="s">
        <v>167</v>
      </c>
      <c r="AF33" s="7"/>
      <c r="AG33">
        <v>1</v>
      </c>
      <c r="AH33" s="21" t="s">
        <v>77</v>
      </c>
      <c r="AN33">
        <v>6</v>
      </c>
      <c r="AO33" s="51" cm="1">
        <f t="array" ref="AO33">SUM(MMULT(TRANSPOSE($AG$34:$AG$36),TRANSPOSE(AJ12:AL12)))</f>
        <v>0.37261697225122609</v>
      </c>
      <c r="AT33" s="4"/>
      <c r="AU33" s="40" t="s">
        <v>164</v>
      </c>
      <c r="AV33" s="6"/>
      <c r="CC33" t="s">
        <v>89</v>
      </c>
      <c r="CK33">
        <v>0</v>
      </c>
      <c r="CL33" s="18" cm="1">
        <f t="array" ref="CL33:CL38">FRONTEND!$B$26:$B$31</f>
        <v>0.36548104119790437</v>
      </c>
      <c r="CM33">
        <v>0</v>
      </c>
    </row>
    <row r="34" spans="2:91" x14ac:dyDescent="0.25">
      <c r="B34" s="4"/>
      <c r="C34" s="5" t="s">
        <v>145</v>
      </c>
      <c r="D34" s="6"/>
      <c r="AF34" s="22" t="s">
        <v>76</v>
      </c>
      <c r="AG34" s="3">
        <f>-1/3*((2/(1+DATA!I16))*AH34*LOG(AG28)+((2*DATA!I16)/(1+DATA!I16))*(1-AH34)*LOG(1-AG28))</f>
        <v>0.11387964685028214</v>
      </c>
      <c r="AH34" s="8">
        <v>1</v>
      </c>
      <c r="AN34">
        <v>7</v>
      </c>
      <c r="AO34" s="55" cm="1">
        <f t="array" ref="AO34">SUM(MMULT(TRANSPOSE($AG$34:$AG$36),TRANSPOSE(AJ13:AL13)))</f>
        <v>7.9665523874187516E-3</v>
      </c>
      <c r="AT34" s="7"/>
      <c r="AU34">
        <v>1</v>
      </c>
      <c r="AV34" s="8">
        <v>2</v>
      </c>
      <c r="CC34">
        <v>1</v>
      </c>
      <c r="CK34">
        <v>0</v>
      </c>
      <c r="CL34" s="19">
        <v>-0.24318936518565337</v>
      </c>
      <c r="CM34">
        <v>0</v>
      </c>
    </row>
    <row r="35" spans="2:91" ht="26.25" x14ac:dyDescent="0.4">
      <c r="B35" s="7"/>
      <c r="C35">
        <v>1</v>
      </c>
      <c r="D35" s="8">
        <v>2</v>
      </c>
      <c r="J35" s="41" t="s">
        <v>151</v>
      </c>
      <c r="AF35" s="7">
        <v>2</v>
      </c>
      <c r="AG35" s="3">
        <f>-1/3*((2/(1+DATA!I17))*AH35*LOG(AG29)+((2*DATA!I17)/(1+DATA!I17))*(1-AH35)*LOG(1-AG29))</f>
        <v>6.0758228596254939E-2</v>
      </c>
      <c r="AH35" s="8">
        <v>1</v>
      </c>
      <c r="AN35">
        <v>8</v>
      </c>
      <c r="AO35" s="55" cm="1">
        <f t="array" ref="AO35">SUM(MMULT(TRANSPOSE($AG$34:$AG$36),TRANSPOSE(AJ14:AL14)))</f>
        <v>-9.6209403923448983E-2</v>
      </c>
      <c r="AT35" s="7">
        <v>1</v>
      </c>
      <c r="AU35" s="51" cm="1">
        <f t="array" ref="AU35:AV40">AO61:AP66+MMULT(AU21:AV26,TRANSPOSE(C42:D43))</f>
        <v>-0.12226595340046588</v>
      </c>
      <c r="AV35" s="53">
        <v>-6.06537312446076E-2</v>
      </c>
      <c r="CB35">
        <v>1</v>
      </c>
      <c r="CC35" s="55">
        <f>CB85*IF(CB85&gt;0,1,0)</f>
        <v>0</v>
      </c>
      <c r="CK35">
        <v>0</v>
      </c>
      <c r="CL35" s="19">
        <v>8.6633902217030781E-2</v>
      </c>
      <c r="CM35">
        <v>0</v>
      </c>
    </row>
    <row r="36" spans="2:91" ht="15.75" thickBot="1" x14ac:dyDescent="0.3">
      <c r="B36" s="7">
        <v>1</v>
      </c>
      <c r="C36" s="2">
        <v>-0.47399999999999998</v>
      </c>
      <c r="D36" s="12">
        <v>-6.8000000000000005E-2</v>
      </c>
      <c r="J36" t="s">
        <v>161</v>
      </c>
      <c r="M36" t="s">
        <v>53</v>
      </c>
      <c r="AF36" s="9">
        <v>3</v>
      </c>
      <c r="AG36" s="23">
        <f>-1/3*((2/(1+DATA!I18))*AH36*LOG(AG30)+((2*DATA!I18)/(1+DATA!I18))*(1-AH36)*LOG(1-AG30))</f>
        <v>0.33458583136724612</v>
      </c>
      <c r="AH36" s="11">
        <v>0</v>
      </c>
      <c r="AN36">
        <v>9</v>
      </c>
      <c r="AO36" s="55" cm="1">
        <f t="array" ref="AO36">SUM(MMULT(TRANSPOSE($AG$34:$AG$36),TRANSPOSE(AJ15:AL15)))</f>
        <v>-0.24759736948623187</v>
      </c>
      <c r="AT36" s="7">
        <v>2</v>
      </c>
      <c r="AU36" s="51">
        <v>-3.8017047987879575E-2</v>
      </c>
      <c r="AV36" s="53">
        <v>0.18298844734559103</v>
      </c>
      <c r="CB36">
        <v>2</v>
      </c>
      <c r="CC36" s="55">
        <f t="shared" ref="CC36:CC40" si="13">CB86*IF(CB86&gt;0,1,0)</f>
        <v>0.26571896627424363</v>
      </c>
      <c r="CK36">
        <v>0</v>
      </c>
      <c r="CL36" s="19">
        <v>-0.84368679885201792</v>
      </c>
      <c r="CM36">
        <v>0</v>
      </c>
    </row>
    <row r="37" spans="2:91" ht="15.75" thickBot="1" x14ac:dyDescent="0.3">
      <c r="B37" s="9">
        <v>2</v>
      </c>
      <c r="C37" s="10">
        <v>0.53400000000000003</v>
      </c>
      <c r="D37" s="24">
        <v>0.78800000000000003</v>
      </c>
      <c r="J37">
        <v>1</v>
      </c>
      <c r="K37">
        <v>2</v>
      </c>
      <c r="M37">
        <v>1</v>
      </c>
      <c r="N37">
        <v>2</v>
      </c>
      <c r="AN37">
        <v>10</v>
      </c>
      <c r="AO37" s="55" cm="1">
        <f t="array" ref="AO37">SUM(MMULT(TRANSPOSE($AG$34:$AG$36),TRANSPOSE(AJ16:AL16)))</f>
        <v>6.3270407173954268E-3</v>
      </c>
      <c r="AT37" s="7">
        <v>3</v>
      </c>
      <c r="AU37" s="51">
        <v>-0.23742826642531092</v>
      </c>
      <c r="AV37" s="53">
        <v>6.1552868997274135E-2</v>
      </c>
      <c r="CB37">
        <v>3</v>
      </c>
      <c r="CC37" s="55">
        <f t="shared" si="13"/>
        <v>5.3769484092061781E-2</v>
      </c>
      <c r="CK37">
        <v>0</v>
      </c>
      <c r="CL37" s="19">
        <v>0.17422066566536737</v>
      </c>
      <c r="CM37">
        <v>0</v>
      </c>
    </row>
    <row r="38" spans="2:91" ht="15.75" thickBot="1" x14ac:dyDescent="0.3">
      <c r="I38">
        <v>1</v>
      </c>
      <c r="J38" cm="1">
        <f t="array" ref="J38:K38">MMULT(M27:N27,$C$42:$D$43)+$F$42:$G$42</f>
        <v>2.2841176560293706</v>
      </c>
      <c r="K38">
        <v>4.0072024653169258</v>
      </c>
      <c r="M38">
        <f>MAX(0,J38)</f>
        <v>2.2841176560293706</v>
      </c>
      <c r="N38">
        <f>MAX(0,K38)</f>
        <v>4.0072024653169258</v>
      </c>
      <c r="AN38">
        <v>11</v>
      </c>
      <c r="AO38" s="55" cm="1">
        <f t="array" ref="AO38">SUM(MMULT(TRANSPOSE($AG$34:$AG$36),TRANSPOSE(AJ17:AL17)))</f>
        <v>5.4965979000494408E-2</v>
      </c>
      <c r="AT38" s="7">
        <v>4</v>
      </c>
      <c r="AU38" s="51">
        <v>3.1635203586977134E-3</v>
      </c>
      <c r="AV38" s="53">
        <v>1.9984345583129899E-2</v>
      </c>
      <c r="CB38">
        <v>4</v>
      </c>
      <c r="CC38" s="55">
        <f t="shared" si="13"/>
        <v>5.2212388813391221E-2</v>
      </c>
      <c r="CK38">
        <v>0</v>
      </c>
      <c r="CL38" s="20">
        <v>0.46054055495736873</v>
      </c>
      <c r="CM38">
        <v>0</v>
      </c>
    </row>
    <row r="39" spans="2:91" ht="15.75" thickBot="1" x14ac:dyDescent="0.3">
      <c r="I39">
        <v>2</v>
      </c>
      <c r="J39" cm="1">
        <f t="array" ref="J39:K39">MMULT(M28:N28,$C$42:$D$43)+$F$42:$G$42</f>
        <v>2.1581132315995823</v>
      </c>
      <c r="K39">
        <v>3.709410709039652</v>
      </c>
      <c r="M39">
        <f t="shared" ref="M39:M43" si="14">MAX(0,J39)</f>
        <v>2.1581132315995823</v>
      </c>
      <c r="N39">
        <f t="shared" ref="N39:N43" si="15">MAX(0,K39)</f>
        <v>3.709410709039652</v>
      </c>
      <c r="AF39" s="13"/>
      <c r="AN39">
        <v>12</v>
      </c>
      <c r="AO39" s="55" cm="1">
        <f t="array" ref="AO39">SUM(MMULT(TRANSPOSE($AG$34:$AG$36),TRANSPOSE(AJ18:AL18)))</f>
        <v>-4.2527179749869339E-2</v>
      </c>
      <c r="AT39" s="7">
        <v>5</v>
      </c>
      <c r="AU39" s="51">
        <v>2.7482989500247204E-2</v>
      </c>
      <c r="AV39" s="53">
        <v>8.4175098038608218E-3</v>
      </c>
      <c r="CB39">
        <v>5</v>
      </c>
      <c r="CC39" s="55">
        <f t="shared" si="13"/>
        <v>7.2850152955208775E-2</v>
      </c>
      <c r="CK39">
        <v>0</v>
      </c>
      <c r="CL39">
        <v>0</v>
      </c>
      <c r="CM39">
        <v>0</v>
      </c>
    </row>
    <row r="40" spans="2:91" ht="15.75" thickBot="1" x14ac:dyDescent="0.3">
      <c r="B40" s="4"/>
      <c r="C40" s="5" t="s">
        <v>157</v>
      </c>
      <c r="D40" s="6"/>
      <c r="F40" s="4" t="s">
        <v>158</v>
      </c>
      <c r="G40" s="6"/>
      <c r="I40">
        <v>3</v>
      </c>
      <c r="J40" cm="1">
        <f t="array" ref="J40:K40">MMULT(M29:N29,$C$42:$D$43)+$F$42:$G$42</f>
        <v>3.4999870445082855</v>
      </c>
      <c r="K40">
        <v>3.8914005426282658</v>
      </c>
      <c r="M40">
        <f t="shared" si="14"/>
        <v>3.4999870445082855</v>
      </c>
      <c r="N40">
        <f t="shared" si="15"/>
        <v>3.8914005426282658</v>
      </c>
      <c r="AT40" s="9">
        <v>6</v>
      </c>
      <c r="AU40" s="52">
        <v>-1.321924516218094E-2</v>
      </c>
      <c r="AV40" s="54">
        <v>0.35898108772145232</v>
      </c>
      <c r="CB40">
        <v>6</v>
      </c>
      <c r="CC40" s="55">
        <f t="shared" si="13"/>
        <v>0.44421983963635014</v>
      </c>
    </row>
    <row r="41" spans="2:91" ht="15.75" thickBot="1" x14ac:dyDescent="0.3">
      <c r="B41" s="7"/>
      <c r="C41">
        <v>1</v>
      </c>
      <c r="D41" s="8">
        <v>2</v>
      </c>
      <c r="F41" s="7">
        <v>1</v>
      </c>
      <c r="G41" s="8">
        <v>2</v>
      </c>
      <c r="I41">
        <v>4</v>
      </c>
      <c r="J41" cm="1">
        <f t="array" ref="J41:K41">MMULT(M30:N30,$C$42:$D$43)+$F$42:$G$42</f>
        <v>3.6787428802725124</v>
      </c>
      <c r="K41">
        <v>2.9982709342803977</v>
      </c>
      <c r="M41">
        <f t="shared" si="14"/>
        <v>3.6787428802725124</v>
      </c>
      <c r="N41">
        <f t="shared" si="15"/>
        <v>2.9982709342803977</v>
      </c>
      <c r="AO41" s="51" t="s">
        <v>54</v>
      </c>
      <c r="AQ41" s="13" t="s">
        <v>51</v>
      </c>
    </row>
    <row r="42" spans="2:91" ht="15.75" thickBot="1" x14ac:dyDescent="0.3">
      <c r="B42" s="7">
        <v>1</v>
      </c>
      <c r="C42" s="2">
        <v>-0.47399999999999998</v>
      </c>
      <c r="D42" s="12">
        <v>0.251</v>
      </c>
      <c r="F42" s="9">
        <v>1</v>
      </c>
      <c r="G42" s="11">
        <v>1</v>
      </c>
      <c r="I42">
        <v>5</v>
      </c>
      <c r="J42" cm="1">
        <f t="array" ref="J42:K42">MMULT(M31:N31,$C$42:$D$43)+$F$42:$G$42</f>
        <v>2.1710172120336382</v>
      </c>
      <c r="K42">
        <v>3.5376515701976086</v>
      </c>
      <c r="M42">
        <f t="shared" si="14"/>
        <v>2.1710172120336382</v>
      </c>
      <c r="N42">
        <f t="shared" si="15"/>
        <v>3.5376515701976086</v>
      </c>
      <c r="AO42">
        <v>1</v>
      </c>
      <c r="AP42" s="13" t="s">
        <v>82</v>
      </c>
      <c r="AQ42">
        <v>1</v>
      </c>
      <c r="AR42">
        <v>2</v>
      </c>
      <c r="CB42" s="4"/>
      <c r="CC42" s="39" t="s">
        <v>50</v>
      </c>
      <c r="CE42" s="4"/>
      <c r="CF42" s="39" t="s">
        <v>52</v>
      </c>
    </row>
    <row r="43" spans="2:91" ht="27" thickBot="1" x14ac:dyDescent="0.45">
      <c r="B43" s="9">
        <v>2</v>
      </c>
      <c r="C43" s="10">
        <v>0.94499999999999995</v>
      </c>
      <c r="D43" s="24">
        <v>0.23799999999999999</v>
      </c>
      <c r="I43">
        <v>6</v>
      </c>
      <c r="J43" cm="1">
        <f t="array" ref="J43:K43">MMULT(M32:N32,$C$42:$D$43)+$F$42:$G$42</f>
        <v>3.3578462277887136</v>
      </c>
      <c r="K43">
        <v>3.6008089233495189</v>
      </c>
      <c r="M43">
        <f t="shared" si="14"/>
        <v>3.3578462277887136</v>
      </c>
      <c r="N43">
        <f t="shared" si="15"/>
        <v>3.6008089233495189</v>
      </c>
      <c r="AN43">
        <v>1</v>
      </c>
      <c r="AO43" s="3">
        <f>AO28</f>
        <v>-0.31633642086974234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-0.31633642086974234</v>
      </c>
      <c r="AU43" s="41" t="s">
        <v>78</v>
      </c>
      <c r="CB43" s="7"/>
      <c r="CC43" s="8">
        <v>1</v>
      </c>
      <c r="CE43" s="7"/>
      <c r="CF43" s="8">
        <v>1</v>
      </c>
    </row>
    <row r="44" spans="2:91" ht="27" thickBot="1" x14ac:dyDescent="0.45">
      <c r="AN44">
        <v>2</v>
      </c>
      <c r="AO44" s="3">
        <f t="shared" ref="AO44:AO48" si="16">AO29</f>
        <v>0.22152796346757411</v>
      </c>
      <c r="AP44">
        <f t="shared" ref="AP44:AP48" si="17">MATCH(MAX(_xlfn.ANCHORARRAY(J48)),_xlfn.ANCHORARRAY(J48),0)</f>
        <v>2</v>
      </c>
      <c r="AQ44">
        <f t="shared" ref="AQ44:AR48" si="18">IF($AP44=AQ$42,$AO44,0)</f>
        <v>0</v>
      </c>
      <c r="AR44">
        <f t="shared" si="18"/>
        <v>0.22152796346757411</v>
      </c>
      <c r="AU44" s="41" t="s">
        <v>136</v>
      </c>
      <c r="CB44" s="7">
        <v>1</v>
      </c>
      <c r="CC44" s="8" cm="1">
        <f t="array" ref="CC44">SUM($CC$35:$CC$40*CL32:CL37)</f>
        <v>0.10449200456475741</v>
      </c>
      <c r="CE44" s="9">
        <v>1</v>
      </c>
      <c r="CF44" s="11">
        <f>SUM(CB85:CB90)</f>
        <v>0.54173300130199498</v>
      </c>
    </row>
    <row r="45" spans="2:91" ht="15.75" thickBot="1" x14ac:dyDescent="0.3">
      <c r="B45" s="4"/>
      <c r="C45" s="5" t="s">
        <v>159</v>
      </c>
      <c r="D45" s="6"/>
      <c r="F45" s="4" t="s">
        <v>160</v>
      </c>
      <c r="G45" s="6"/>
      <c r="J45" t="s">
        <v>162</v>
      </c>
      <c r="M45" s="38" t="s">
        <v>166</v>
      </c>
      <c r="N45" s="6"/>
      <c r="P45" t="s">
        <v>54</v>
      </c>
      <c r="R45" t="s">
        <v>57</v>
      </c>
      <c r="T45" s="4"/>
      <c r="U45" s="39" t="s">
        <v>64</v>
      </c>
      <c r="AN45">
        <v>3</v>
      </c>
      <c r="AO45" s="3">
        <f t="shared" si="16"/>
        <v>-9.2133699320580159E-2</v>
      </c>
      <c r="AP45">
        <f t="shared" si="17"/>
        <v>2</v>
      </c>
      <c r="AQ45">
        <f t="shared" si="18"/>
        <v>0</v>
      </c>
      <c r="AR45">
        <f t="shared" si="18"/>
        <v>-9.2133699320580159E-2</v>
      </c>
      <c r="CB45" s="7">
        <v>2</v>
      </c>
      <c r="CC45" s="8" cm="1">
        <f t="array" ref="CC45">SUM($CC$35:$CC$40*CL33:CL38)</f>
        <v>0.11326058393356191</v>
      </c>
    </row>
    <row r="46" spans="2:91" ht="15.75" thickBot="1" x14ac:dyDescent="0.3">
      <c r="B46" s="7"/>
      <c r="C46">
        <v>1</v>
      </c>
      <c r="D46" s="8">
        <v>2</v>
      </c>
      <c r="F46" s="7">
        <v>1</v>
      </c>
      <c r="G46" s="8">
        <v>2</v>
      </c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6"/>
        <v>1.6820825224432186E-2</v>
      </c>
      <c r="AP46">
        <f t="shared" si="17"/>
        <v>2</v>
      </c>
      <c r="AQ46">
        <f t="shared" si="18"/>
        <v>0</v>
      </c>
      <c r="AR46">
        <f t="shared" si="18"/>
        <v>1.6820825224432186E-2</v>
      </c>
      <c r="AT46" s="4"/>
      <c r="AU46" s="40" t="s">
        <v>145</v>
      </c>
      <c r="AV46" s="6"/>
      <c r="CB46" s="9">
        <v>3</v>
      </c>
      <c r="CC46" s="11" cm="1">
        <f t="array" ref="CC46">SUM($CC$35:$CC$40*CL34:CL39)</f>
        <v>2.030259403762626E-2</v>
      </c>
    </row>
    <row r="47" spans="2:91" ht="15.75" thickBot="1" x14ac:dyDescent="0.3">
      <c r="B47" s="7">
        <v>1</v>
      </c>
      <c r="C47" s="2">
        <v>-0.72799999999999998</v>
      </c>
      <c r="D47" s="12">
        <v>-0.86199999999999999</v>
      </c>
      <c r="F47" s="9">
        <v>1</v>
      </c>
      <c r="G47" s="11">
        <v>1</v>
      </c>
      <c r="I47">
        <v>1</v>
      </c>
      <c r="J47" cm="1">
        <f t="array" ref="J47:K47">MMULT(M38:N38,$C$47:$D$48)+$F$47:$G$47</f>
        <v>-3.25950485111475</v>
      </c>
      <c r="K47">
        <v>-0.76053489130083718</v>
      </c>
      <c r="M47" s="72">
        <f>M27+J47</f>
        <v>3.9865968771064129</v>
      </c>
      <c r="N47" s="53">
        <f>N27+K47</f>
        <v>4.2328723840496405</v>
      </c>
      <c r="P47" s="51">
        <f>MAX(M47:N47)</f>
        <v>4.2328723840496405</v>
      </c>
      <c r="R47" s="55">
        <f>AVERAGE(M47:N47)</f>
        <v>4.1097346305780267</v>
      </c>
      <c r="T47" s="7">
        <v>1</v>
      </c>
      <c r="U47" s="58" cm="1">
        <f t="array" ref="U47:U52">P47:P52</f>
        <v>4.2328723840496405</v>
      </c>
      <c r="AN47">
        <v>5</v>
      </c>
      <c r="AO47" s="3">
        <f t="shared" si="16"/>
        <v>-1.9065479696386382E-2</v>
      </c>
      <c r="AP47">
        <f t="shared" si="17"/>
        <v>2</v>
      </c>
      <c r="AQ47">
        <f t="shared" si="18"/>
        <v>0</v>
      </c>
      <c r="AR47">
        <f t="shared" si="18"/>
        <v>-1.9065479696386382E-2</v>
      </c>
      <c r="AT47" s="7"/>
      <c r="AU47">
        <v>1</v>
      </c>
      <c r="AV47" s="8">
        <v>2</v>
      </c>
    </row>
    <row r="48" spans="2:91" ht="15.75" thickBot="1" x14ac:dyDescent="0.3">
      <c r="B48" s="9">
        <v>2</v>
      </c>
      <c r="C48" s="10">
        <v>-0.64800000000000002</v>
      </c>
      <c r="D48" s="24">
        <v>5.1999999999999998E-2</v>
      </c>
      <c r="I48">
        <v>2</v>
      </c>
      <c r="J48" cm="1">
        <f t="array" ref="J48:K48">MMULT(M39:N39,$C$47:$D$48)+$F$47:$G$47</f>
        <v>-2.9748045720621903</v>
      </c>
      <c r="K48">
        <v>-0.66740424876877813</v>
      </c>
      <c r="M48" s="72">
        <f t="shared" ref="M48:N48" si="19">M28+J48</f>
        <v>3.5529567896299206</v>
      </c>
      <c r="N48" s="53">
        <f t="shared" si="19"/>
        <v>3.832354605243542</v>
      </c>
      <c r="P48" s="51">
        <f t="shared" ref="P48:P52" si="20">MAX(M48:N48)</f>
        <v>3.832354605243542</v>
      </c>
      <c r="R48" s="55">
        <f t="shared" ref="R48:R52" si="21">AVERAGE(M48:N48)</f>
        <v>3.6926556974367313</v>
      </c>
      <c r="T48" s="7">
        <v>2</v>
      </c>
      <c r="U48" s="58">
        <v>3.832354605243542</v>
      </c>
      <c r="AN48">
        <v>6</v>
      </c>
      <c r="AO48" s="3">
        <f t="shared" si="16"/>
        <v>0.37261697225122609</v>
      </c>
      <c r="AP48">
        <f t="shared" si="17"/>
        <v>2</v>
      </c>
      <c r="AQ48">
        <f t="shared" si="18"/>
        <v>0</v>
      </c>
      <c r="AR48">
        <f t="shared" si="18"/>
        <v>0.37261697225122609</v>
      </c>
      <c r="AT48" s="7">
        <v>1</v>
      </c>
      <c r="AU48" cm="1">
        <f t="array" ref="AU48:AV49">MMULT(TRANSPOSE(J27:K32),_xlfn.ANCHORARRAY(AU35))</f>
        <v>0.56856313421762916</v>
      </c>
      <c r="AV48" s="8">
        <v>-0.85556170060909542</v>
      </c>
    </row>
    <row r="49" spans="9:77" ht="15.75" thickBot="1" x14ac:dyDescent="0.3">
      <c r="I49">
        <v>3</v>
      </c>
      <c r="J49" cm="1">
        <f t="array" ref="J49:K49">MMULT(M40:N40,$C$47:$D$48)+$F$47:$G$47</f>
        <v>-4.0696181200251473</v>
      </c>
      <c r="K49">
        <v>-1.8146360041494725</v>
      </c>
      <c r="M49" s="72">
        <f t="shared" ref="M49:N49" si="22">M29+J49</f>
        <v>2.0370500214427061</v>
      </c>
      <c r="N49" s="53">
        <f t="shared" si="22"/>
        <v>3.8938801266061343</v>
      </c>
      <c r="P49" s="51">
        <f t="shared" si="20"/>
        <v>3.8938801266061343</v>
      </c>
      <c r="R49" s="55">
        <f t="shared" si="21"/>
        <v>2.9654650740244204</v>
      </c>
      <c r="T49" s="7">
        <v>3</v>
      </c>
      <c r="U49" s="58">
        <v>3.8938801266061343</v>
      </c>
      <c r="AT49" s="9">
        <v>2</v>
      </c>
      <c r="AU49" s="14">
        <v>-1.2834383181990499</v>
      </c>
      <c r="AV49" s="11">
        <v>2.0283921236423654</v>
      </c>
    </row>
    <row r="50" spans="9:77" x14ac:dyDescent="0.25">
      <c r="I50">
        <v>4</v>
      </c>
      <c r="J50" cm="1">
        <f t="array" ref="J50:K50">MMULT(M41:N41,$C$47:$D$48)+$F$47:$G$47</f>
        <v>-3.621004382252087</v>
      </c>
      <c r="K50">
        <v>-2.0151662742123246</v>
      </c>
      <c r="M50" s="72">
        <f t="shared" ref="M50:N50" si="23">M30+J50</f>
        <v>-4.7289492578114434E-2</v>
      </c>
      <c r="N50" s="53">
        <f t="shared" si="23"/>
        <v>2.6120122844945275</v>
      </c>
      <c r="P50" s="51">
        <f t="shared" si="20"/>
        <v>2.6120122844945275</v>
      </c>
      <c r="R50" s="55">
        <f t="shared" si="21"/>
        <v>1.2823613959582065</v>
      </c>
      <c r="T50" s="7">
        <v>4</v>
      </c>
      <c r="U50" s="58">
        <v>2.6120122844945275</v>
      </c>
      <c r="AO50" s="55" t="s">
        <v>57</v>
      </c>
      <c r="AQ50" s="13" t="s">
        <v>83</v>
      </c>
    </row>
    <row r="51" spans="9:77" x14ac:dyDescent="0.25">
      <c r="I51">
        <v>5</v>
      </c>
      <c r="J51" cm="1">
        <f t="array" ref="J51:K51">MMULT(M42:N42,$C$47:$D$48)+$F$47:$G$47</f>
        <v>-2.8728987478485393</v>
      </c>
      <c r="K51">
        <v>-0.68745895512272037</v>
      </c>
      <c r="M51" s="72">
        <f t="shared" ref="M51:N51" si="24">M31+J51</f>
        <v>3.1823476825735217</v>
      </c>
      <c r="N51" s="53">
        <f t="shared" si="24"/>
        <v>3.5889474153044705</v>
      </c>
      <c r="P51" s="51">
        <f t="shared" si="20"/>
        <v>3.5889474153044705</v>
      </c>
      <c r="R51" s="55">
        <f t="shared" si="21"/>
        <v>3.3856475489389961</v>
      </c>
      <c r="T51" s="7">
        <v>5</v>
      </c>
      <c r="U51" s="58">
        <v>3.5889474153044705</v>
      </c>
      <c r="AO51">
        <v>1</v>
      </c>
      <c r="AP51">
        <v>2</v>
      </c>
      <c r="AQ51" s="13">
        <v>2</v>
      </c>
      <c r="AU51" t="s">
        <v>168</v>
      </c>
    </row>
    <row r="52" spans="9:77" ht="15.75" thickBot="1" x14ac:dyDescent="0.3">
      <c r="I52">
        <v>6</v>
      </c>
      <c r="J52" cm="1">
        <f t="array" ref="J52:K52">MMULT(M43:N43,$C$47:$D$48)+$F$47:$G$47</f>
        <v>-3.7778362361606721</v>
      </c>
      <c r="K52">
        <v>-1.7072213843396957</v>
      </c>
      <c r="M52" s="73">
        <f t="shared" ref="M52:N52" si="25">M32+J52</f>
        <v>1.6409040471810368</v>
      </c>
      <c r="N52" s="54">
        <f t="shared" si="25"/>
        <v>3.5058253057054722</v>
      </c>
      <c r="P52" s="51">
        <f t="shared" si="20"/>
        <v>3.5058253057054722</v>
      </c>
      <c r="R52" s="55">
        <f t="shared" si="21"/>
        <v>2.5733646764432545</v>
      </c>
      <c r="T52" s="7">
        <v>6</v>
      </c>
      <c r="U52" s="58">
        <v>3.5058253057054722</v>
      </c>
      <c r="AN52">
        <v>1</v>
      </c>
      <c r="AO52">
        <f>$AO34*1/$AQ$51</f>
        <v>3.9832761937093758E-3</v>
      </c>
      <c r="AP52">
        <f>$AO34*1/$AQ$51</f>
        <v>3.9832761937093758E-3</v>
      </c>
      <c r="AU52">
        <v>1</v>
      </c>
      <c r="AV52">
        <v>2</v>
      </c>
    </row>
    <row r="53" spans="9:77" x14ac:dyDescent="0.25">
      <c r="M53" t="s">
        <v>167</v>
      </c>
      <c r="T53" s="7">
        <v>7</v>
      </c>
      <c r="U53" s="53" cm="1">
        <f t="array" ref="U53:U58">R47:R52</f>
        <v>4.1097346305780267</v>
      </c>
      <c r="AN53">
        <v>2</v>
      </c>
      <c r="AO53">
        <f t="shared" ref="AO53:AP53" si="26">$AO35*1/$AQ$51</f>
        <v>-4.8104701961724491E-2</v>
      </c>
      <c r="AP53">
        <f t="shared" si="26"/>
        <v>-4.8104701961724491E-2</v>
      </c>
      <c r="AT53">
        <v>1</v>
      </c>
      <c r="AU53" s="51" cm="1">
        <f t="array" ref="AU53:AV58">MMULT(_xlfn.ANCHORARRAY(AU35),TRANSPOSE(C36:D37))</f>
        <v>6.207851563645414E-2</v>
      </c>
      <c r="AV53" s="55">
        <v>-0.11308515933659957</v>
      </c>
    </row>
    <row r="54" spans="9:77" x14ac:dyDescent="0.25">
      <c r="T54" s="7">
        <v>8</v>
      </c>
      <c r="U54" s="53">
        <v>3.6926556974367313</v>
      </c>
      <c r="AN54">
        <v>3</v>
      </c>
      <c r="AO54">
        <f t="shared" ref="AO54:AP54" si="27">$AO36*1/$AQ$51</f>
        <v>-0.12379868474311594</v>
      </c>
      <c r="AP54">
        <f t="shared" si="27"/>
        <v>-0.12379868474311594</v>
      </c>
      <c r="AT54">
        <v>2</v>
      </c>
      <c r="AU54" s="51">
        <v>5.5768663267547255E-3</v>
      </c>
      <c r="AV54" s="55">
        <v>0.12389379288279803</v>
      </c>
    </row>
    <row r="55" spans="9:77" x14ac:dyDescent="0.25">
      <c r="T55" s="7">
        <v>9</v>
      </c>
      <c r="U55" s="53">
        <v>2.9654650740244204</v>
      </c>
      <c r="AN55">
        <v>4</v>
      </c>
      <c r="AO55">
        <f t="shared" ref="AO55:AP55" si="28">$AO37*1/$AQ$51</f>
        <v>3.1635203586977134E-3</v>
      </c>
      <c r="AP55">
        <f t="shared" si="28"/>
        <v>3.1635203586977134E-3</v>
      </c>
      <c r="AT55">
        <v>3</v>
      </c>
      <c r="AU55" s="51">
        <v>0.10835540319378273</v>
      </c>
      <c r="AV55" s="55">
        <v>-7.8283033501264032E-2</v>
      </c>
      <c r="BT55" t="s">
        <v>177</v>
      </c>
    </row>
    <row r="56" spans="9:77" x14ac:dyDescent="0.25">
      <c r="T56" s="7">
        <v>10</v>
      </c>
      <c r="U56" s="53">
        <v>1.2823613959582065</v>
      </c>
      <c r="AN56">
        <v>5</v>
      </c>
      <c r="AO56">
        <f t="shared" ref="AO56:AP56" si="29">$AO38*1/$AQ$51</f>
        <v>2.7482989500247204E-2</v>
      </c>
      <c r="AP56">
        <f t="shared" si="29"/>
        <v>2.7482989500247204E-2</v>
      </c>
      <c r="AT56">
        <v>4</v>
      </c>
      <c r="AU56" s="51">
        <v>-2.8584441496755492E-3</v>
      </c>
      <c r="AV56" s="55">
        <v>1.7436984191050938E-2</v>
      </c>
    </row>
    <row r="57" spans="9:77" x14ac:dyDescent="0.25">
      <c r="T57" s="7">
        <v>11</v>
      </c>
      <c r="U57" s="53">
        <v>3.3856475489389961</v>
      </c>
      <c r="AN57">
        <v>6</v>
      </c>
      <c r="AO57">
        <f t="shared" ref="AO57:AP57" si="30">$AO39*1/$AQ$51</f>
        <v>-2.1263589874934669E-2</v>
      </c>
      <c r="AP57">
        <f t="shared" si="30"/>
        <v>-2.1263589874934669E-2</v>
      </c>
      <c r="AT57">
        <v>5</v>
      </c>
      <c r="AU57" s="51">
        <v>-1.359932768977971E-2</v>
      </c>
      <c r="AV57" s="55">
        <v>2.1308914118574336E-2</v>
      </c>
    </row>
    <row r="58" spans="9:77" ht="15.75" thickBot="1" x14ac:dyDescent="0.3">
      <c r="T58" s="9">
        <v>12</v>
      </c>
      <c r="U58" s="54">
        <v>2.5733646764432545</v>
      </c>
      <c r="AT58">
        <v>6</v>
      </c>
      <c r="AU58" s="51">
        <v>-1.8144791758184994E-2</v>
      </c>
      <c r="AV58" s="55">
        <v>0.27581802020789981</v>
      </c>
    </row>
    <row r="59" spans="9:77" x14ac:dyDescent="0.25">
      <c r="AN59" s="4"/>
      <c r="AO59" s="40" t="s">
        <v>79</v>
      </c>
      <c r="AP59" s="6"/>
      <c r="BK59" s="3"/>
    </row>
    <row r="60" spans="9:77" x14ac:dyDescent="0.25">
      <c r="AN60" s="7"/>
      <c r="AO60">
        <v>1</v>
      </c>
      <c r="AP60" s="8">
        <v>2</v>
      </c>
    </row>
    <row r="61" spans="9:77" x14ac:dyDescent="0.25">
      <c r="AN61" s="22" t="s">
        <v>105</v>
      </c>
      <c r="AO61" s="51">
        <f>AQ43+AO52</f>
        <v>3.9832761937093758E-3</v>
      </c>
      <c r="AP61" s="53">
        <f>AR43+AP52</f>
        <v>-0.31235314467603298</v>
      </c>
      <c r="AU61" s="51" t="s">
        <v>137</v>
      </c>
      <c r="BK61" t="s">
        <v>137</v>
      </c>
      <c r="BL61" s="83"/>
      <c r="BM61" s="89"/>
      <c r="BN61" s="88"/>
      <c r="BS61" s="84"/>
      <c r="BU61" s="84"/>
      <c r="BX61" s="32" t="s">
        <v>137</v>
      </c>
    </row>
    <row r="62" spans="9:77" x14ac:dyDescent="0.25">
      <c r="AN62" s="7">
        <v>2</v>
      </c>
      <c r="AO62" s="51">
        <f t="shared" ref="AO62:AP66" si="31">AQ44+AO53</f>
        <v>-4.8104701961724491E-2</v>
      </c>
      <c r="AP62" s="53">
        <f t="shared" si="31"/>
        <v>0.17342326150584964</v>
      </c>
      <c r="AU62" t="s">
        <v>169</v>
      </c>
      <c r="AW62" t="s">
        <v>170</v>
      </c>
      <c r="BD62" t="s">
        <v>171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172</v>
      </c>
      <c r="BL62" s="83" t="s">
        <v>173</v>
      </c>
      <c r="BM62" s="89" t="s">
        <v>174</v>
      </c>
      <c r="BN62" s="88" t="s">
        <v>175</v>
      </c>
      <c r="BO62" t="s">
        <v>176</v>
      </c>
      <c r="BQ62" t="s">
        <v>178</v>
      </c>
      <c r="BS62" s="84" t="s">
        <v>179</v>
      </c>
      <c r="BU62" s="84" t="s">
        <v>180</v>
      </c>
      <c r="BX62" t="s">
        <v>18</v>
      </c>
    </row>
    <row r="63" spans="9:77" x14ac:dyDescent="0.25">
      <c r="AN63" s="7">
        <v>3</v>
      </c>
      <c r="AO63" s="51">
        <f t="shared" si="31"/>
        <v>-0.12379868474311594</v>
      </c>
      <c r="AP63" s="53">
        <f t="shared" si="31"/>
        <v>-0.21593238406369608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83">
        <v>1</v>
      </c>
      <c r="BM63" s="89">
        <v>1</v>
      </c>
      <c r="BN63" s="88">
        <v>1</v>
      </c>
      <c r="BO63">
        <v>1</v>
      </c>
      <c r="BQ63">
        <v>1</v>
      </c>
      <c r="BR63">
        <v>2</v>
      </c>
      <c r="BS63" s="84">
        <v>1</v>
      </c>
      <c r="BT63">
        <v>2</v>
      </c>
      <c r="BU63" s="84">
        <v>1</v>
      </c>
      <c r="BV63">
        <v>2</v>
      </c>
      <c r="BX63">
        <v>1</v>
      </c>
      <c r="BY63">
        <v>2</v>
      </c>
    </row>
    <row r="64" spans="9:77" x14ac:dyDescent="0.25">
      <c r="AN64" s="7">
        <v>4</v>
      </c>
      <c r="AO64" s="51">
        <f t="shared" si="31"/>
        <v>3.1635203586977134E-3</v>
      </c>
      <c r="AP64" s="53">
        <f t="shared" si="31"/>
        <v>1.9984345583129899E-2</v>
      </c>
      <c r="AT64">
        <v>1</v>
      </c>
      <c r="AU64" cm="1">
        <f t="array" ref="AU64:AU69">MMULT(TRANSPOSE(W7:AB12),AU53:AU58)</f>
        <v>1.3681884560163159E-2</v>
      </c>
      <c r="AW64" cm="1">
        <f t="array" ref="AW64:BB69">MMULT(AU53:AU58,TRANSPOSE(_xlfn.ANCHORARRAY(N7)))</f>
        <v>-0.11332225602641918</v>
      </c>
      <c r="AX64">
        <v>-8.6981617401811082E-2</v>
      </c>
      <c r="AY64">
        <v>-0.12557982192324454</v>
      </c>
      <c r="AZ64">
        <v>-5.8948787532954496E-2</v>
      </c>
      <c r="BA64">
        <v>-7.3324523011079515E-2</v>
      </c>
      <c r="BB64">
        <v>-9.9825057125445274E-2</v>
      </c>
      <c r="BD64" s="3" cm="1">
        <f t="array" ref="BD64">SUM($AW64:$BB64*$W7:$AB7*(IF((ROW(AW64)-$BH$62)=(COLUMN(AW64)-$BI$62),1,0)-W7))</f>
        <v>-8.7536583821055086E-2</v>
      </c>
      <c r="BE64" s="3" cm="1">
        <f t="array" ref="BE64">SUM($AW64:$BB64*$W7:$AB7*(IF((ROW(AX64)-$BH$62)=(COLUMN(AX64)-$BI$62),1,0)-X7))</f>
        <v>3.6864400232358252E-3</v>
      </c>
      <c r="BF64" s="3" cm="1">
        <f t="array" ref="BF64">SUM($AW64:$BB64*$W7:$AB7*(IF((ROW(AY64)-$BH$62)=(COLUMN(AY64)-$BI$62),1,0)-Y7))</f>
        <v>2.6880786593590035E-2</v>
      </c>
      <c r="BG64" s="3" cm="1">
        <f t="array" ref="BG64">SUM($AW64:$BB64*$W7:$AB7*(IF((ROW(AZ64)-$BH$62)=(COLUMN(AZ64)-$BI$62),1,0)-Z7))</f>
        <v>3.221503708508365E-2</v>
      </c>
      <c r="BH64" s="3" cm="1">
        <f t="array" ref="BH64">SUM($AW64:$BB64*$W7:$AB7*(IF((ROW(BA64)-$BH$62)=(COLUMN(BA64)-$BI$62),1,0)-AA7))</f>
        <v>3.6699823417555609E-3</v>
      </c>
      <c r="BI64" s="3" cm="1">
        <f t="array" ref="BI64">SUM($AW64:$BB64*$W7:$AB7*(IF((ROW(BB64)-$BH$62)=(COLUMN(BB64)-$BI$62),1,0)-AB7))</f>
        <v>2.1084337777389987E-2</v>
      </c>
      <c r="BK64" cm="1">
        <f t="array" ref="BK64:BK69">(1/SQRT($G$2))*MMULT(TRANSPOSE($BD$64:$BI$69),_xlfn.ANCHORARRAY($J$7))</f>
        <v>0.17159399970181854</v>
      </c>
      <c r="BL64" s="83" cm="1">
        <f t="array" ref="BL64:BL69">(1/SQRT($G$2))*MMULT($BD$64:$BI$69,_xlfn.ANCHORARRAY(L7))</f>
        <v>-6.7954731938485544E-2</v>
      </c>
      <c r="BM64" s="89" cm="1">
        <f t="array" ref="BM64:BM65">MMULT(TRANSPOSE(_xlfn.ANCHORARRAY($C$4)),_xlfn.ANCHORARRAY($BL$64))</f>
        <v>-5.2833171166982662E-2</v>
      </c>
      <c r="BN64" s="88" cm="1">
        <f t="array" ref="BN64:BN65">MMULT(TRANSPOSE(_xlfn.ANCHORARRAY($C$4)),_xlfn.ANCHORARRAY($BK$64))</f>
        <v>0.21507490122091952</v>
      </c>
      <c r="BO64" cm="1">
        <f t="array" ref="BO64:BO65">MMULT(TRANSPOSE(_xlfn.ANCHORARRAY($C$4)),_xlfn.ANCHORARRAY($AU$64))</f>
        <v>0.41626035881524404</v>
      </c>
      <c r="BQ64" cm="1">
        <f t="array" ref="BQ64:BR69">MMULT(_xlfn.ANCHORARRAY(BL64),TRANSPOSE(C25:C26))</f>
        <v>5.8576978930974535E-2</v>
      </c>
      <c r="BR64">
        <v>-5.9800164105867276E-2</v>
      </c>
      <c r="BS64" s="84" cm="1">
        <f t="array" ref="BS64:BT69">MMULT(_xlfn.ANCHORARRAY(BK64),TRANSPOSE(E25:E26))</f>
        <v>7.0181945878043786E-2</v>
      </c>
      <c r="BT64">
        <v>-0.12492043178292389</v>
      </c>
      <c r="BU64" s="84" cm="1">
        <f t="array" ref="BU64:BV69">MMULT(_xlfn.ANCHORARRAY(AU64),TRANSPOSE(G25:G26))</f>
        <v>-7.1145799712848425E-4</v>
      </c>
      <c r="BV64">
        <v>-8.8658611949857281E-3</v>
      </c>
      <c r="BX64" cm="1">
        <f t="array" ref="BX64:BY69">_xlfn.ANCHORARRAY(BQ64)+_xlfn.ANCHORARRAY(BS64)+_xlfn.ANCHORARRAY(BU64)</f>
        <v>0.12804746681188983</v>
      </c>
      <c r="BY64">
        <v>-0.19358645708377689</v>
      </c>
    </row>
    <row r="65" spans="40:77" x14ac:dyDescent="0.25">
      <c r="AN65" s="7">
        <v>5</v>
      </c>
      <c r="AO65" s="51">
        <f t="shared" si="31"/>
        <v>2.7482989500247204E-2</v>
      </c>
      <c r="AP65" s="53">
        <f t="shared" si="31"/>
        <v>8.4175098038608218E-3</v>
      </c>
      <c r="AT65">
        <v>2</v>
      </c>
      <c r="AU65">
        <v>1.2405694010545542E-2</v>
      </c>
      <c r="AW65">
        <v>-1.0180383136198859E-2</v>
      </c>
      <c r="AX65">
        <v>-7.8140536731836491E-3</v>
      </c>
      <c r="AY65">
        <v>-1.1281550034233392E-2</v>
      </c>
      <c r="AZ65">
        <v>-5.2957050410287572E-3</v>
      </c>
      <c r="BA65">
        <v>-6.5871591663140888E-3</v>
      </c>
      <c r="BB65">
        <v>-8.9678529510835662E-3</v>
      </c>
      <c r="BD65" s="3" cm="1">
        <f t="array" ref="BD65">SUM($AW65:$BB65*$W8:$AB8*(IF((ROW(AW65)-$BH$62)=(COLUMN(AW65)-$BI$62),1,0)-W8))</f>
        <v>4.6615781852330483E-4</v>
      </c>
      <c r="BE65" s="3" cm="1">
        <f t="array" ref="BE65">SUM($AW65:$BB65*$W8:$AB8*(IF((ROW(AX65)-$BH$62)=(COLUMN(AX65)-$BI$62),1,0)-X8))</f>
        <v>-7.9168689381811791E-3</v>
      </c>
      <c r="BF65" s="3" cm="1">
        <f t="array" ref="BF65">SUM($AW65:$BB65*$W8:$AB8*(IF((ROW(AY65)-$BH$62)=(COLUMN(AY65)-$BI$62),1,0)-Y8))</f>
        <v>2.3729278315716171E-3</v>
      </c>
      <c r="BG65" s="3" cm="1">
        <f t="array" ref="BG65">SUM($AW65:$BB65*$W8:$AB8*(IF((ROW(AZ65)-$BH$62)=(COLUMN(AZ65)-$BI$62),1,0)-Z8))</f>
        <v>2.8049532951868617E-3</v>
      </c>
      <c r="BH65" s="3" cm="1">
        <f t="array" ref="BH65">SUM($AW65:$BB65*$W8:$AB8*(IF((ROW(BA65)-$BH$62)=(COLUMN(BA65)-$BI$62),1,0)-AA8))</f>
        <v>3.7690966354504549E-4</v>
      </c>
      <c r="BI65" s="3" cm="1">
        <f t="array" ref="BI65">SUM($AW65:$BB65*$W8:$AB8*(IF((ROW(BB65)-$BH$62)=(COLUMN(BB65)-$BI$62),1,0)-AB8))</f>
        <v>1.8959203293543512E-3</v>
      </c>
      <c r="BK65">
        <v>-5.2429971972223818E-4</v>
      </c>
      <c r="BL65" s="83">
        <v>-6.8824741998961079E-3</v>
      </c>
      <c r="BM65" s="89">
        <v>2.1091226610279214E-3</v>
      </c>
      <c r="BN65" s="88">
        <v>0.14187246761890959</v>
      </c>
      <c r="BO65">
        <v>0.15305199012156182</v>
      </c>
      <c r="BQ65">
        <v>5.9326927603104446E-3</v>
      </c>
      <c r="BR65">
        <v>-6.056577295908575E-3</v>
      </c>
      <c r="BS65" s="84">
        <v>-2.1443858536639539E-4</v>
      </c>
      <c r="BT65">
        <v>3.816901959577894E-4</v>
      </c>
      <c r="BU65" s="84">
        <v>-6.4509608854836813E-4</v>
      </c>
      <c r="BV65">
        <v>-8.0388897188335123E-3</v>
      </c>
      <c r="BX65">
        <v>5.0731580863956818E-3</v>
      </c>
      <c r="BY65">
        <v>-1.3713776818784298E-2</v>
      </c>
    </row>
    <row r="66" spans="40:77" ht="15.75" thickBot="1" x14ac:dyDescent="0.3">
      <c r="AN66" s="9">
        <v>6</v>
      </c>
      <c r="AO66" s="52">
        <f t="shared" si="31"/>
        <v>-2.1263589874934669E-2</v>
      </c>
      <c r="AP66" s="54">
        <f t="shared" si="31"/>
        <v>0.35135338237629143</v>
      </c>
      <c r="AT66">
        <v>3</v>
      </c>
      <c r="AU66">
        <v>3.4488516443572877E-2</v>
      </c>
      <c r="AW66">
        <v>-0.19779916798398972</v>
      </c>
      <c r="AX66">
        <v>-0.1518227059296183</v>
      </c>
      <c r="AY66">
        <v>-0.21919422682693884</v>
      </c>
      <c r="AZ66">
        <v>-0.10289259618132776</v>
      </c>
      <c r="BA66">
        <v>-0.12798482974988765</v>
      </c>
      <c r="BB66">
        <v>-0.1742403825667222</v>
      </c>
      <c r="BD66" s="3" cm="1">
        <f t="array" ref="BD66">SUM($AW66:$BB66*$W9:$AB9*(IF((ROW(AW66)-$BH$62)=(COLUMN(AW66)-$BI$62),1,0)-W9))</f>
        <v>2.1389577727150409E-2</v>
      </c>
      <c r="BE66" s="3" cm="1">
        <f t="array" ref="BE66">SUM($AW66:$BB66*$W9:$AB9*(IF((ROW(AX66)-$BH$62)=(COLUMN(AX66)-$BI$62),1,0)-X9))</f>
        <v>2.017346364326876E-2</v>
      </c>
      <c r="BF66" s="3" cm="1">
        <f t="array" ref="BF66">SUM($AW66:$BB66*$W9:$AB9*(IF((ROW(AY66)-$BH$62)=(COLUMN(AY66)-$BI$62),1,0)-Y9))</f>
        <v>-0.1288452950348481</v>
      </c>
      <c r="BG66" s="3" cm="1">
        <f t="array" ref="BG66">SUM($AW66:$BB66*$W9:$AB9*(IF((ROW(AZ66)-$BH$62)=(COLUMN(AZ66)-$BI$62),1,0)-Z9))</f>
        <v>3.54107906986817E-2</v>
      </c>
      <c r="BH66" s="3" cm="1">
        <f t="array" ref="BH66">SUM($AW66:$BB66*$W9:$AB9*(IF((ROW(BA66)-$BH$62)=(COLUMN(BA66)-$BI$62),1,0)-AA9))</f>
        <v>2.0150049158748448E-2</v>
      </c>
      <c r="BI66" s="3" cm="1">
        <f t="array" ref="BI66">SUM($AW66:$BB66*$W9:$AB9*(IF((ROW(BB66)-$BH$62)=(COLUMN(BB66)-$BI$62),1,0)-AB9))</f>
        <v>3.1721413806998763E-2</v>
      </c>
      <c r="BK66">
        <v>2.057549066409408E-2</v>
      </c>
      <c r="BL66" s="83">
        <v>5.7740380493337129E-2</v>
      </c>
      <c r="BM66" s="89"/>
      <c r="BN66" s="88"/>
      <c r="BQ66">
        <v>-4.9772207985256604E-2</v>
      </c>
      <c r="BR66">
        <v>5.0811534834136675E-2</v>
      </c>
      <c r="BS66" s="84">
        <v>8.4153756816144776E-3</v>
      </c>
      <c r="BT66">
        <v>-1.4978957203460489E-2</v>
      </c>
      <c r="BU66" s="84">
        <v>-1.7934028550657896E-3</v>
      </c>
      <c r="BV66">
        <v>-2.2348558655435224E-2</v>
      </c>
      <c r="BX66">
        <v>-4.3150235158707917E-2</v>
      </c>
      <c r="BY66">
        <v>1.3484018975240958E-2</v>
      </c>
    </row>
    <row r="67" spans="40:77" x14ac:dyDescent="0.25">
      <c r="AT67">
        <v>4</v>
      </c>
      <c r="AU67">
        <v>3.8727994494660439E-2</v>
      </c>
      <c r="AW67">
        <v>5.2179942842662808E-3</v>
      </c>
      <c r="AX67">
        <v>4.0051230742624349E-3</v>
      </c>
      <c r="AY67">
        <v>5.7824015863388841E-3</v>
      </c>
      <c r="AZ67">
        <v>2.7143338581229223E-3</v>
      </c>
      <c r="BA67">
        <v>3.3762736057704845E-3</v>
      </c>
      <c r="BB67">
        <v>4.596507303787638E-3</v>
      </c>
      <c r="BD67" s="3" cm="1">
        <f t="array" ref="BD67">SUM($AW67:$BB67*$W10:$AB10*(IF((ROW(AW67)-$BH$62)=(COLUMN(AW67)-$BI$62),1,0)-W10))</f>
        <v>-8.5796369270381932E-4</v>
      </c>
      <c r="BE67" s="3" cm="1">
        <f t="array" ref="BE67">SUM($AW67:$BB67*$W10:$AB10*(IF((ROW(AX67)-$BH$62)=(COLUMN(AX67)-$BI$62),1,0)-X10))</f>
        <v>-9.148657421904063E-4</v>
      </c>
      <c r="BF67" s="3" cm="1">
        <f t="array" ref="BF67">SUM($AW67:$BB67*$W10:$AB10*(IF((ROW(AY67)-$BH$62)=(COLUMN(AY67)-$BI$62),1,0)-Y10))</f>
        <v>-5.1960943389768902E-4</v>
      </c>
      <c r="BG67" s="3" cm="1">
        <f t="array" ref="BG67">SUM($AW67:$BB67*$W10:$AB10*(IF((ROW(AZ67)-$BH$62)=(COLUMN(AZ67)-$BI$62),1,0)-Z10))</f>
        <v>3.7652867444587044E-3</v>
      </c>
      <c r="BH67" s="3" cm="1">
        <f t="array" ref="BH67">SUM($AW67:$BB67*$W10:$AB10*(IF((ROW(BA67)-$BH$62)=(COLUMN(BA67)-$BI$62),1,0)-AA10))</f>
        <v>-9.1603204013175534E-4</v>
      </c>
      <c r="BI67" s="3" cm="1">
        <f t="array" ref="BI67">SUM($AW67:$BB67*$W10:$AB10*(IF((ROW(BB67)-$BH$62)=(COLUMN(BB67)-$BI$62),1,0)-AB10))</f>
        <v>-5.5681583553503385E-4</v>
      </c>
      <c r="BK67">
        <v>-7.5075754733779684E-2</v>
      </c>
      <c r="BL67" s="83">
        <v>-2.8923881868992878E-3</v>
      </c>
      <c r="BM67" s="89"/>
      <c r="BN67" s="88"/>
      <c r="BQ67">
        <v>2.4932386171071861E-3</v>
      </c>
      <c r="BR67">
        <v>-2.5453016044713734E-3</v>
      </c>
      <c r="BS67" s="84">
        <v>-3.0705983686115889E-2</v>
      </c>
      <c r="BT67">
        <v>5.4655149446191612E-2</v>
      </c>
      <c r="BU67" s="84">
        <v>-2.0138557137223427E-3</v>
      </c>
      <c r="BV67">
        <v>-2.5095740432539964E-2</v>
      </c>
      <c r="BX67">
        <v>-3.0226600782731046E-2</v>
      </c>
      <c r="BY67">
        <v>2.7014107409180272E-2</v>
      </c>
    </row>
    <row r="68" spans="40:77" x14ac:dyDescent="0.25">
      <c r="AT68">
        <v>5</v>
      </c>
      <c r="AU68">
        <v>1.2381998529060015E-2</v>
      </c>
      <c r="AW68">
        <v>2.4825118294926007E-2</v>
      </c>
      <c r="AX68">
        <v>1.9054764855550913E-2</v>
      </c>
      <c r="AY68">
        <v>2.7510341251708648E-2</v>
      </c>
      <c r="AZ68">
        <v>1.2913708879100372E-2</v>
      </c>
      <c r="BA68">
        <v>1.6062951987513407E-2</v>
      </c>
      <c r="BB68">
        <v>2.1868333183899743E-2</v>
      </c>
      <c r="BD68" s="3" cm="1">
        <f t="array" ref="BD68">SUM($AW68:$BB68*$W11:$AB11*(IF((ROW(AW68)-$BH$62)=(COLUMN(AW68)-$BI$62),1,0)-W11))</f>
        <v>-1.303635069450064E-3</v>
      </c>
      <c r="BE68" s="3" cm="1">
        <f t="array" ref="BE68">SUM($AW68:$BB68*$W11:$AB11*(IF((ROW(AX68)-$BH$62)=(COLUMN(AX68)-$BI$62),1,0)-X11))</f>
        <v>-1.0806251917024078E-3</v>
      </c>
      <c r="BF68" s="3" cm="1">
        <f t="array" ref="BF68">SUM($AW68:$BB68*$W11:$AB11*(IF((ROW(AY68)-$BH$62)=(COLUMN(AY68)-$BI$62),1,0)-Y11))</f>
        <v>-5.6425146206001506E-3</v>
      </c>
      <c r="BG68" s="3" cm="1">
        <f t="array" ref="BG68">SUM($AW68:$BB68*$W11:$AB11*(IF((ROW(AZ68)-$BH$62)=(COLUMN(AZ68)-$BI$62),1,0)-Z11))</f>
        <v>-6.5595550442447631E-3</v>
      </c>
      <c r="BH68" s="3" cm="1">
        <f t="array" ref="BH68">SUM($AW68:$BB68*$W11:$AB11*(IF((ROW(BA68)-$BH$62)=(COLUMN(BA68)-$BI$62),1,0)-AA11))</f>
        <v>1.9196548950104714E-2</v>
      </c>
      <c r="BI68" s="3" cm="1">
        <f t="array" ref="BI68">SUM($AW68:$BB68*$W11:$AB11*(IF((ROW(BB68)-$BH$62)=(COLUMN(BB68)-$BI$62),1,0)-AB11))</f>
        <v>-4.6102190241073294E-3</v>
      </c>
      <c r="BK68">
        <v>-5.1111032192391145E-2</v>
      </c>
      <c r="BL68" s="83">
        <v>1.6400863935678384E-2</v>
      </c>
      <c r="BM68" s="89"/>
      <c r="BN68" s="88"/>
      <c r="BQ68">
        <v>-1.4137544712554767E-2</v>
      </c>
      <c r="BR68">
        <v>1.4432760263396977E-2</v>
      </c>
      <c r="BS68" s="84">
        <v>-2.0904412166687977E-2</v>
      </c>
      <c r="BT68">
        <v>3.7208831436060755E-2</v>
      </c>
      <c r="BU68" s="84">
        <v>-6.4386392351112071E-4</v>
      </c>
      <c r="BV68">
        <v>-8.0235350468308899E-3</v>
      </c>
      <c r="BX68">
        <v>-3.568582080275387E-2</v>
      </c>
      <c r="BY68">
        <v>4.3618056652626837E-2</v>
      </c>
    </row>
    <row r="69" spans="40:77" x14ac:dyDescent="0.25">
      <c r="AT69">
        <v>6</v>
      </c>
      <c r="AU69">
        <v>2.9722133521349305E-2</v>
      </c>
      <c r="AW69">
        <v>3.3122711071391024E-2</v>
      </c>
      <c r="AX69">
        <v>2.5423664183413311E-2</v>
      </c>
      <c r="AY69">
        <v>3.6705447842395919E-2</v>
      </c>
      <c r="AZ69">
        <v>1.7230010466855395E-2</v>
      </c>
      <c r="BA69">
        <v>2.1431862330532295E-2</v>
      </c>
      <c r="BB69">
        <v>2.9177644716854016E-2</v>
      </c>
      <c r="BD69" s="3" cm="1">
        <f t="array" ref="BD69">SUM($AW69:$BB69*$W12:$AB12*(IF((ROW(AW69)-$BH$62)=(COLUMN(AW69)-$BI$62),1,0)-W12))</f>
        <v>-3.8174204284207288E-3</v>
      </c>
      <c r="BE69" s="3" cm="1">
        <f t="array" ref="BE69">SUM($AW69:$BB69*$W12:$AB12*(IF((ROW(AX69)-$BH$62)=(COLUMN(AX69)-$BI$62),1,0)-X12))</f>
        <v>-3.652590509665655E-3</v>
      </c>
      <c r="BF69" s="3" cm="1">
        <f t="array" ref="BF69">SUM($AW69:$BB69*$W12:$AB12*(IF((ROW(AY69)-$BH$62)=(COLUMN(AY69)-$BI$62),1,0)-Y12))</f>
        <v>-5.3885048988922468E-3</v>
      </c>
      <c r="BG69" s="3" cm="1">
        <f t="array" ref="BG69">SUM($AW69:$BB69*$W12:$AB12*(IF((ROW(AZ69)-$BH$62)=(COLUMN(AZ69)-$BI$62),1,0)-Z12))</f>
        <v>-5.5828315211345694E-3</v>
      </c>
      <c r="BH69" s="3" cm="1">
        <f t="array" ref="BH69">SUM($AW69:$BB69*$W12:$AB12*(IF((ROW(BA69)-$BH$62)=(COLUMN(BA69)-$BI$62),1,0)-AA12))</f>
        <v>-3.6493933711037579E-3</v>
      </c>
      <c r="BI69" s="3" cm="1">
        <f t="array" ref="BI69">SUM($AW69:$BB69*$W12:$AB12*(IF((ROW(BB69)-$BH$62)=(COLUMN(BB69)-$BI$62),1,0)-AB12))</f>
        <v>2.2090740729216955E-2</v>
      </c>
      <c r="BK69">
        <v>-6.5458403720019501E-2</v>
      </c>
      <c r="BL69" s="83">
        <v>-7.2052860863325886E-3</v>
      </c>
      <c r="BM69" s="89"/>
      <c r="BN69" s="88"/>
      <c r="BQ69">
        <v>6.2109566064186914E-3</v>
      </c>
      <c r="BR69">
        <v>-6.3406517559726778E-3</v>
      </c>
      <c r="BS69" s="84">
        <v>-2.6772487121487974E-2</v>
      </c>
      <c r="BT69">
        <v>4.7653717908174194E-2</v>
      </c>
      <c r="BU69" s="84">
        <v>-1.5455509431101639E-3</v>
      </c>
      <c r="BV69">
        <v>-1.9259942521834352E-2</v>
      </c>
      <c r="BX69">
        <v>-2.2107081458179443E-2</v>
      </c>
      <c r="BY69">
        <v>2.2053123630367166E-2</v>
      </c>
    </row>
    <row r="70" spans="40:77" x14ac:dyDescent="0.25">
      <c r="BL70" s="83"/>
      <c r="BM70" s="89"/>
      <c r="BN70" s="88"/>
      <c r="BS70" s="84"/>
      <c r="BU70" s="84"/>
    </row>
    <row r="71" spans="40:77" x14ac:dyDescent="0.25">
      <c r="BL71" s="83"/>
      <c r="BM71" s="89"/>
      <c r="BN71" s="88"/>
      <c r="BS71" s="84"/>
      <c r="BU71" s="84"/>
    </row>
    <row r="72" spans="40:77" x14ac:dyDescent="0.25">
      <c r="AU72" s="55" t="s">
        <v>138</v>
      </c>
      <c r="BK72" t="s">
        <v>138</v>
      </c>
      <c r="BL72" s="83"/>
      <c r="BM72" s="89"/>
      <c r="BN72" s="88"/>
      <c r="BS72" s="84"/>
      <c r="BU72" s="84"/>
      <c r="BX72" s="32" t="s">
        <v>138</v>
      </c>
    </row>
    <row r="73" spans="40:77" x14ac:dyDescent="0.25">
      <c r="AU73" t="s">
        <v>169</v>
      </c>
      <c r="AW73" t="s">
        <v>170</v>
      </c>
      <c r="BD73" t="s">
        <v>171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172</v>
      </c>
      <c r="BL73" s="83" t="s">
        <v>173</v>
      </c>
      <c r="BM73" s="89" t="s">
        <v>174</v>
      </c>
      <c r="BN73" s="88" t="s">
        <v>175</v>
      </c>
      <c r="BO73" t="s">
        <v>176</v>
      </c>
      <c r="BQ73" t="s">
        <v>178</v>
      </c>
      <c r="BS73" s="84" t="s">
        <v>179</v>
      </c>
      <c r="BU73" s="84" t="s">
        <v>180</v>
      </c>
      <c r="BX73" t="s">
        <v>18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83">
        <v>1</v>
      </c>
      <c r="BM74" s="89">
        <v>1</v>
      </c>
      <c r="BN74" s="88">
        <v>1</v>
      </c>
      <c r="BO74">
        <v>1</v>
      </c>
      <c r="BQ74">
        <v>1</v>
      </c>
      <c r="BR74">
        <v>2</v>
      </c>
      <c r="BS74" s="84">
        <v>1</v>
      </c>
      <c r="BT74">
        <v>2</v>
      </c>
      <c r="BU74" s="84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3.1318590551703447E-2</v>
      </c>
      <c r="AW75" cm="1">
        <f t="array" ref="AW75:BB80">MMULT(AV53:AV58,TRANSPOSE(_xlfn.ANCHORARRAY(N17)))</f>
        <v>-0.63990551160193399</v>
      </c>
      <c r="AX75">
        <v>-0.52679415190489098</v>
      </c>
      <c r="AY75">
        <v>-0.5158433209320703</v>
      </c>
      <c r="AZ75">
        <v>-0.14954357507348745</v>
      </c>
      <c r="BA75">
        <v>-0.45615084423334373</v>
      </c>
      <c r="BB75">
        <v>-0.4076344476254099</v>
      </c>
      <c r="BD75" s="3" cm="1">
        <f t="array" ref="BD75">SUM($AW75:$BB75*$W17:$AB17*(IF((ROW(AW75)-$BH$73)=(COLUMN(AW75)-$BI$73),1,0)-W17))</f>
        <v>-0.32838429057260954</v>
      </c>
      <c r="BE75" s="3" cm="1">
        <f t="array" ref="BE75">SUM($AW75:$BB75*$W17:$AB17*(IF((ROW(AX75)-$BH$73)=(COLUMN(AX75)-$BI$73),1,0)-X17))</f>
        <v>3.336900205192745E-2</v>
      </c>
      <c r="BF75" s="3" cm="1">
        <f t="array" ref="BF75">SUM($AW75:$BB75*$W17:$AB17*(IF((ROW(AY75)-$BH$73)=(COLUMN(AY75)-$BI$73),1,0)-Y17))</f>
        <v>4.9901900987195227E-2</v>
      </c>
      <c r="BG75" s="3" cm="1">
        <f t="array" ref="BG75">SUM($AW75:$BB75*$W17:$AB17*(IF((ROW(AZ75)-$BH$73)=(COLUMN(AZ75)-$BI$73),1,0)-Z17))</f>
        <v>0.14056793326337097</v>
      </c>
      <c r="BH75" s="3" cm="1">
        <f t="array" ref="BH75">SUM($AW75:$BB75*$W17:$AB17*(IF((ROW(BA75)-$BH$73)=(COLUMN(BA75)-$BI$73),1,0)-AA17))</f>
        <v>4.0446154682830054E-2</v>
      </c>
      <c r="BI75" s="3" cm="1">
        <f t="array" ref="BI75">SUM($AW75:$BB75*$W17:$AB17*(IF((ROW(BB75)-$BH$73)=(COLUMN(BB75)-$BI$73),1,0)-AB17))</f>
        <v>6.4099299587285857E-2</v>
      </c>
      <c r="BK75" cm="1">
        <f t="array" ref="BK75:BK80">(1/SQRT($G$2))*MMULT(TRANSPOSE($BD$75:$BI$80),_xlfn.ANCHORARRAY(J17))</f>
        <v>0.71639551875113883</v>
      </c>
      <c r="BL75" s="83" cm="1">
        <f t="array" ref="BL75:BL80">(1/SQRT($G$2))*MMULT($BD$75:$BI$80,_xlfn.ANCHORARRAY(L17))</f>
        <v>-0.2003226743414861</v>
      </c>
      <c r="BM75" s="89" cm="1">
        <f t="array" ref="BM75:BM76">MMULT(TRANSPOSE(_xlfn.ANCHORARRAY($C$4)),_xlfn.ANCHORARRAY(BL75))</f>
        <v>-0.55793549784225449</v>
      </c>
      <c r="BN75" s="88" cm="1">
        <f t="array" ref="BN75:BN76">MMULT(TRANSPOSE(_xlfn.ANCHORARRAY($C$4)),_xlfn.ANCHORARRAY(BK75))</f>
        <v>0.55494654156176892</v>
      </c>
      <c r="BO75" cm="1">
        <f t="array" ref="BO75:BO76">MMULT(TRANSPOSE(_xlfn.ANCHORARRAY($C$4)),_xlfn.ANCHORARRAY(AU75))</f>
        <v>0.76712066757131703</v>
      </c>
      <c r="BQ75" cm="1">
        <f t="array" ref="BQ75:BR80">MMULT(_xlfn.ANCHORARRAY(BL75),TRANSPOSE(C31:C32))</f>
        <v>9.7557142404303729E-2</v>
      </c>
      <c r="BR75">
        <v>-4.7676796493273686E-2</v>
      </c>
      <c r="BS75" s="84" cm="1">
        <f t="array" ref="BS75:BT80">MMULT(_xlfn.ANCHORARRAY(BK75),TRANSPOSE(E31:E32))</f>
        <v>0.17981527520653584</v>
      </c>
      <c r="BT75">
        <v>-5.8744432537593386E-2</v>
      </c>
      <c r="BU75" s="84" cm="1">
        <f t="array" ref="BU75:BV80">MMULT(_xlfn.ANCHORARRAY(AU75),TRANSPOSE(G31:G32))</f>
        <v>2.9596068071359755E-2</v>
      </c>
      <c r="BV75">
        <v>1.3623586889990999E-2</v>
      </c>
      <c r="BX75" cm="1">
        <f t="array" ref="BX75:BY80">_xlfn.ANCHORARRAY(BQ75)+_xlfn.ANCHORARRAY(BS75)+_xlfn.ANCHORARRAY(BU75)</f>
        <v>0.30696848568219937</v>
      </c>
      <c r="BY75">
        <v>-9.279764214087606E-2</v>
      </c>
    </row>
    <row r="76" spans="40:77" x14ac:dyDescent="0.25">
      <c r="AT76">
        <v>2</v>
      </c>
      <c r="AU76">
        <v>3.475215585398532E-2</v>
      </c>
      <c r="AW76">
        <v>0.70106742019960311</v>
      </c>
      <c r="AX76">
        <v>0.57714492273656415</v>
      </c>
      <c r="AY76">
        <v>0.56514741579223715</v>
      </c>
      <c r="AZ76">
        <v>0.16383688917093342</v>
      </c>
      <c r="BA76">
        <v>0.49974955644306845</v>
      </c>
      <c r="BB76">
        <v>0.44659598237530262</v>
      </c>
      <c r="BD76" s="3" cm="1">
        <f t="array" ref="BD76">SUM($AW76:$BB76*$W18:$AB18*(IF((ROW(AW76)-$BH$73)=(COLUMN(AW76)-$BI$73),1,0)-W18))</f>
        <v>-3.3261142073461779E-2</v>
      </c>
      <c r="BE76" s="3" cm="1">
        <f t="array" ref="BE76">SUM($AW76:$BB76*$W18:$AB18*(IF((ROW(AX76)-$BH$73)=(COLUMN(AX76)-$BI$73),1,0)-X18))</f>
        <v>0.36124443495007297</v>
      </c>
      <c r="BF76" s="3" cm="1">
        <f t="array" ref="BF76">SUM($AW76:$BB76*$W18:$AB18*(IF((ROW(AY76)-$BH$73)=(COLUMN(AY76)-$BI$73),1,0)-Y18))</f>
        <v>-5.9358531371862339E-2</v>
      </c>
      <c r="BG76" s="3" cm="1">
        <f t="array" ref="BG76">SUM($AW76:$BB76*$W18:$AB18*(IF((ROW(AZ76)-$BH$73)=(COLUMN(AZ76)-$BI$73),1,0)-Z18))</f>
        <v>-0.1454161205074192</v>
      </c>
      <c r="BH76" s="3" cm="1">
        <f t="array" ref="BH76">SUM($AW76:$BB76*$W18:$AB18*(IF((ROW(BA76)-$BH$73)=(COLUMN(BA76)-$BI$73),1,0)-AA18))</f>
        <v>-4.9493097452161981E-2</v>
      </c>
      <c r="BI76" s="3" cm="1">
        <f t="array" ref="BI76">SUM($AW76:$BB76*$W18:$AB18*(IF((ROW(BB76)-$BH$73)=(COLUMN(BB76)-$BI$73),1,0)-AB18))</f>
        <v>-7.3715543545167753E-2</v>
      </c>
      <c r="BK76">
        <v>-0.53614411724748123</v>
      </c>
      <c r="BL76" s="83">
        <v>0.1569886148599153</v>
      </c>
      <c r="BM76" s="89">
        <v>-0.28666944460472288</v>
      </c>
      <c r="BN76" s="88">
        <v>0.46172112508298047</v>
      </c>
      <c r="BO76">
        <v>0.24813121243398564</v>
      </c>
      <c r="BQ76">
        <v>-7.6453455436778756E-2</v>
      </c>
      <c r="BR76">
        <v>3.7363290336659839E-2</v>
      </c>
      <c r="BS76" s="84">
        <v>-0.13457217342911779</v>
      </c>
      <c r="BT76">
        <v>4.3963817614293466E-2</v>
      </c>
      <c r="BU76" s="84">
        <v>3.2840787282016129E-2</v>
      </c>
      <c r="BV76">
        <v>1.5117187796483614E-2</v>
      </c>
      <c r="BX76">
        <v>-0.17818484158388043</v>
      </c>
      <c r="BY76">
        <v>9.6444295747436917E-2</v>
      </c>
    </row>
    <row r="77" spans="40:77" x14ac:dyDescent="0.25">
      <c r="AT77">
        <v>3</v>
      </c>
      <c r="AU77">
        <v>4.0558000264087922E-2</v>
      </c>
      <c r="AW77">
        <v>-0.442973639478837</v>
      </c>
      <c r="AX77">
        <v>-0.36467246881699089</v>
      </c>
      <c r="AY77">
        <v>-0.35709177234946998</v>
      </c>
      <c r="AZ77">
        <v>-0.10352131761632292</v>
      </c>
      <c r="BA77">
        <v>-0.31576974406040986</v>
      </c>
      <c r="BB77">
        <v>-0.28218434060605685</v>
      </c>
      <c r="BD77" s="3" cm="1">
        <f t="array" ref="BD77">SUM($AW77:$BB77*$W19:$AB19*(IF((ROW(AW77)-$BH$73)=(COLUMN(AW77)-$BI$73),1,0)-W19))</f>
        <v>2.9465586358488938E-2</v>
      </c>
      <c r="BE77" s="3" cm="1">
        <f t="array" ref="BE77">SUM($AW77:$BB77*$W19:$AB19*(IF((ROW(AX77)-$BH$73)=(COLUMN(AX77)-$BI$73),1,0)-X19))</f>
        <v>3.4388881611170111E-2</v>
      </c>
      <c r="BF77" s="3" cm="1">
        <f t="array" ref="BF77">SUM($AW77:$BB77*$W19:$AB19*(IF((ROW(AY77)-$BH$73)=(COLUMN(AY77)-$BI$73),1,0)-Y19))</f>
        <v>-0.23149299653559957</v>
      </c>
      <c r="BG77" s="3" cm="1">
        <f t="array" ref="BG77">SUM($AW77:$BB77*$W19:$AB19*(IF((ROW(AZ77)-$BH$73)=(COLUMN(AZ77)-$BI$73),1,0)-Z19))</f>
        <v>7.9029309023709665E-2</v>
      </c>
      <c r="BH77" s="3" cm="1">
        <f t="array" ref="BH77">SUM($AW77:$BB77*$W19:$AB19*(IF((ROW(BA77)-$BH$73)=(COLUMN(BA77)-$BI$73),1,0)-AA19))</f>
        <v>3.8437232476033034E-2</v>
      </c>
      <c r="BI77" s="3" cm="1">
        <f t="array" ref="BI77">SUM($AW77:$BB77*$W19:$AB19*(IF((ROW(BB77)-$BH$73)=(COLUMN(BB77)-$BI$73),1,0)-AB19))</f>
        <v>5.017198706619784E-2</v>
      </c>
      <c r="BK77">
        <v>0.3891837823987459</v>
      </c>
      <c r="BL77" s="83">
        <v>-2.9399427893421797E-2</v>
      </c>
      <c r="BM77" s="89"/>
      <c r="BN77" s="88"/>
      <c r="BQ77">
        <v>1.4317521384096414E-2</v>
      </c>
      <c r="BR77">
        <v>-6.9970638386343872E-3</v>
      </c>
      <c r="BS77" s="84">
        <v>9.768512938208522E-2</v>
      </c>
      <c r="BT77">
        <v>-3.1913070156697164E-2</v>
      </c>
      <c r="BU77" s="84">
        <v>3.8327310249563082E-2</v>
      </c>
      <c r="BV77">
        <v>1.7642730114878245E-2</v>
      </c>
      <c r="BX77">
        <v>0.1503299610157447</v>
      </c>
      <c r="BY77">
        <v>-2.1267403880453308E-2</v>
      </c>
    </row>
    <row r="78" spans="40:77" x14ac:dyDescent="0.25">
      <c r="AT78">
        <v>4</v>
      </c>
      <c r="AU78">
        <v>5.8482513921461823E-2</v>
      </c>
      <c r="AW78">
        <v>9.8669200760086256E-2</v>
      </c>
      <c r="AX78">
        <v>8.1228176646612846E-2</v>
      </c>
      <c r="AY78">
        <v>7.9539630884532947E-2</v>
      </c>
      <c r="AZ78">
        <v>2.3058630944385147E-2</v>
      </c>
      <c r="BA78">
        <v>7.0335445484552686E-2</v>
      </c>
      <c r="BB78">
        <v>6.2854537771974514E-2</v>
      </c>
      <c r="BD78" s="3" cm="1">
        <f t="array" ref="BD78">SUM($AW78:$BB78*$W20:$AB20*(IF((ROW(AW78)-$BH$73)=(COLUMN(AW78)-$BI$73),1,0)-W20))</f>
        <v>-1.1371992547514137E-2</v>
      </c>
      <c r="BE78" s="3" cm="1">
        <f t="array" ref="BE78">SUM($AW78:$BB78*$W20:$AB20*(IF((ROW(AX78)-$BH$73)=(COLUMN(AX78)-$BI$73),1,0)-X20))</f>
        <v>-1.1426481741211832E-2</v>
      </c>
      <c r="BF78" s="3" cm="1">
        <f t="array" ref="BF78">SUM($AW78:$BB78*$W20:$AB20*(IF((ROW(AY78)-$BH$73)=(COLUMN(AY78)-$BI$73),1,0)-Y20))</f>
        <v>-1.150909273610286E-2</v>
      </c>
      <c r="BG78" s="3" cm="1">
        <f t="array" ref="BG78">SUM($AW78:$BB78*$W20:$AB20*(IF((ROW(AZ78)-$BH$73)=(COLUMN(AZ78)-$BI$73),1,0)-Z20))</f>
        <v>5.7334249427827035E-2</v>
      </c>
      <c r="BH78" s="3" cm="1">
        <f t="array" ref="BH78">SUM($AW78:$BB78*$W20:$AB20*(IF((ROW(BA78)-$BH$73)=(COLUMN(BA78)-$BI$73),1,0)-AA20))</f>
        <v>-1.1465891826751973E-2</v>
      </c>
      <c r="BI78" s="3" cm="1">
        <f t="array" ref="BI78">SUM($AW78:$BB78*$W20:$AB20*(IF((ROW(BB78)-$BH$73)=(COLUMN(BB78)-$BI$73),1,0)-AB20))</f>
        <v>-1.1560790576246229E-2</v>
      </c>
      <c r="BK78">
        <v>0.13167543081267849</v>
      </c>
      <c r="BL78" s="83">
        <v>-3.9615850454265591E-2</v>
      </c>
      <c r="BM78" s="89"/>
      <c r="BN78" s="88"/>
      <c r="BQ78">
        <v>1.9292919171227343E-2</v>
      </c>
      <c r="BR78">
        <v>-9.4285724081152097E-3</v>
      </c>
      <c r="BS78" s="84">
        <v>3.3050533133982304E-2</v>
      </c>
      <c r="BT78">
        <v>-1.0797385326639637E-2</v>
      </c>
      <c r="BU78" s="84">
        <v>5.5265975655781417E-2</v>
      </c>
      <c r="BV78">
        <v>2.5439893555835893E-2</v>
      </c>
      <c r="BX78">
        <v>0.10760942796099107</v>
      </c>
      <c r="BY78">
        <v>5.2139358210810463E-3</v>
      </c>
    </row>
    <row r="79" spans="40:77" x14ac:dyDescent="0.25">
      <c r="AT79">
        <v>5</v>
      </c>
      <c r="AU79">
        <v>3.7432176775656897E-2</v>
      </c>
      <c r="AW79">
        <v>0.12057896607052705</v>
      </c>
      <c r="AX79">
        <v>9.9265114953730846E-2</v>
      </c>
      <c r="AY79">
        <v>9.7201622996910139E-2</v>
      </c>
      <c r="AZ79">
        <v>2.8178862875724697E-2</v>
      </c>
      <c r="BA79">
        <v>8.5953623109390934E-2</v>
      </c>
      <c r="BB79">
        <v>7.6811559422820544E-2</v>
      </c>
      <c r="BD79" s="3" cm="1">
        <f t="array" ref="BD79">SUM($AW79:$BB79*$W21:$AB21*(IF((ROW(AW79)-$BH$73)=(COLUMN(AW79)-$BI$73),1,0)-W21))</f>
        <v>-6.4871044414469984E-3</v>
      </c>
      <c r="BE79" s="3" cm="1">
        <f t="array" ref="BE79">SUM($AW79:$BB79*$W21:$AB21*(IF((ROW(AX79)-$BH$73)=(COLUMN(AX79)-$BI$73),1,0)-X21))</f>
        <v>-7.9518437614749839E-3</v>
      </c>
      <c r="BF79" s="3" cm="1">
        <f t="array" ref="BF79">SUM($AW79:$BB79*$W21:$AB21*(IF((ROW(AY79)-$BH$73)=(COLUMN(AY79)-$BI$73),1,0)-Y21))</f>
        <v>-1.0807262167053844E-2</v>
      </c>
      <c r="BG79" s="3" cm="1">
        <f t="array" ref="BG79">SUM($AW79:$BB79*$W21:$AB21*(IF((ROW(AZ79)-$BH$73)=(COLUMN(AZ79)-$BI$73),1,0)-Z21))</f>
        <v>-2.3802377678942124E-2</v>
      </c>
      <c r="BH79" s="3" cm="1">
        <f t="array" ref="BH79">SUM($AW79:$BB79*$W21:$AB21*(IF((ROW(BA79)-$BH$73)=(COLUMN(BA79)-$BI$73),1,0)-AA21))</f>
        <v>6.2128846218473088E-2</v>
      </c>
      <c r="BI79" s="3" cm="1">
        <f t="array" ref="BI79">SUM($AW79:$BB79*$W21:$AB21*(IF((ROW(BB79)-$BH$73)=(COLUMN(BB79)-$BI$73),1,0)-AB21))</f>
        <v>-1.3080258169555136E-2</v>
      </c>
      <c r="BK79">
        <v>-1.1946925984738926E-3</v>
      </c>
      <c r="BL79" s="83">
        <v>1.8628675664855009E-2</v>
      </c>
      <c r="BM79" s="89"/>
      <c r="BN79" s="88"/>
      <c r="BQ79">
        <v>-9.0721650487843898E-3</v>
      </c>
      <c r="BR79">
        <v>4.4336248082354921E-3</v>
      </c>
      <c r="BS79" s="84">
        <v>-2.9986784221694706E-4</v>
      </c>
      <c r="BT79">
        <v>9.7964793074859202E-5</v>
      </c>
      <c r="BU79" s="84">
        <v>3.5373407052995763E-2</v>
      </c>
      <c r="BV79">
        <v>1.6282996897410751E-2</v>
      </c>
      <c r="BX79">
        <v>2.6001374161994426E-2</v>
      </c>
      <c r="BY79">
        <v>2.0814586498721102E-2</v>
      </c>
    </row>
    <row r="80" spans="40:77" x14ac:dyDescent="0.25">
      <c r="AT80">
        <v>6</v>
      </c>
      <c r="AU80">
        <v>4.4546081195564101E-2</v>
      </c>
      <c r="AW80">
        <v>1.5607483100839208</v>
      </c>
      <c r="AX80">
        <v>1.2848663864284895</v>
      </c>
      <c r="AY80">
        <v>1.2581569885174482</v>
      </c>
      <c r="AZ80">
        <v>0.36474116545044627</v>
      </c>
      <c r="BA80">
        <v>1.1125652871754281</v>
      </c>
      <c r="BB80">
        <v>0.99423237294933797</v>
      </c>
      <c r="BD80" s="3" cm="1">
        <f t="array" ref="BD80">SUM($AW80:$BB80*$W22:$AB22*(IF((ROW(AW80)-$BH$73)=(COLUMN(AW80)-$BI$73),1,0)-W22))</f>
        <v>-0.11886880253779812</v>
      </c>
      <c r="BE80" s="3" cm="1">
        <f t="array" ref="BE80">SUM($AW80:$BB80*$W22:$AB22*(IF((ROW(AX80)-$BH$73)=(COLUMN(AX80)-$BI$73),1,0)-X22))</f>
        <v>-0.13416560176142522</v>
      </c>
      <c r="BF80" s="3" cm="1">
        <f t="array" ref="BF80">SUM($AW80:$BB80*$W22:$AB22*(IF((ROW(AY80)-$BH$73)=(COLUMN(AY80)-$BI$73),1,0)-Y22))</f>
        <v>-0.16101681217301897</v>
      </c>
      <c r="BG80" s="3" cm="1">
        <f t="array" ref="BG80">SUM($AW80:$BB80*$W22:$AB22*(IF((ROW(AZ80)-$BH$73)=(COLUMN(AZ80)-$BI$73),1,0)-Z22))</f>
        <v>-0.25749249327775459</v>
      </c>
      <c r="BH80" s="3" cm="1">
        <f t="array" ref="BH80">SUM($AW80:$BB80*$W22:$AB22*(IF((ROW(BA80)-$BH$73)=(COLUMN(BA80)-$BI$73),1,0)-AA22))</f>
        <v>-0.14638937800506149</v>
      </c>
      <c r="BI80" s="3" cm="1">
        <f t="array" ref="BI80">SUM($AW80:$BB80*$W22:$AB22*(IF((ROW(BB80)-$BH$73)=(COLUMN(BB80)-$BI$73),1,0)-AB22))</f>
        <v>0.81793308775505846</v>
      </c>
      <c r="BK80">
        <v>-0.69991592211660802</v>
      </c>
      <c r="BL80" s="83">
        <v>-5.7079927097065442E-2</v>
      </c>
      <c r="BM80" s="89"/>
      <c r="BN80" s="88"/>
      <c r="BQ80">
        <v>2.779792449627087E-2</v>
      </c>
      <c r="BR80">
        <v>-1.3585022649101575E-2</v>
      </c>
      <c r="BS80" s="84">
        <v>-0.17567889645126861</v>
      </c>
      <c r="BT80">
        <v>5.7393105613561861E-2</v>
      </c>
      <c r="BU80" s="84">
        <v>4.2096046729808073E-2</v>
      </c>
      <c r="BV80">
        <v>1.9377545320070383E-2</v>
      </c>
      <c r="BX80">
        <v>-0.10578492522518967</v>
      </c>
      <c r="BY80">
        <v>6.318562828453067E-2</v>
      </c>
    </row>
    <row r="81" spans="75:80" ht="15.75" thickBot="1" x14ac:dyDescent="0.3"/>
    <row r="82" spans="75:80" x14ac:dyDescent="0.25">
      <c r="BX82" t="s">
        <v>182</v>
      </c>
      <c r="CA82" s="38" t="s">
        <v>80</v>
      </c>
      <c r="CB82" s="6"/>
    </row>
    <row r="83" spans="75:80" x14ac:dyDescent="0.25">
      <c r="BX83" t="s">
        <v>18</v>
      </c>
      <c r="CA83" s="7" t="s">
        <v>134</v>
      </c>
      <c r="CB83" s="8"/>
    </row>
    <row r="84" spans="75:80" x14ac:dyDescent="0.25">
      <c r="BX84">
        <v>1</v>
      </c>
      <c r="BY84">
        <v>2</v>
      </c>
      <c r="CA84" s="7">
        <v>1</v>
      </c>
      <c r="CB84" s="8">
        <v>2</v>
      </c>
    </row>
    <row r="85" spans="75:80" x14ac:dyDescent="0.25">
      <c r="BW85">
        <v>1</v>
      </c>
      <c r="BX85" cm="1">
        <f t="array" ref="BX85:BY90">_xlfn.ANCHORARRAY(BX64)+_xlfn.ANCHORARRAY(BX75)</f>
        <v>0.4350159524940892</v>
      </c>
      <c r="BY85">
        <v>-0.28638409922465297</v>
      </c>
      <c r="CA85" s="72" cm="1">
        <f t="array" ref="CA85:CB90">_xlfn.ANCHORARRAY(AU35)+_xlfn.ANCHORARRAY(BX85)</f>
        <v>0.31274999909362333</v>
      </c>
      <c r="CB85" s="53">
        <v>-0.34703783046926057</v>
      </c>
    </row>
    <row r="86" spans="75:80" x14ac:dyDescent="0.25">
      <c r="BW86">
        <v>2</v>
      </c>
      <c r="BX86">
        <v>-0.17311168349748474</v>
      </c>
      <c r="BY86">
        <v>8.2730518928652616E-2</v>
      </c>
      <c r="CA86" s="72">
        <v>-0.21112873148536432</v>
      </c>
      <c r="CB86" s="53">
        <v>0.26571896627424363</v>
      </c>
    </row>
    <row r="87" spans="75:80" x14ac:dyDescent="0.25">
      <c r="BW87">
        <v>3</v>
      </c>
      <c r="BX87">
        <v>0.10717972585703678</v>
      </c>
      <c r="BY87">
        <v>-7.7833849052123504E-3</v>
      </c>
      <c r="CA87" s="72">
        <v>-0.13024854056827415</v>
      </c>
      <c r="CB87" s="53">
        <v>5.3769484092061781E-2</v>
      </c>
    </row>
    <row r="88" spans="75:80" x14ac:dyDescent="0.25">
      <c r="BW88">
        <v>4</v>
      </c>
      <c r="BX88">
        <v>7.7382827178260033E-2</v>
      </c>
      <c r="BY88">
        <v>3.2228043230261322E-2</v>
      </c>
      <c r="CA88" s="72">
        <v>8.0546347536957746E-2</v>
      </c>
      <c r="CB88" s="53">
        <v>5.2212388813391221E-2</v>
      </c>
    </row>
    <row r="89" spans="75:80" x14ac:dyDescent="0.25">
      <c r="BW89">
        <v>5</v>
      </c>
      <c r="BX89">
        <v>-9.6844466407594448E-3</v>
      </c>
      <c r="BY89">
        <v>6.4432643151347946E-2</v>
      </c>
      <c r="CA89" s="72">
        <v>1.7798542859487759E-2</v>
      </c>
      <c r="CB89" s="53">
        <v>7.2850152955208775E-2</v>
      </c>
    </row>
    <row r="90" spans="75:80" ht="15.75" thickBot="1" x14ac:dyDescent="0.3">
      <c r="BW90">
        <v>6</v>
      </c>
      <c r="BX90">
        <v>-0.12789200668336911</v>
      </c>
      <c r="BY90">
        <v>8.523875191489784E-2</v>
      </c>
      <c r="CA90" s="73">
        <v>-0.14111125184555007</v>
      </c>
      <c r="CB90" s="54">
        <v>0.44421983963635014</v>
      </c>
    </row>
    <row r="91" spans="75:80" x14ac:dyDescent="0.25">
      <c r="CA91" t="s">
        <v>181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zoomScale="115" zoomScaleNormal="115" workbookViewId="0">
      <selection activeCell="E5" sqref="E5:G5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</cols>
  <sheetData>
    <row r="2" spans="2:31" x14ac:dyDescent="0.25">
      <c r="E2" t="s">
        <v>47</v>
      </c>
      <c r="I2" t="s">
        <v>70</v>
      </c>
      <c r="L2" t="s">
        <v>77</v>
      </c>
      <c r="Q2" s="32" t="s">
        <v>192</v>
      </c>
      <c r="R2" s="13"/>
      <c r="T2" s="82" t="s">
        <v>223</v>
      </c>
      <c r="U2" s="82"/>
      <c r="V2" s="82"/>
      <c r="W2" s="82"/>
      <c r="X2" s="82"/>
      <c r="Y2" s="82"/>
      <c r="Z2" s="82"/>
    </row>
    <row r="3" spans="2:31" x14ac:dyDescent="0.25">
      <c r="E3" t="s">
        <v>42</v>
      </c>
      <c r="F3" t="s">
        <v>43</v>
      </c>
      <c r="G3" t="s">
        <v>44</v>
      </c>
      <c r="I3" t="s">
        <v>193</v>
      </c>
      <c r="L3" t="s">
        <v>76</v>
      </c>
      <c r="M3">
        <v>2</v>
      </c>
      <c r="N3">
        <v>3</v>
      </c>
      <c r="Q3" s="32" t="s">
        <v>42</v>
      </c>
      <c r="T3" s="82"/>
      <c r="U3" s="82"/>
      <c r="V3" s="82"/>
      <c r="W3" s="82"/>
      <c r="X3" s="82"/>
      <c r="Y3" s="82"/>
      <c r="Z3" s="82"/>
    </row>
    <row r="4" spans="2:31" ht="15.75" thickBot="1" x14ac:dyDescent="0.3">
      <c r="B4" s="14"/>
      <c r="C4" s="14" t="s">
        <v>225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201</v>
      </c>
      <c r="R4" t="s">
        <v>202</v>
      </c>
      <c r="T4" s="33" t="s">
        <v>224</v>
      </c>
    </row>
    <row r="5" spans="2:31" x14ac:dyDescent="0.25">
      <c r="C5" t="s">
        <v>192</v>
      </c>
      <c r="D5">
        <v>1</v>
      </c>
      <c r="E5" s="13" cm="1">
        <f t="array" ref="E5:G5">TRANSPOSE('CNN-BE'!M28:M30)</f>
        <v>0.11041339180245713</v>
      </c>
      <c r="F5" s="13">
        <v>8.1256020712886692E-2</v>
      </c>
      <c r="G5" s="13">
        <v>0.53378606178880916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3"/>
      <c r="Q5">
        <f>E5</f>
        <v>0.11041339180245713</v>
      </c>
      <c r="R5">
        <f>L5</f>
        <v>1</v>
      </c>
    </row>
    <row r="6" spans="2:31" x14ac:dyDescent="0.25">
      <c r="C6" t="s">
        <v>91</v>
      </c>
      <c r="D6">
        <v>1</v>
      </c>
      <c r="E6" s="13" cm="1">
        <f t="array" ref="E6:G6">TRANSPOSE('GRU-BE'!W28:W30)</f>
        <v>0.69802009277378041</v>
      </c>
      <c r="F6" s="13">
        <v>0.72346688786867408</v>
      </c>
      <c r="G6" s="13">
        <v>0.790372615566037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3"/>
      <c r="Q6" cm="1">
        <f t="array" ref="Q6:Q8">E8:E10</f>
        <v>0.46872480409741202</v>
      </c>
      <c r="R6" s="3" cm="1">
        <f t="array" ref="R6:R8">L8:L10</f>
        <v>1</v>
      </c>
    </row>
    <row r="7" spans="2:31" ht="15.75" thickBot="1" x14ac:dyDescent="0.3">
      <c r="B7" s="14"/>
      <c r="C7" s="14" t="s">
        <v>199</v>
      </c>
      <c r="D7" s="14">
        <v>1</v>
      </c>
      <c r="E7" s="35" cm="1">
        <f t="array" ref="E7:G7">TRANSPOSE('ATTN-BE'!AG28:AG30)</f>
        <v>0.20735863193051313</v>
      </c>
      <c r="F7" s="35">
        <v>2.8227029088125882E-2</v>
      </c>
      <c r="G7" s="35">
        <v>0.73305346435345753</v>
      </c>
      <c r="H7" s="35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3"/>
      <c r="Q7">
        <v>0.68917472572516603</v>
      </c>
      <c r="R7" s="3">
        <v>0</v>
      </c>
    </row>
    <row r="8" spans="2:31" ht="15" customHeight="1" x14ac:dyDescent="0.25">
      <c r="B8" s="79" t="s">
        <v>194</v>
      </c>
      <c r="C8" t="s">
        <v>192</v>
      </c>
      <c r="D8">
        <v>2</v>
      </c>
      <c r="E8" s="15">
        <v>0.46872480409741202</v>
      </c>
      <c r="F8" s="15">
        <v>0.21139614185137856</v>
      </c>
      <c r="G8" s="15">
        <v>0.74796252013739595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3"/>
      <c r="Q8" s="3">
        <v>0.60618263072605905</v>
      </c>
      <c r="R8" s="3">
        <v>1</v>
      </c>
    </row>
    <row r="9" spans="2:31" x14ac:dyDescent="0.25">
      <c r="B9" s="80"/>
      <c r="C9" t="s">
        <v>192</v>
      </c>
      <c r="D9">
        <v>3</v>
      </c>
      <c r="E9" s="15">
        <v>0.68917472572516603</v>
      </c>
      <c r="F9" s="15">
        <v>0.64566804354494844</v>
      </c>
      <c r="G9" s="15">
        <v>0.979370096177136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3"/>
      <c r="Q9" s="3"/>
      <c r="R9" s="3"/>
      <c r="AB9" s="32" t="s">
        <v>42</v>
      </c>
    </row>
    <row r="10" spans="2:31" ht="15.75" thickBot="1" x14ac:dyDescent="0.3">
      <c r="B10" s="80"/>
      <c r="C10" s="14" t="s">
        <v>192</v>
      </c>
      <c r="D10" s="14">
        <v>4</v>
      </c>
      <c r="E10" s="36">
        <v>0.60618263072605905</v>
      </c>
      <c r="F10" s="36">
        <v>0.83554519071599687</v>
      </c>
      <c r="G10" s="36">
        <v>0.74381321270919576</v>
      </c>
      <c r="H10" s="36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3"/>
      <c r="Q10" t="s">
        <v>210</v>
      </c>
      <c r="R10" s="3" t="s">
        <v>201</v>
      </c>
      <c r="S10" t="s">
        <v>202</v>
      </c>
      <c r="T10" t="s">
        <v>206</v>
      </c>
      <c r="U10" t="s">
        <v>208</v>
      </c>
      <c r="V10" t="s">
        <v>211</v>
      </c>
      <c r="W10" t="s">
        <v>209</v>
      </c>
      <c r="X10" t="s">
        <v>207</v>
      </c>
      <c r="Y10" t="s">
        <v>212</v>
      </c>
      <c r="Z10" t="s">
        <v>213</v>
      </c>
      <c r="AB10" t="s">
        <v>210</v>
      </c>
      <c r="AC10" t="s">
        <v>212</v>
      </c>
      <c r="AD10" t="s">
        <v>211</v>
      </c>
      <c r="AE10" t="s">
        <v>213</v>
      </c>
    </row>
    <row r="11" spans="2:31" ht="15" customHeight="1" x14ac:dyDescent="0.25">
      <c r="B11" s="79" t="s">
        <v>194</v>
      </c>
      <c r="C11" t="s">
        <v>91</v>
      </c>
      <c r="D11">
        <v>2</v>
      </c>
      <c r="E11" s="15">
        <v>0.58966366372166545</v>
      </c>
      <c r="F11" s="15">
        <v>0.61327154630066272</v>
      </c>
      <c r="G11" s="15">
        <v>0.23197773212089445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1</v>
      </c>
      <c r="Z11">
        <f>SUM(T11:T14)/(SUM(T11:T14)+SUM(W11:W14))</f>
        <v>0.5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1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0.5</v>
      </c>
    </row>
    <row r="12" spans="2:31" x14ac:dyDescent="0.25">
      <c r="B12" s="80"/>
      <c r="C12" t="s">
        <v>91</v>
      </c>
      <c r="D12">
        <v>3</v>
      </c>
      <c r="E12" s="15">
        <v>0.13057053881923519</v>
      </c>
      <c r="F12" s="15">
        <v>0.60336156019166032</v>
      </c>
      <c r="G12" s="15">
        <v>0.80781190268440484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3"/>
      <c r="R12" s="3">
        <f>IF($Q$6&gt;$Q11,1,0)</f>
        <v>0</v>
      </c>
      <c r="S12">
        <f>$R$6</f>
        <v>1</v>
      </c>
      <c r="T12">
        <f t="shared" ref="T12:T30" si="3">IF(AND(R12=1,S12=1),1,0)</f>
        <v>0</v>
      </c>
      <c r="U12">
        <f t="shared" ref="U12:U30" si="4">IF(AND(R12=0,S12=1),1,0)</f>
        <v>1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0.5</v>
      </c>
      <c r="AC12">
        <v>1</v>
      </c>
      <c r="AD12">
        <v>0.33333333333333331</v>
      </c>
      <c r="AE12">
        <v>0.5</v>
      </c>
    </row>
    <row r="13" spans="2:31" ht="15.75" thickBot="1" x14ac:dyDescent="0.3">
      <c r="B13" s="80"/>
      <c r="C13" s="14" t="s">
        <v>91</v>
      </c>
      <c r="D13" s="14">
        <v>4</v>
      </c>
      <c r="E13" s="36">
        <v>0.86146155904484589</v>
      </c>
      <c r="F13" s="36">
        <v>0.76077951636228525</v>
      </c>
      <c r="G13" s="36">
        <v>0.4201074600013428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3"/>
      <c r="R13" s="3">
        <f>IF($Q$7&gt;$Q11,1,0)</f>
        <v>1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1</v>
      </c>
      <c r="X13">
        <f t="shared" si="6"/>
        <v>0</v>
      </c>
      <c r="AB13">
        <v>0.35</v>
      </c>
      <c r="AC13">
        <v>1</v>
      </c>
      <c r="AD13">
        <v>0.66666666666666663</v>
      </c>
      <c r="AE13">
        <v>0.66666666666666663</v>
      </c>
    </row>
    <row r="14" spans="2:31" ht="15" customHeight="1" x14ac:dyDescent="0.25">
      <c r="B14" s="79" t="s">
        <v>194</v>
      </c>
      <c r="C14" t="s">
        <v>199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3"/>
      <c r="R14" s="3">
        <f>IF($Q$8&gt;$Q11,1,0)</f>
        <v>1</v>
      </c>
      <c r="S14">
        <f>$R$8</f>
        <v>1</v>
      </c>
      <c r="T14">
        <f t="shared" si="3"/>
        <v>1</v>
      </c>
      <c r="U14">
        <f t="shared" si="4"/>
        <v>0</v>
      </c>
      <c r="W14">
        <f t="shared" si="5"/>
        <v>0</v>
      </c>
      <c r="X14">
        <f t="shared" si="6"/>
        <v>0</v>
      </c>
      <c r="AB14">
        <v>0.15</v>
      </c>
      <c r="AC14">
        <v>1</v>
      </c>
      <c r="AD14">
        <v>0.66666666666666663</v>
      </c>
      <c r="AE14">
        <v>0.66666666666666663</v>
      </c>
    </row>
    <row r="15" spans="2:31" x14ac:dyDescent="0.25">
      <c r="B15" s="80"/>
      <c r="C15" t="s">
        <v>199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1</v>
      </c>
      <c r="Z15">
        <f>SUM(T15:T18)/(SUM(T15:T18)+SUM(W15:W18))</f>
        <v>0.5</v>
      </c>
      <c r="AB15">
        <v>0</v>
      </c>
      <c r="AC15">
        <v>1</v>
      </c>
      <c r="AD15">
        <v>1</v>
      </c>
      <c r="AE15">
        <v>0.75</v>
      </c>
    </row>
    <row r="16" spans="2:31" ht="15.75" thickBot="1" x14ac:dyDescent="0.3">
      <c r="B16" s="81"/>
      <c r="C16" s="14" t="s">
        <v>199</v>
      </c>
      <c r="D16" s="14">
        <v>4</v>
      </c>
      <c r="E16" s="36">
        <v>0.72813996016512317</v>
      </c>
      <c r="F16" s="36">
        <v>0.70988097851895582</v>
      </c>
      <c r="G16" s="36">
        <v>1.3349194740536863E-2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3"/>
      <c r="R16" s="3">
        <f>IF($Q$6&gt;$Q15,1,0)</f>
        <v>0</v>
      </c>
      <c r="S16">
        <f>$R$6</f>
        <v>1</v>
      </c>
      <c r="T16">
        <f t="shared" si="3"/>
        <v>0</v>
      </c>
      <c r="U16">
        <f t="shared" si="4"/>
        <v>1</v>
      </c>
      <c r="W16">
        <f t="shared" si="5"/>
        <v>0</v>
      </c>
      <c r="X16">
        <f t="shared" si="6"/>
        <v>0</v>
      </c>
    </row>
    <row r="17" spans="5:31" x14ac:dyDescent="0.25">
      <c r="R17" s="3">
        <f>IF($Q$7&gt;$Q15,1,0)</f>
        <v>1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1</v>
      </c>
      <c r="X17">
        <f t="shared" si="6"/>
        <v>0</v>
      </c>
      <c r="AC17" t="s">
        <v>214</v>
      </c>
      <c r="AD17" t="s">
        <v>215</v>
      </c>
      <c r="AE17" t="s">
        <v>216</v>
      </c>
    </row>
    <row r="18" spans="5:31" x14ac:dyDescent="0.25">
      <c r="R18" s="3">
        <f>IF($Q$8&gt;$Q15,1,0)</f>
        <v>1</v>
      </c>
      <c r="S18">
        <f>$R$8</f>
        <v>1</v>
      </c>
      <c r="T18">
        <f t="shared" si="3"/>
        <v>1</v>
      </c>
      <c r="U18">
        <f t="shared" si="4"/>
        <v>0</v>
      </c>
      <c r="W18">
        <f t="shared" si="5"/>
        <v>0</v>
      </c>
      <c r="X18">
        <f t="shared" si="6"/>
        <v>0</v>
      </c>
      <c r="AB18" s="13" t="s">
        <v>219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25">
      <c r="Q19" s="3">
        <v>0.35</v>
      </c>
      <c r="R19" s="3">
        <f>IF($Q$5&gt;$Q19,1,0)</f>
        <v>0</v>
      </c>
      <c r="S19">
        <f>$R$5</f>
        <v>1</v>
      </c>
      <c r="T19">
        <f t="shared" si="3"/>
        <v>0</v>
      </c>
      <c r="U19">
        <f t="shared" si="4"/>
        <v>1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0</v>
      </c>
      <c r="AD19">
        <f>(AD12+AD13)/2</f>
        <v>0.5</v>
      </c>
      <c r="AE19">
        <f t="shared" ref="AE19:AE21" si="7">AC19*AD19</f>
        <v>0</v>
      </c>
    </row>
    <row r="20" spans="5:31" x14ac:dyDescent="0.25">
      <c r="F20" t="s">
        <v>73</v>
      </c>
      <c r="M20" t="s">
        <v>203</v>
      </c>
      <c r="R20" s="3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.75" thickBot="1" x14ac:dyDescent="0.3">
      <c r="F21" t="s">
        <v>74</v>
      </c>
      <c r="G21" t="s">
        <v>75</v>
      </c>
      <c r="M21" s="77" t="s">
        <v>201</v>
      </c>
      <c r="N21" s="77"/>
      <c r="R21" s="3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.75" thickBot="1" x14ac:dyDescent="0.3">
      <c r="E22" t="s">
        <v>42</v>
      </c>
      <c r="F22">
        <v>3</v>
      </c>
      <c r="K22" s="80" t="s">
        <v>202</v>
      </c>
      <c r="M22" t="s">
        <v>204</v>
      </c>
      <c r="N22" t="s">
        <v>205</v>
      </c>
      <c r="R22" s="3">
        <f>IF($Q$8&gt;$Q19,1,0)</f>
        <v>1</v>
      </c>
      <c r="S22">
        <f>$R$8</f>
        <v>1</v>
      </c>
      <c r="T22">
        <f t="shared" si="3"/>
        <v>1</v>
      </c>
      <c r="U22">
        <f t="shared" si="4"/>
        <v>0</v>
      </c>
      <c r="W22">
        <f t="shared" si="5"/>
        <v>0</v>
      </c>
      <c r="X22">
        <f t="shared" si="6"/>
        <v>0</v>
      </c>
      <c r="AD22" s="37" t="s">
        <v>218</v>
      </c>
      <c r="AE22" s="34">
        <f>SUM(AE18:AE21)</f>
        <v>0</v>
      </c>
    </row>
    <row r="23" spans="5:31" ht="15" customHeight="1" x14ac:dyDescent="0.25">
      <c r="E23" t="s">
        <v>43</v>
      </c>
      <c r="F23">
        <v>16</v>
      </c>
      <c r="K23" s="80"/>
      <c r="L23" t="s">
        <v>204</v>
      </c>
      <c r="M23" t="s">
        <v>206</v>
      </c>
      <c r="N23" t="s">
        <v>208</v>
      </c>
      <c r="Q23" s="3">
        <v>0.15</v>
      </c>
      <c r="R23" s="3">
        <f>IF($Q$5&gt;$Q23,1,0)</f>
        <v>0</v>
      </c>
      <c r="S23">
        <f>$R$5</f>
        <v>1</v>
      </c>
      <c r="T23">
        <f t="shared" si="3"/>
        <v>0</v>
      </c>
      <c r="U23">
        <f t="shared" si="4"/>
        <v>1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25">
      <c r="E24" t="s">
        <v>44</v>
      </c>
      <c r="F24">
        <v>7</v>
      </c>
      <c r="K24" s="80"/>
      <c r="L24" t="s">
        <v>205</v>
      </c>
      <c r="M24" t="s">
        <v>209</v>
      </c>
      <c r="N24" t="s">
        <v>207</v>
      </c>
      <c r="R24" s="3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C24" t="s">
        <v>214</v>
      </c>
      <c r="AD24" t="s">
        <v>215</v>
      </c>
      <c r="AE24" t="s">
        <v>216</v>
      </c>
    </row>
    <row r="25" spans="5:31" x14ac:dyDescent="0.25">
      <c r="F25" t="s">
        <v>200</v>
      </c>
      <c r="K25" s="80"/>
      <c r="R25" s="3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220</v>
      </c>
      <c r="AC25">
        <f>ABS(AD12-AD11)</f>
        <v>0</v>
      </c>
      <c r="AD25">
        <f>(AE11+AE12)/2</f>
        <v>0.5</v>
      </c>
      <c r="AE25">
        <f>AC25*AD25</f>
        <v>0</v>
      </c>
    </row>
    <row r="26" spans="5:31" x14ac:dyDescent="0.25">
      <c r="R26" s="3">
        <f>IF($Q$8&gt;$Q23,1,0)</f>
        <v>1</v>
      </c>
      <c r="S26">
        <f>$R$8</f>
        <v>1</v>
      </c>
      <c r="T26">
        <f t="shared" si="3"/>
        <v>1</v>
      </c>
      <c r="U26">
        <f t="shared" si="4"/>
        <v>0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0.58333333333333326</v>
      </c>
      <c r="AE26">
        <f t="shared" ref="AE26:AE28" si="10">AC26*AD26</f>
        <v>0.19444444444444442</v>
      </c>
    </row>
    <row r="27" spans="5:31" x14ac:dyDescent="0.25">
      <c r="Q27" s="3">
        <v>0</v>
      </c>
      <c r="R27" s="3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.75" thickBot="1" x14ac:dyDescent="0.3">
      <c r="R28" s="3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.75" thickBot="1" x14ac:dyDescent="0.3">
      <c r="R29" s="3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37" t="s">
        <v>221</v>
      </c>
      <c r="AE29" s="34">
        <f>SUM(AE25:AE28)</f>
        <v>0.43055555555555552</v>
      </c>
    </row>
    <row r="30" spans="5:31" x14ac:dyDescent="0.25">
      <c r="R30" s="3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217</v>
      </c>
    </row>
    <row r="31" spans="5:31" x14ac:dyDescent="0.25">
      <c r="Q31" s="3"/>
      <c r="R31" s="3"/>
    </row>
    <row r="32" spans="5:31" x14ac:dyDescent="0.25">
      <c r="R32" s="3"/>
    </row>
    <row r="33" spans="17:31" x14ac:dyDescent="0.25">
      <c r="Q33" s="32" t="s">
        <v>43</v>
      </c>
      <c r="T33" s="13"/>
    </row>
    <row r="34" spans="17:31" x14ac:dyDescent="0.25">
      <c r="Q34" t="s">
        <v>201</v>
      </c>
      <c r="R34" t="s">
        <v>202</v>
      </c>
    </row>
    <row r="35" spans="17:31" x14ac:dyDescent="0.25">
      <c r="Q35">
        <f>$F$5</f>
        <v>8.1256020712886692E-2</v>
      </c>
      <c r="R35">
        <f>$M$5</f>
        <v>1</v>
      </c>
    </row>
    <row r="36" spans="17:31" x14ac:dyDescent="0.25">
      <c r="Q36" cm="1">
        <f t="array" ref="Q36:Q38">F8:$F$10</f>
        <v>0.21139614185137856</v>
      </c>
      <c r="R36" s="3" cm="1">
        <f t="array" ref="R36:R38">M8:$M$10</f>
        <v>0</v>
      </c>
    </row>
    <row r="37" spans="17:31" x14ac:dyDescent="0.25">
      <c r="Q37">
        <v>0.64566804354494844</v>
      </c>
      <c r="R37" s="3">
        <v>1</v>
      </c>
    </row>
    <row r="38" spans="17:31" x14ac:dyDescent="0.25">
      <c r="Q38" s="3">
        <v>0.83554519071599687</v>
      </c>
      <c r="R38" s="3">
        <v>0</v>
      </c>
    </row>
    <row r="39" spans="17:31" x14ac:dyDescent="0.25">
      <c r="Q39" s="3"/>
      <c r="R39" s="3"/>
      <c r="AB39" s="32" t="s">
        <v>43</v>
      </c>
    </row>
    <row r="40" spans="17:31" x14ac:dyDescent="0.25">
      <c r="Q40" t="s">
        <v>210</v>
      </c>
      <c r="R40" s="3" t="s">
        <v>201</v>
      </c>
      <c r="S40" t="s">
        <v>202</v>
      </c>
      <c r="T40" t="s">
        <v>206</v>
      </c>
      <c r="U40" t="s">
        <v>208</v>
      </c>
      <c r="V40" t="s">
        <v>211</v>
      </c>
      <c r="W40" t="s">
        <v>209</v>
      </c>
      <c r="X40" t="s">
        <v>207</v>
      </c>
      <c r="Y40" t="s">
        <v>212</v>
      </c>
      <c r="Z40" t="s">
        <v>213</v>
      </c>
      <c r="AB40" t="s">
        <v>210</v>
      </c>
      <c r="AC40" t="s">
        <v>212</v>
      </c>
      <c r="AD40" t="s">
        <v>211</v>
      </c>
      <c r="AE40" t="s">
        <v>213</v>
      </c>
    </row>
    <row r="41" spans="17:31" x14ac:dyDescent="0.25">
      <c r="Q41" s="3">
        <v>0.7</v>
      </c>
      <c r="R41" s="3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</v>
      </c>
      <c r="W41">
        <f>IF(AND(R41=1,S41=0),1,0)</f>
        <v>0</v>
      </c>
      <c r="X41">
        <f>IF(AND(R41=0,S41=0),1,0)</f>
        <v>0</v>
      </c>
      <c r="Y41">
        <f>SUM(W41:W44)/(SUM(W41:W44)+SUM(X41:X44))</f>
        <v>0.5</v>
      </c>
      <c r="Z41">
        <f>SUM(T41:T44)/(SUM(T41:T44)+SUM(W41:W44))</f>
        <v>0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0.5</v>
      </c>
      <c r="AD41" cm="1">
        <f t="array" ref="AD41:AD45">_xlfn._xlws.FILTER(V41:V60,V41:V60&lt;&gt;"")</f>
        <v>0</v>
      </c>
      <c r="AE41" cm="1">
        <f t="array" ref="AE41:AE45">_xlfn._xlws.FILTER(Z41:Z60,Z41:Z60&lt;&gt;"")</f>
        <v>0</v>
      </c>
    </row>
    <row r="42" spans="17:31" x14ac:dyDescent="0.25">
      <c r="R42" s="3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0.5</v>
      </c>
      <c r="AD42">
        <v>0.5</v>
      </c>
      <c r="AE42">
        <v>0.5</v>
      </c>
    </row>
    <row r="43" spans="17:31" x14ac:dyDescent="0.25">
      <c r="R43" s="3">
        <f>IF($Q$37&gt;$Q41,1,0)</f>
        <v>0</v>
      </c>
      <c r="S43">
        <f>$R$37</f>
        <v>1</v>
      </c>
      <c r="T43">
        <f t="shared" si="11"/>
        <v>0</v>
      </c>
      <c r="U43">
        <f t="shared" si="12"/>
        <v>1</v>
      </c>
      <c r="W43">
        <f t="shared" si="13"/>
        <v>0</v>
      </c>
      <c r="X43">
        <f t="shared" si="14"/>
        <v>0</v>
      </c>
      <c r="AB43">
        <v>0.4</v>
      </c>
      <c r="AC43">
        <v>0.5</v>
      </c>
      <c r="AD43">
        <v>0.5</v>
      </c>
      <c r="AE43">
        <v>0.5</v>
      </c>
    </row>
    <row r="44" spans="17:31" x14ac:dyDescent="0.25">
      <c r="R44" s="3">
        <f>IF($Q$38&gt;$Q41,1,0)</f>
        <v>1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1</v>
      </c>
      <c r="X44">
        <f t="shared" si="14"/>
        <v>0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25">
      <c r="Q45" s="3">
        <v>0.6</v>
      </c>
      <c r="R45" s="3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0.5</v>
      </c>
      <c r="Z45">
        <f>SUM(T45:T48)/(SUM(T45:T48)+SUM(W45:W48))</f>
        <v>0.5</v>
      </c>
      <c r="AB45">
        <v>0</v>
      </c>
      <c r="AC45">
        <v>1</v>
      </c>
      <c r="AD45">
        <v>1</v>
      </c>
      <c r="AE45">
        <v>0.5</v>
      </c>
    </row>
    <row r="46" spans="17:31" x14ac:dyDescent="0.25">
      <c r="R46" s="3">
        <f>IF($Q$36&gt;$Q45,1,0)</f>
        <v>0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0</v>
      </c>
      <c r="X46">
        <f t="shared" si="14"/>
        <v>1</v>
      </c>
    </row>
    <row r="47" spans="17:31" x14ac:dyDescent="0.25">
      <c r="R47" s="3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C47" t="s">
        <v>214</v>
      </c>
      <c r="AD47" t="s">
        <v>215</v>
      </c>
      <c r="AE47" t="s">
        <v>216</v>
      </c>
    </row>
    <row r="48" spans="17:31" x14ac:dyDescent="0.25">
      <c r="R48" s="3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219</v>
      </c>
      <c r="AC48">
        <f>ABS(AC42-AC41)</f>
        <v>0</v>
      </c>
      <c r="AD48">
        <f>(AD41+AD42)/2</f>
        <v>0.25</v>
      </c>
      <c r="AE48">
        <f>AC48*AD48</f>
        <v>0</v>
      </c>
    </row>
    <row r="49" spans="17:31" x14ac:dyDescent="0.25">
      <c r="Q49" s="3">
        <v>0.4</v>
      </c>
      <c r="R49" s="3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0.5</v>
      </c>
      <c r="Z49">
        <f>SUM(T49:T52)/(SUM(T49:T52)+SUM(W49:W52))</f>
        <v>0.5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25">
      <c r="R50" s="3">
        <f>IF($Q$36&gt;$Q49,1,0)</f>
        <v>0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0</v>
      </c>
      <c r="X50">
        <f t="shared" si="14"/>
        <v>1</v>
      </c>
      <c r="AC50">
        <f>ABS(AC44-AC43)</f>
        <v>0.5</v>
      </c>
      <c r="AD50">
        <f>(AD43+AD44)/2</f>
        <v>0.5</v>
      </c>
      <c r="AE50">
        <f t="shared" si="15"/>
        <v>0.25</v>
      </c>
    </row>
    <row r="51" spans="17:31" ht="15.75" thickBot="1" x14ac:dyDescent="0.3">
      <c r="R51" s="3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.75" thickBot="1" x14ac:dyDescent="0.3">
      <c r="R52" s="3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37" t="s">
        <v>218</v>
      </c>
      <c r="AE52" s="34">
        <f>SUM(AE48:AE51)</f>
        <v>0.25</v>
      </c>
    </row>
    <row r="53" spans="17:31" x14ac:dyDescent="0.25">
      <c r="Q53" s="3">
        <v>0.2</v>
      </c>
      <c r="R53" s="3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25">
      <c r="R54" s="3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C54" t="s">
        <v>214</v>
      </c>
      <c r="AD54" t="s">
        <v>215</v>
      </c>
      <c r="AE54" t="s">
        <v>216</v>
      </c>
    </row>
    <row r="55" spans="17:31" x14ac:dyDescent="0.25">
      <c r="R55" s="3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220</v>
      </c>
      <c r="AC55">
        <f>ABS(AD42-AD41)</f>
        <v>0.5</v>
      </c>
      <c r="AD55">
        <f>(AE41+AE42)/2</f>
        <v>0.25</v>
      </c>
      <c r="AE55">
        <f>AC55*AD55</f>
        <v>0.125</v>
      </c>
    </row>
    <row r="56" spans="17:31" x14ac:dyDescent="0.25">
      <c r="R56" s="3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0.5</v>
      </c>
      <c r="AE56">
        <f t="shared" ref="AE56:AE58" si="18">AC56*AD56</f>
        <v>0</v>
      </c>
    </row>
    <row r="57" spans="17:31" x14ac:dyDescent="0.25">
      <c r="Q57" s="3">
        <v>0</v>
      </c>
      <c r="R57" s="3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0.41666666666666663</v>
      </c>
      <c r="AE57">
        <f t="shared" si="18"/>
        <v>0</v>
      </c>
    </row>
    <row r="58" spans="17:31" ht="15.75" thickBot="1" x14ac:dyDescent="0.3">
      <c r="R58" s="3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.75" thickBot="1" x14ac:dyDescent="0.3">
      <c r="R59" s="3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37" t="s">
        <v>221</v>
      </c>
      <c r="AE59" s="34">
        <f>SUM(AE55:AE58)</f>
        <v>0.33333333333333331</v>
      </c>
    </row>
    <row r="60" spans="17:31" x14ac:dyDescent="0.25">
      <c r="R60" s="3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217</v>
      </c>
    </row>
    <row r="63" spans="17:31" x14ac:dyDescent="0.25">
      <c r="Q63" s="32" t="s">
        <v>44</v>
      </c>
      <c r="T63" s="13"/>
    </row>
    <row r="64" spans="17:31" x14ac:dyDescent="0.25">
      <c r="Q64" t="s">
        <v>201</v>
      </c>
      <c r="R64" t="s">
        <v>202</v>
      </c>
    </row>
    <row r="65" spans="17:31" x14ac:dyDescent="0.25">
      <c r="Q65">
        <f>$G$5</f>
        <v>0.53378606178880916</v>
      </c>
      <c r="R65">
        <f>$N$5</f>
        <v>0</v>
      </c>
    </row>
    <row r="66" spans="17:31" x14ac:dyDescent="0.25">
      <c r="Q66" cm="1">
        <f t="array" ref="Q66:Q68">G$8:$G10</f>
        <v>0.74796252013739595</v>
      </c>
      <c r="R66" s="3" cm="1">
        <f t="array" ref="R66:R68">N$8:$N10</f>
        <v>1</v>
      </c>
    </row>
    <row r="67" spans="17:31" x14ac:dyDescent="0.25">
      <c r="Q67">
        <v>0.979370096177136</v>
      </c>
      <c r="R67" s="3">
        <v>1</v>
      </c>
    </row>
    <row r="68" spans="17:31" x14ac:dyDescent="0.25">
      <c r="Q68" s="3">
        <v>0.74381321270919576</v>
      </c>
      <c r="R68" s="3">
        <v>0</v>
      </c>
    </row>
    <row r="69" spans="17:31" x14ac:dyDescent="0.25">
      <c r="Q69" s="3"/>
      <c r="R69" s="3"/>
      <c r="AB69" s="32" t="s">
        <v>44</v>
      </c>
    </row>
    <row r="70" spans="17:31" x14ac:dyDescent="0.25">
      <c r="Q70" t="s">
        <v>210</v>
      </c>
      <c r="R70" s="3" t="s">
        <v>201</v>
      </c>
      <c r="S70" t="s">
        <v>202</v>
      </c>
      <c r="T70" t="s">
        <v>206</v>
      </c>
      <c r="U70" t="s">
        <v>208</v>
      </c>
      <c r="V70" t="s">
        <v>211</v>
      </c>
      <c r="W70" t="s">
        <v>209</v>
      </c>
      <c r="X70" t="s">
        <v>207</v>
      </c>
      <c r="Y70" t="s">
        <v>212</v>
      </c>
      <c r="Z70" t="s">
        <v>213</v>
      </c>
      <c r="AB70" t="s">
        <v>210</v>
      </c>
      <c r="AC70" t="s">
        <v>212</v>
      </c>
      <c r="AD70" t="s">
        <v>211</v>
      </c>
      <c r="AE70" t="s">
        <v>213</v>
      </c>
    </row>
    <row r="71" spans="17:31" x14ac:dyDescent="0.25">
      <c r="Q71" s="3">
        <v>0.9</v>
      </c>
      <c r="R71" s="3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3">
        <f>IF($Q$66&gt;$Q71,1,0)</f>
        <v>0</v>
      </c>
      <c r="S72">
        <f>$R$66</f>
        <v>1</v>
      </c>
      <c r="T72">
        <f t="shared" ref="T72:T90" si="19">IF(AND(R72=1,S72=1),1,0)</f>
        <v>0</v>
      </c>
      <c r="U72">
        <f t="shared" ref="U72:U90" si="20">IF(AND(R72=0,S72=1),1,0)</f>
        <v>1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3">
        <f>IF($Q$67&gt;$Q71,1,0)</f>
        <v>1</v>
      </c>
      <c r="S73">
        <f>$R$67</f>
        <v>1</v>
      </c>
      <c r="T73">
        <f t="shared" si="19"/>
        <v>1</v>
      </c>
      <c r="U73">
        <f t="shared" si="20"/>
        <v>0</v>
      </c>
      <c r="W73">
        <f t="shared" si="21"/>
        <v>0</v>
      </c>
      <c r="X73">
        <f t="shared" si="22"/>
        <v>0</v>
      </c>
      <c r="AB73">
        <v>0.5</v>
      </c>
      <c r="AC73">
        <v>1</v>
      </c>
      <c r="AD73">
        <v>1</v>
      </c>
      <c r="AE73">
        <v>0.5</v>
      </c>
    </row>
    <row r="74" spans="17:31" x14ac:dyDescent="0.25">
      <c r="R74" s="3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1</v>
      </c>
      <c r="AE74">
        <v>0.5</v>
      </c>
    </row>
    <row r="75" spans="17:31" x14ac:dyDescent="0.25">
      <c r="Q75" s="3">
        <v>0.75</v>
      </c>
      <c r="R75" s="3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3">
        <f>IF($Q$66&gt;$Q75,1,0)</f>
        <v>0</v>
      </c>
      <c r="S76">
        <f>$R$66</f>
        <v>1</v>
      </c>
      <c r="T76">
        <f t="shared" si="19"/>
        <v>0</v>
      </c>
      <c r="U76">
        <f t="shared" si="20"/>
        <v>1</v>
      </c>
      <c r="W76">
        <f t="shared" si="21"/>
        <v>0</v>
      </c>
      <c r="X76">
        <f t="shared" si="22"/>
        <v>0</v>
      </c>
    </row>
    <row r="77" spans="17:31" x14ac:dyDescent="0.25">
      <c r="R77" s="3">
        <f>IF($Q$67&gt;$Q75,1,0)</f>
        <v>1</v>
      </c>
      <c r="S77">
        <f>$R$67</f>
        <v>1</v>
      </c>
      <c r="T77">
        <f t="shared" si="19"/>
        <v>1</v>
      </c>
      <c r="U77">
        <f t="shared" si="20"/>
        <v>0</v>
      </c>
      <c r="W77">
        <f t="shared" si="21"/>
        <v>0</v>
      </c>
      <c r="X77">
        <f t="shared" si="22"/>
        <v>0</v>
      </c>
      <c r="AC77" t="s">
        <v>214</v>
      </c>
      <c r="AD77" t="s">
        <v>215</v>
      </c>
      <c r="AE77" t="s">
        <v>216</v>
      </c>
    </row>
    <row r="78" spans="17:31" x14ac:dyDescent="0.25">
      <c r="R78" s="3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219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25">
      <c r="Q79" s="3">
        <v>0.5</v>
      </c>
      <c r="R79" s="3">
        <f>IF($Q$65&gt;$Q79,1,0)</f>
        <v>1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1</v>
      </c>
      <c r="W79">
        <f t="shared" si="21"/>
        <v>1</v>
      </c>
      <c r="X79">
        <f t="shared" si="22"/>
        <v>0</v>
      </c>
      <c r="Y79">
        <f>SUM(W79:W82)/(SUM(W79:W82)+SUM(X79:X82))</f>
        <v>1</v>
      </c>
      <c r="Z79">
        <f>SUM(T79:T82)/(SUM(T79:T82)+SUM(W79:W82))</f>
        <v>0.5</v>
      </c>
      <c r="AC79">
        <f>ABS(AC73-AC72)</f>
        <v>1</v>
      </c>
      <c r="AD79">
        <f>(AD72+AD73)/2</f>
        <v>0.75</v>
      </c>
      <c r="AE79">
        <f t="shared" ref="AE79:AE81" si="23">AC79*AD79</f>
        <v>0.75</v>
      </c>
    </row>
    <row r="80" spans="17:31" x14ac:dyDescent="0.25">
      <c r="R80" s="3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0</v>
      </c>
      <c r="AD80">
        <f>(AD73+AD74)/2</f>
        <v>1</v>
      </c>
      <c r="AE80">
        <f t="shared" si="23"/>
        <v>0</v>
      </c>
    </row>
    <row r="81" spans="17:31" ht="15.75" thickBot="1" x14ac:dyDescent="0.3">
      <c r="R81" s="3">
        <f>IF($Q$67&gt;$Q79,1,0)</f>
        <v>1</v>
      </c>
      <c r="S81">
        <f>$R$67</f>
        <v>1</v>
      </c>
      <c r="T81">
        <f t="shared" si="19"/>
        <v>1</v>
      </c>
      <c r="U81">
        <f t="shared" si="20"/>
        <v>0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1</v>
      </c>
      <c r="AE81">
        <f t="shared" si="23"/>
        <v>0</v>
      </c>
    </row>
    <row r="82" spans="17:31" ht="15.75" thickBot="1" x14ac:dyDescent="0.3">
      <c r="R82" s="3">
        <f>IF($Q$68&gt;$Q79,1,0)</f>
        <v>1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1</v>
      </c>
      <c r="X82">
        <f t="shared" si="22"/>
        <v>0</v>
      </c>
      <c r="AD82" s="37" t="s">
        <v>218</v>
      </c>
      <c r="AE82" s="34">
        <f>SUM(AE78:AE81)</f>
        <v>0.75</v>
      </c>
    </row>
    <row r="83" spans="17:31" x14ac:dyDescent="0.25">
      <c r="Q83" s="3">
        <v>0.25</v>
      </c>
      <c r="R83" s="3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1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0.5</v>
      </c>
    </row>
    <row r="84" spans="17:31" x14ac:dyDescent="0.25">
      <c r="R84" s="3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C84" t="s">
        <v>214</v>
      </c>
      <c r="AD84" t="s">
        <v>215</v>
      </c>
      <c r="AE84" t="s">
        <v>216</v>
      </c>
    </row>
    <row r="85" spans="17:31" x14ac:dyDescent="0.25">
      <c r="R85" s="3">
        <f>IF($Q$67&gt;$Q83,1,0)</f>
        <v>1</v>
      </c>
      <c r="S85">
        <f>$R$67</f>
        <v>1</v>
      </c>
      <c r="T85">
        <f t="shared" si="19"/>
        <v>1</v>
      </c>
      <c r="U85">
        <f t="shared" si="20"/>
        <v>0</v>
      </c>
      <c r="W85">
        <f t="shared" si="21"/>
        <v>0</v>
      </c>
      <c r="X85">
        <f t="shared" si="22"/>
        <v>0</v>
      </c>
      <c r="AB85" s="13" t="s">
        <v>220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25">
      <c r="R86" s="3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0.5</v>
      </c>
      <c r="AD86">
        <f t="shared" ref="AD86:AD88" si="25">(AE72+AE73)/2</f>
        <v>0.75</v>
      </c>
      <c r="AE86">
        <f t="shared" ref="AE86:AE88" si="26">AC86*AD86</f>
        <v>0.375</v>
      </c>
    </row>
    <row r="87" spans="17:31" x14ac:dyDescent="0.25">
      <c r="Q87" s="3">
        <v>0</v>
      </c>
      <c r="R87" s="3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0.5</v>
      </c>
      <c r="AE87">
        <f t="shared" si="26"/>
        <v>0</v>
      </c>
    </row>
    <row r="88" spans="17:31" ht="15.75" thickBot="1" x14ac:dyDescent="0.3">
      <c r="R88" s="3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</v>
      </c>
      <c r="AD88">
        <f t="shared" si="25"/>
        <v>0.5</v>
      </c>
      <c r="AE88">
        <f t="shared" si="26"/>
        <v>0</v>
      </c>
    </row>
    <row r="89" spans="17:31" ht="15.75" thickBot="1" x14ac:dyDescent="0.3">
      <c r="R89" s="3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37" t="s">
        <v>221</v>
      </c>
      <c r="AE89" s="34">
        <f>SUM(AE85:AE88)</f>
        <v>0.375</v>
      </c>
    </row>
    <row r="90" spans="17:31" x14ac:dyDescent="0.25">
      <c r="R90" s="3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217</v>
      </c>
    </row>
    <row r="92" spans="17:31" ht="15.75" thickBot="1" x14ac:dyDescent="0.3"/>
    <row r="93" spans="17:31" x14ac:dyDescent="0.25">
      <c r="AB93" s="4" t="s">
        <v>222</v>
      </c>
      <c r="AC93" s="6"/>
    </row>
    <row r="94" spans="17:31" x14ac:dyDescent="0.25">
      <c r="AB94" s="7" t="s">
        <v>221</v>
      </c>
      <c r="AC94" s="8">
        <f>AVERAGE(AE29,AE59,AE89)</f>
        <v>0.37962962962962959</v>
      </c>
    </row>
    <row r="95" spans="17:31" ht="15.75" thickBot="1" x14ac:dyDescent="0.3">
      <c r="AB95" s="9" t="s">
        <v>218</v>
      </c>
      <c r="AC95" s="11">
        <f>AVERAGE(AE22,AE52,AE82)</f>
        <v>0.33333333333333331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5" x14ac:dyDescent="0.25"/>
  <sheetData>
    <row r="2" spans="2:5" ht="21" x14ac:dyDescent="0.35">
      <c r="B2" s="30" t="s">
        <v>183</v>
      </c>
      <c r="C2" s="30"/>
      <c r="D2" s="30"/>
    </row>
    <row r="3" spans="2:5" ht="21" x14ac:dyDescent="0.35">
      <c r="C3" s="30" t="s">
        <v>40</v>
      </c>
      <c r="D3" s="30"/>
      <c r="E3" s="30"/>
    </row>
    <row r="4" spans="2:5" ht="21" x14ac:dyDescent="0.35">
      <c r="C4" s="30" t="s">
        <v>184</v>
      </c>
      <c r="D4" s="30"/>
      <c r="E4" s="31" t="s">
        <v>197</v>
      </c>
    </row>
    <row r="5" spans="2:5" ht="21" x14ac:dyDescent="0.35">
      <c r="C5" s="30" t="s">
        <v>185</v>
      </c>
      <c r="D5" s="30"/>
      <c r="E5" s="31" t="s">
        <v>198</v>
      </c>
    </row>
    <row r="6" spans="2:5" ht="21" x14ac:dyDescent="0.35">
      <c r="C6" s="30" t="s">
        <v>186</v>
      </c>
      <c r="D6" s="30"/>
      <c r="E6" s="31" t="s">
        <v>198</v>
      </c>
    </row>
    <row r="7" spans="2:5" ht="21" x14ac:dyDescent="0.35">
      <c r="C7" s="30" t="s">
        <v>187</v>
      </c>
      <c r="D7" s="30"/>
      <c r="E7" s="31" t="s">
        <v>198</v>
      </c>
    </row>
    <row r="8" spans="2:5" ht="21" x14ac:dyDescent="0.35">
      <c r="C8" s="30" t="s">
        <v>195</v>
      </c>
      <c r="D8" s="30"/>
      <c r="E8" s="31" t="s">
        <v>196</v>
      </c>
    </row>
    <row r="9" spans="2:5" ht="21" x14ac:dyDescent="0.35">
      <c r="C9" s="30"/>
      <c r="D9" s="30"/>
      <c r="E9" s="30"/>
    </row>
    <row r="10" spans="2:5" ht="21" x14ac:dyDescent="0.35">
      <c r="C10" s="30"/>
      <c r="D10" s="30"/>
      <c r="E10" s="30"/>
    </row>
    <row r="11" spans="2:5" ht="21" x14ac:dyDescent="0.35">
      <c r="B11" s="30" t="s">
        <v>188</v>
      </c>
      <c r="D11" s="30"/>
      <c r="E11" s="30"/>
    </row>
    <row r="12" spans="2:5" ht="21" x14ac:dyDescent="0.35">
      <c r="C12" s="30" t="s">
        <v>189</v>
      </c>
      <c r="D12" s="30"/>
      <c r="E12" s="30"/>
    </row>
    <row r="13" spans="2:5" ht="21" x14ac:dyDescent="0.35">
      <c r="C13" s="30" t="s">
        <v>91</v>
      </c>
      <c r="D13" s="30"/>
      <c r="E13" s="30"/>
    </row>
    <row r="14" spans="2:5" ht="21" x14ac:dyDescent="0.35">
      <c r="C14" s="30" t="s">
        <v>190</v>
      </c>
      <c r="D14" s="30"/>
      <c r="E14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5" x14ac:dyDescent="0.25"/>
  <cols>
    <col min="2" max="4" width="3.5703125" customWidth="1"/>
    <col min="5" max="5" width="3.42578125" customWidth="1"/>
    <col min="6" max="14" width="3.5703125" customWidth="1"/>
  </cols>
  <sheetData>
    <row r="2" spans="3:4" x14ac:dyDescent="0.25">
      <c r="C2" s="16"/>
      <c r="D2" s="16"/>
    </row>
    <row r="3" spans="3:4" x14ac:dyDescent="0.25">
      <c r="C3" s="17"/>
      <c r="D3" s="17"/>
    </row>
    <row r="4" spans="3:4" x14ac:dyDescent="0.25">
      <c r="C4" s="17"/>
      <c r="D4" s="17"/>
    </row>
    <row r="5" spans="3:4" x14ac:dyDescent="0.25">
      <c r="C5" s="17"/>
      <c r="D5" s="17"/>
    </row>
    <row r="6" spans="3:4" x14ac:dyDescent="0.25">
      <c r="C6" s="17"/>
      <c r="D6" s="17"/>
    </row>
    <row r="7" spans="3:4" x14ac:dyDescent="0.25">
      <c r="C7" s="17"/>
      <c r="D7" s="17"/>
    </row>
    <row r="8" spans="3:4" x14ac:dyDescent="0.25">
      <c r="C8" s="17"/>
      <c r="D8" s="17"/>
    </row>
    <row r="9" spans="3:4" x14ac:dyDescent="0.25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77" t="s">
        <v>0</v>
      </c>
      <c r="P2" s="77"/>
      <c r="Q2" s="77" t="s">
        <v>1</v>
      </c>
      <c r="R2" s="77"/>
      <c r="S2" s="77" t="s">
        <v>2</v>
      </c>
      <c r="T2" s="77"/>
      <c r="U2" s="77" t="s">
        <v>3</v>
      </c>
      <c r="V2" s="77"/>
      <c r="W2" s="77" t="s">
        <v>4</v>
      </c>
      <c r="X2" s="77"/>
      <c r="Y2" s="77" t="s">
        <v>5</v>
      </c>
      <c r="Z2" s="77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77" t="s">
        <v>36</v>
      </c>
      <c r="P6" s="77"/>
      <c r="S6" s="77" t="s">
        <v>6</v>
      </c>
      <c r="T6" s="77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0.58721926002363067</v>
      </c>
      <c r="D2">
        <f t="shared" ref="D2:Z2" ca="1" si="0">RAND()</f>
        <v>0.1818174421619585</v>
      </c>
      <c r="E2">
        <f t="shared" ca="1" si="0"/>
        <v>0.17058199906136795</v>
      </c>
      <c r="F2">
        <f t="shared" ca="1" si="0"/>
        <v>0.19248748244615965</v>
      </c>
      <c r="G2">
        <f t="shared" ca="1" si="0"/>
        <v>7.0391028522679755E-2</v>
      </c>
      <c r="H2">
        <f t="shared" ca="1" si="0"/>
        <v>0.47049780682744047</v>
      </c>
      <c r="I2">
        <f t="shared" ca="1" si="0"/>
        <v>7.0817042932585506E-2</v>
      </c>
      <c r="J2">
        <f t="shared" ca="1" si="0"/>
        <v>0.89768083063562076</v>
      </c>
      <c r="K2">
        <f t="shared" ca="1" si="0"/>
        <v>0.17332404762921894</v>
      </c>
      <c r="L2">
        <f t="shared" ca="1" si="0"/>
        <v>0.49394953406032815</v>
      </c>
      <c r="M2">
        <f t="shared" ca="1" si="0"/>
        <v>0.20424460577855941</v>
      </c>
      <c r="N2">
        <f t="shared" ca="1" si="0"/>
        <v>4.1247752842149321E-2</v>
      </c>
      <c r="O2">
        <f t="shared" ca="1" si="0"/>
        <v>9.3671187433734593E-2</v>
      </c>
      <c r="P2">
        <f t="shared" ca="1" si="0"/>
        <v>0.90695531140462526</v>
      </c>
      <c r="Q2">
        <f t="shared" ca="1" si="0"/>
        <v>0.6614459420237</v>
      </c>
      <c r="R2">
        <f t="shared" ca="1" si="0"/>
        <v>0.71040769137921966</v>
      </c>
      <c r="S2">
        <f t="shared" ca="1" si="0"/>
        <v>0.10258253376816551</v>
      </c>
      <c r="T2">
        <f t="shared" ca="1" si="0"/>
        <v>0.25102612101188448</v>
      </c>
      <c r="U2">
        <f t="shared" ca="1" si="0"/>
        <v>8.9449792871929557E-2</v>
      </c>
      <c r="V2">
        <f t="shared" ca="1" si="0"/>
        <v>0.78455037873091404</v>
      </c>
      <c r="W2">
        <f t="shared" ca="1" si="0"/>
        <v>0.12230072447194029</v>
      </c>
      <c r="X2">
        <f t="shared" ca="1" si="0"/>
        <v>3.8543381792818243E-3</v>
      </c>
      <c r="Y2">
        <f t="shared" ca="1" si="0"/>
        <v>0.73176679398602229</v>
      </c>
      <c r="Z2">
        <f t="shared" ca="1" si="0"/>
        <v>0.75230998353208367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2026-04-26T17:28:21Z</dcterms:modified>
</cp:coreProperties>
</file>