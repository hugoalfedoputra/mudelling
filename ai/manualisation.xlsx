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F:\DiskE\SKRIPSI-CODE\skripsi-code\ai\"/>
    </mc:Choice>
  </mc:AlternateContent>
  <xr:revisionPtr revIDLastSave="0" documentId="13_ncr:1_{0EED193A-4ACA-4831-8F11-A9BE7EC9B35C}" xr6:coauthVersionLast="47" xr6:coauthVersionMax="47" xr10:uidLastSave="{00000000-0000-0000-0000-000000000000}"/>
  <bookViews>
    <workbookView xWindow="-120" yWindow="-120" windowWidth="29040" windowHeight="15720" activeTab="2" xr2:uid="{145D0042-0CBE-48BE-846C-2BE8EAD29D31}"/>
  </bookViews>
  <sheets>
    <sheet name="DATA" sheetId="3" r:id="rId1"/>
    <sheet name="FRONTEND" sheetId="4" r:id="rId2"/>
    <sheet name="CNN-BE" sheetId="5" r:id="rId3"/>
    <sheet name="GRU-BE" sheetId="6" r:id="rId4"/>
    <sheet name="ATTN-BE" sheetId="7" r:id="rId5"/>
    <sheet name="EVAL" sheetId="11" r:id="rId6"/>
    <sheet name="||" sheetId="10" r:id="rId7"/>
    <sheet name="CONVTEST" sheetId="9" r:id="rId8"/>
    <sheet name="GRU" sheetId="1" r:id="rId9"/>
    <sheet name="LMSPEC" sheetId="2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6" i="5" l="1"/>
  <c r="E16" i="5"/>
  <c r="D17" i="5"/>
  <c r="E17" i="5"/>
  <c r="D18" i="5"/>
  <c r="E18" i="5"/>
  <c r="D19" i="5"/>
  <c r="E19" i="5"/>
  <c r="D20" i="5"/>
  <c r="E20" i="5"/>
  <c r="E15" i="5"/>
  <c r="D15" i="5"/>
  <c r="R82" i="11"/>
  <c r="R80" i="11"/>
  <c r="R78" i="11"/>
  <c r="R76" i="11"/>
  <c r="Q66" i="11" a="1"/>
  <c r="Q66" i="11" s="1"/>
  <c r="R88" i="11" s="1"/>
  <c r="AB71" i="11" a="1"/>
  <c r="AB71" i="11" s="1"/>
  <c r="R60" i="11"/>
  <c r="R58" i="11"/>
  <c r="R52" i="11"/>
  <c r="Q36" i="11" a="1"/>
  <c r="Q36" i="11" s="1"/>
  <c r="R54" i="11" s="1"/>
  <c r="AB41" i="11" a="1"/>
  <c r="AB41" i="11" s="1"/>
  <c r="AB11" i="11" a="1"/>
  <c r="AB11" i="11" s="1"/>
  <c r="R25" i="11"/>
  <c r="R17" i="11"/>
  <c r="Q6" i="11" a="1"/>
  <c r="Q6" i="11" s="1"/>
  <c r="R28" i="11" s="1"/>
  <c r="L11" i="11"/>
  <c r="M11" i="11"/>
  <c r="N11" i="11"/>
  <c r="L12" i="11"/>
  <c r="M12" i="11"/>
  <c r="N12" i="11"/>
  <c r="L13" i="11"/>
  <c r="M13" i="11"/>
  <c r="N13" i="11"/>
  <c r="L14" i="11"/>
  <c r="M14" i="11"/>
  <c r="N14" i="11"/>
  <c r="L15" i="11"/>
  <c r="M15" i="11"/>
  <c r="N15" i="11"/>
  <c r="L16" i="11"/>
  <c r="M16" i="11"/>
  <c r="N16" i="11"/>
  <c r="L6" i="11"/>
  <c r="M6" i="11"/>
  <c r="N6" i="11"/>
  <c r="L7" i="11"/>
  <c r="M7" i="11"/>
  <c r="N7" i="11"/>
  <c r="L8" i="11"/>
  <c r="M8" i="11"/>
  <c r="N8" i="11"/>
  <c r="R66" i="11" s="1" a="1"/>
  <c r="L9" i="11"/>
  <c r="M9" i="11"/>
  <c r="N9" i="11"/>
  <c r="L10" i="11"/>
  <c r="M10" i="11"/>
  <c r="N10" i="11"/>
  <c r="L5" i="11"/>
  <c r="R5" i="11" s="1"/>
  <c r="S11" i="11" s="1"/>
  <c r="M5" i="11"/>
  <c r="R35" i="11" s="1"/>
  <c r="N5" i="11"/>
  <c r="R65" i="11" s="1"/>
  <c r="S83" i="11" s="1"/>
  <c r="BG73" i="7"/>
  <c r="BF73" i="7"/>
  <c r="BG62" i="7"/>
  <c r="BF62" i="7"/>
  <c r="BI62" i="7" s="1"/>
  <c r="G3" i="7"/>
  <c r="G2" i="7"/>
  <c r="I5" i="3"/>
  <c r="J5" i="3"/>
  <c r="L6" i="3"/>
  <c r="M6" i="3"/>
  <c r="J8" i="3"/>
  <c r="K8" i="3"/>
  <c r="M9" i="3"/>
  <c r="J4" i="3"/>
  <c r="M2" i="3"/>
  <c r="K2" i="3"/>
  <c r="K5" i="3" s="1"/>
  <c r="D2" i="2"/>
  <c r="E2" i="2"/>
  <c r="F2" i="2"/>
  <c r="G2" i="2"/>
  <c r="H2" i="2"/>
  <c r="I2" i="2"/>
  <c r="J2" i="2"/>
  <c r="K2" i="2"/>
  <c r="L2" i="2"/>
  <c r="M2" i="2"/>
  <c r="N2" i="2"/>
  <c r="O2" i="2"/>
  <c r="P2" i="2"/>
  <c r="Q2" i="2"/>
  <c r="R2" i="2"/>
  <c r="S2" i="2"/>
  <c r="T2" i="2"/>
  <c r="U2" i="2"/>
  <c r="V2" i="2"/>
  <c r="W2" i="2"/>
  <c r="X2" i="2"/>
  <c r="Y2" i="2"/>
  <c r="Z2" i="2"/>
  <c r="C2" i="2"/>
  <c r="S7" i="1" a="1"/>
  <c r="S7" i="1" s="1"/>
  <c r="D41" i="1" a="1"/>
  <c r="D41" i="1" s="1"/>
  <c r="D36" i="1" a="1"/>
  <c r="D36" i="1" s="1"/>
  <c r="D18" i="1" a="1"/>
  <c r="D18" i="1" s="1"/>
  <c r="D13" i="1" a="1"/>
  <c r="D13" i="1" s="1"/>
  <c r="H5" i="1" a="1"/>
  <c r="H5" i="1" s="1"/>
  <c r="H3" i="1" a="1"/>
  <c r="R42" i="11" l="1"/>
  <c r="R86" i="11"/>
  <c r="R36" i="11" a="1"/>
  <c r="S52" i="11" s="1"/>
  <c r="R6" i="11" a="1"/>
  <c r="R6" i="11" s="1"/>
  <c r="S28" i="11" s="1"/>
  <c r="R84" i="11"/>
  <c r="S15" i="11"/>
  <c r="R44" i="11"/>
  <c r="U44" i="11" s="1"/>
  <c r="R72" i="11"/>
  <c r="S23" i="11"/>
  <c r="R50" i="11"/>
  <c r="R73" i="11"/>
  <c r="R90" i="11"/>
  <c r="T90" i="11" s="1"/>
  <c r="S53" i="11"/>
  <c r="S45" i="11"/>
  <c r="S57" i="11"/>
  <c r="S49" i="11"/>
  <c r="S41" i="11"/>
  <c r="R36" i="11"/>
  <c r="S48" i="11"/>
  <c r="W48" i="11" s="1"/>
  <c r="S60" i="11"/>
  <c r="X60" i="11" s="1"/>
  <c r="S44" i="11"/>
  <c r="S59" i="11"/>
  <c r="S51" i="11"/>
  <c r="T51" i="11" s="1"/>
  <c r="S43" i="11"/>
  <c r="W43" i="11" s="1"/>
  <c r="S56" i="11"/>
  <c r="S55" i="11"/>
  <c r="S47" i="11"/>
  <c r="W47" i="11" s="1"/>
  <c r="R66" i="11"/>
  <c r="S89" i="11"/>
  <c r="S85" i="11"/>
  <c r="S81" i="11"/>
  <c r="S77" i="11"/>
  <c r="S90" i="11"/>
  <c r="X90" i="11" s="1"/>
  <c r="S86" i="11"/>
  <c r="W86" i="11" s="1"/>
  <c r="S82" i="11"/>
  <c r="W82" i="11" s="1"/>
  <c r="S78" i="11"/>
  <c r="S74" i="11"/>
  <c r="S73" i="11"/>
  <c r="X73" i="11" s="1"/>
  <c r="X78" i="11"/>
  <c r="S16" i="11"/>
  <c r="S24" i="11"/>
  <c r="R16" i="11"/>
  <c r="R24" i="11"/>
  <c r="R43" i="11"/>
  <c r="T43" i="11" s="1"/>
  <c r="R51" i="11"/>
  <c r="R59" i="11"/>
  <c r="S25" i="11"/>
  <c r="S79" i="11"/>
  <c r="S87" i="11"/>
  <c r="S19" i="11"/>
  <c r="S27" i="11"/>
  <c r="R12" i="11"/>
  <c r="R20" i="11"/>
  <c r="R47" i="11"/>
  <c r="R55" i="11"/>
  <c r="W55" i="11" s="1"/>
  <c r="R74" i="11"/>
  <c r="R18" i="11"/>
  <c r="R26" i="11"/>
  <c r="S13" i="11"/>
  <c r="S21" i="11"/>
  <c r="R13" i="11"/>
  <c r="R21" i="11"/>
  <c r="R29" i="11"/>
  <c r="R48" i="11"/>
  <c r="R56" i="11"/>
  <c r="T56" i="11" s="1"/>
  <c r="S71" i="11"/>
  <c r="R77" i="11"/>
  <c r="X77" i="11" s="1"/>
  <c r="R81" i="11"/>
  <c r="R85" i="11"/>
  <c r="X85" i="11" s="1"/>
  <c r="R89" i="11"/>
  <c r="S75" i="11"/>
  <c r="R46" i="11"/>
  <c r="S14" i="11"/>
  <c r="S22" i="11"/>
  <c r="S30" i="11"/>
  <c r="R14" i="11"/>
  <c r="R22" i="11"/>
  <c r="R30" i="11"/>
  <c r="X74" i="11"/>
  <c r="T78" i="11"/>
  <c r="T73" i="11"/>
  <c r="U73" i="11"/>
  <c r="W73" i="11"/>
  <c r="U78" i="11"/>
  <c r="W78" i="11"/>
  <c r="W90" i="11"/>
  <c r="T44" i="11"/>
  <c r="X44" i="11"/>
  <c r="T59" i="11"/>
  <c r="I4" i="3"/>
  <c r="A2" i="4" s="1" a="1"/>
  <c r="J9" i="3"/>
  <c r="L7" i="3"/>
  <c r="I6" i="3"/>
  <c r="M4" i="3"/>
  <c r="I9" i="3"/>
  <c r="K7" i="3"/>
  <c r="M5" i="3"/>
  <c r="BH62" i="7"/>
  <c r="L9" i="3"/>
  <c r="I8" i="3"/>
  <c r="K6" i="3"/>
  <c r="K9" i="3"/>
  <c r="M7" i="3"/>
  <c r="J6" i="3"/>
  <c r="L4" i="3"/>
  <c r="M8" i="3"/>
  <c r="J7" i="3"/>
  <c r="L5" i="3"/>
  <c r="K4" i="3"/>
  <c r="L8" i="3"/>
  <c r="I7" i="3"/>
  <c r="BI73" i="7"/>
  <c r="BH73" i="7"/>
  <c r="H3" i="1"/>
  <c r="W52" i="11" l="1"/>
  <c r="X52" i="11"/>
  <c r="U52" i="11"/>
  <c r="T52" i="11"/>
  <c r="X55" i="11"/>
  <c r="U90" i="11"/>
  <c r="S26" i="11"/>
  <c r="X43" i="11"/>
  <c r="S18" i="11"/>
  <c r="S12" i="11"/>
  <c r="X48" i="11"/>
  <c r="X56" i="11"/>
  <c r="U60" i="11"/>
  <c r="W44" i="11"/>
  <c r="S20" i="11"/>
  <c r="S17" i="11"/>
  <c r="W81" i="11"/>
  <c r="S29" i="11"/>
  <c r="X89" i="11"/>
  <c r="U89" i="11"/>
  <c r="T60" i="11"/>
  <c r="U85" i="11"/>
  <c r="W60" i="11"/>
  <c r="W85" i="11"/>
  <c r="W89" i="11"/>
  <c r="W77" i="11"/>
  <c r="W74" i="11"/>
  <c r="U74" i="11"/>
  <c r="T74" i="11"/>
  <c r="U55" i="11"/>
  <c r="X82" i="11"/>
  <c r="X86" i="11"/>
  <c r="U47" i="11"/>
  <c r="S50" i="11"/>
  <c r="S58" i="11"/>
  <c r="S42" i="11"/>
  <c r="S54" i="11"/>
  <c r="S46" i="11"/>
  <c r="X46" i="11" s="1"/>
  <c r="T82" i="11"/>
  <c r="W56" i="11"/>
  <c r="T55" i="11"/>
  <c r="U59" i="11"/>
  <c r="X59" i="11"/>
  <c r="W59" i="11"/>
  <c r="U86" i="11"/>
  <c r="X81" i="11"/>
  <c r="U81" i="11"/>
  <c r="T81" i="11"/>
  <c r="T89" i="11"/>
  <c r="T85" i="11"/>
  <c r="U48" i="11"/>
  <c r="U77" i="11"/>
  <c r="T86" i="11"/>
  <c r="U46" i="11"/>
  <c r="T46" i="11"/>
  <c r="W46" i="11"/>
  <c r="T48" i="11"/>
  <c r="X47" i="11"/>
  <c r="W51" i="11"/>
  <c r="X51" i="11"/>
  <c r="U51" i="11"/>
  <c r="U82" i="11"/>
  <c r="T47" i="11"/>
  <c r="U56" i="11"/>
  <c r="T77" i="11"/>
  <c r="U43" i="11"/>
  <c r="S72" i="11"/>
  <c r="S88" i="11"/>
  <c r="S84" i="11"/>
  <c r="S80" i="11"/>
  <c r="S76" i="11"/>
  <c r="A2" i="4"/>
  <c r="CT7" i="7" a="1"/>
  <c r="CT7" i="7" s="1"/>
  <c r="CK7" i="6" a="1"/>
  <c r="CK7" i="6" s="1"/>
  <c r="AL37" i="5" a="1"/>
  <c r="AL37" i="5" s="1"/>
  <c r="C15" i="4" a="1"/>
  <c r="Q21" i="4" s="1" a="1"/>
  <c r="Q21" i="4" s="1"/>
  <c r="Q30" i="4" s="1"/>
  <c r="B28" i="4"/>
  <c r="B35" i="4" s="1" a="1"/>
  <c r="B30" i="4"/>
  <c r="B29" i="4"/>
  <c r="B27" i="4"/>
  <c r="B31" i="4"/>
  <c r="B26" i="4"/>
  <c r="O20" i="4" a="1"/>
  <c r="O20" i="4" s="1"/>
  <c r="O29" i="4" s="1"/>
  <c r="Q20" i="4" a="1"/>
  <c r="Q20" i="4" s="1"/>
  <c r="Q29" i="4" s="1"/>
  <c r="P21" i="4" a="1"/>
  <c r="P21" i="4" s="1"/>
  <c r="P30" i="4" s="1"/>
  <c r="N22" i="4" a="1"/>
  <c r="N22" i="4" s="1"/>
  <c r="N31" i="4" s="1"/>
  <c r="O23" i="4" a="1"/>
  <c r="O23" i="4" s="1"/>
  <c r="O32" i="4" s="1"/>
  <c r="P23" i="4" a="1"/>
  <c r="P23" i="4" s="1"/>
  <c r="P32" i="4" s="1"/>
  <c r="Q23" i="4" a="1"/>
  <c r="Q23" i="4" s="1"/>
  <c r="Q32" i="4" s="1"/>
  <c r="P24" i="4" a="1"/>
  <c r="P24" i="4" s="1"/>
  <c r="P33" i="4" s="1"/>
  <c r="Q24" i="4" a="1"/>
  <c r="Q24" i="4" s="1"/>
  <c r="Q33" i="4" s="1"/>
  <c r="Q19" i="4" a="1"/>
  <c r="Q19" i="4" s="1"/>
  <c r="Q28" i="4" s="1"/>
  <c r="C15" i="4"/>
  <c r="C13" i="1" a="1"/>
  <c r="C13" i="1" s="1"/>
  <c r="C46" i="1" a="1"/>
  <c r="C41" i="1" a="1"/>
  <c r="C36" i="1" a="1"/>
  <c r="C23" i="1" a="1"/>
  <c r="C23" i="1" s="1"/>
  <c r="C18" i="1" a="1"/>
  <c r="T80" i="11" l="1"/>
  <c r="X80" i="11"/>
  <c r="U80" i="11"/>
  <c r="W80" i="11"/>
  <c r="W84" i="11"/>
  <c r="X84" i="11"/>
  <c r="T84" i="11"/>
  <c r="U84" i="11"/>
  <c r="X88" i="11"/>
  <c r="T88" i="11"/>
  <c r="U88" i="11"/>
  <c r="W88" i="11"/>
  <c r="T72" i="11"/>
  <c r="W72" i="11"/>
  <c r="X72" i="11"/>
  <c r="U72" i="11"/>
  <c r="W54" i="11"/>
  <c r="U54" i="11"/>
  <c r="T54" i="11"/>
  <c r="X54" i="11"/>
  <c r="T42" i="11"/>
  <c r="W42" i="11"/>
  <c r="X42" i="11"/>
  <c r="U42" i="11"/>
  <c r="X58" i="11"/>
  <c r="W58" i="11"/>
  <c r="T58" i="11"/>
  <c r="U58" i="11"/>
  <c r="T50" i="11"/>
  <c r="U50" i="11"/>
  <c r="X50" i="11"/>
  <c r="W50" i="11"/>
  <c r="W76" i="11"/>
  <c r="T76" i="11"/>
  <c r="X76" i="11"/>
  <c r="U76" i="11"/>
  <c r="P20" i="4" a="1"/>
  <c r="P20" i="4" s="1"/>
  <c r="P29" i="4" s="1"/>
  <c r="O24" i="4" a="1"/>
  <c r="O24" i="4" s="1"/>
  <c r="O33" i="4" s="1"/>
  <c r="N24" i="4" a="1"/>
  <c r="N24" i="4" s="1"/>
  <c r="N33" i="4" s="1"/>
  <c r="Q22" i="4" a="1"/>
  <c r="Q22" i="4" s="1"/>
  <c r="Q31" i="4" s="1"/>
  <c r="M22" i="4" a="1"/>
  <c r="M22" i="4" s="1"/>
  <c r="M31" i="4" s="1"/>
  <c r="CI33" i="6" a="1"/>
  <c r="CI33" i="6" s="1"/>
  <c r="AJ63" i="5" a="1"/>
  <c r="AJ63" i="5" s="1"/>
  <c r="CR33" i="7" a="1"/>
  <c r="CR33" i="7" s="1"/>
  <c r="N23" i="4" a="1"/>
  <c r="N23" i="4" s="1"/>
  <c r="N32" i="4" s="1"/>
  <c r="M23" i="4" a="1"/>
  <c r="M23" i="4" s="1"/>
  <c r="M32" i="4" s="1"/>
  <c r="P22" i="4" a="1"/>
  <c r="P22" i="4" s="1"/>
  <c r="P31" i="4" s="1"/>
  <c r="O19" i="4" a="1"/>
  <c r="O19" i="4" s="1"/>
  <c r="O28" i="4" s="1"/>
  <c r="M24" i="4" a="1"/>
  <c r="M24" i="4" s="1"/>
  <c r="M33" i="4" s="1"/>
  <c r="O21" i="4" a="1"/>
  <c r="O21" i="4" s="1"/>
  <c r="O30" i="4" s="1"/>
  <c r="P19" i="4" a="1"/>
  <c r="P19" i="4" s="1"/>
  <c r="P28" i="4" s="1"/>
  <c r="O22" i="4" a="1"/>
  <c r="O22" i="4" s="1"/>
  <c r="O31" i="4" s="1"/>
  <c r="M42" i="4" s="1"/>
  <c r="M52" i="4" s="1"/>
  <c r="AB40" i="5"/>
  <c r="N21" i="4" a="1"/>
  <c r="N21" i="4" s="1"/>
  <c r="N30" i="4" s="1"/>
  <c r="N20" i="4" a="1"/>
  <c r="N20" i="4" s="1"/>
  <c r="N29" i="4" s="1"/>
  <c r="M20" i="4" a="1"/>
  <c r="M20" i="4" s="1"/>
  <c r="M29" i="4" s="1"/>
  <c r="M21" i="4" a="1"/>
  <c r="M21" i="4" s="1"/>
  <c r="M30" i="4" s="1"/>
  <c r="N19" i="4" a="1"/>
  <c r="N19" i="4" s="1"/>
  <c r="N28" i="4" s="1"/>
  <c r="M19" i="4" a="1"/>
  <c r="M19" i="4" s="1"/>
  <c r="M28" i="4" s="1"/>
  <c r="B35" i="4"/>
  <c r="C39" i="4" s="1"/>
  <c r="H39" i="4"/>
  <c r="D39" i="4"/>
  <c r="E39" i="4"/>
  <c r="F39" i="4"/>
  <c r="G39" i="4"/>
  <c r="M44" i="4"/>
  <c r="M54" i="4" s="1"/>
  <c r="M43" i="4"/>
  <c r="M53" i="4" s="1"/>
  <c r="C46" i="1"/>
  <c r="E42" i="1"/>
  <c r="E53" i="1" s="1"/>
  <c r="C41" i="1"/>
  <c r="E41" i="1" s="1"/>
  <c r="C36" i="1"/>
  <c r="E36" i="1" s="1"/>
  <c r="D46" i="1" s="1"/>
  <c r="E37" i="1"/>
  <c r="D47" i="1" s="1"/>
  <c r="E19" i="1"/>
  <c r="E30" i="1" s="1"/>
  <c r="C18" i="1"/>
  <c r="E18" i="1" s="1"/>
  <c r="E14" i="1"/>
  <c r="D24" i="1" s="1"/>
  <c r="E13" i="1"/>
  <c r="D23" i="1" s="1"/>
  <c r="E23" i="1" s="1" a="1"/>
  <c r="AB36" i="5" l="1"/>
  <c r="CA6" i="6"/>
  <c r="CJ6" i="7"/>
  <c r="AB39" i="5"/>
  <c r="AB38" i="5"/>
  <c r="AG38" i="5" s="1"/>
  <c r="AE47" i="5" s="1"/>
  <c r="CJ8" i="7"/>
  <c r="CA8" i="6"/>
  <c r="CJ9" i="7"/>
  <c r="CA9" i="6"/>
  <c r="CA10" i="6"/>
  <c r="CJ10" i="7"/>
  <c r="CJ11" i="7"/>
  <c r="CA11" i="6"/>
  <c r="AB41" i="5"/>
  <c r="AG41" i="5" s="1"/>
  <c r="AE50" i="5" s="1"/>
  <c r="AB37" i="5"/>
  <c r="AE37" i="5" s="1"/>
  <c r="AC46" i="5" s="1"/>
  <c r="CA7" i="6"/>
  <c r="CJ7" i="7"/>
  <c r="AG40" i="5"/>
  <c r="AE49" i="5" s="1"/>
  <c r="AF40" i="5"/>
  <c r="AD49" i="5" s="1"/>
  <c r="AE40" i="5"/>
  <c r="AC49" i="5" s="1"/>
  <c r="AD40" i="5"/>
  <c r="AB49" i="5" s="1"/>
  <c r="AD41" i="5"/>
  <c r="AB50" i="5" s="1"/>
  <c r="AF41" i="5"/>
  <c r="AD50" i="5" s="1"/>
  <c r="AF37" i="5"/>
  <c r="AD46" i="5" s="1"/>
  <c r="AD38" i="5"/>
  <c r="AB47" i="5" s="1"/>
  <c r="AC36" i="5"/>
  <c r="AA45" i="5" s="1"/>
  <c r="AF36" i="5"/>
  <c r="AD45" i="5" s="1"/>
  <c r="AE36" i="5"/>
  <c r="AC45" i="5" s="1"/>
  <c r="T15" i="4" a="1"/>
  <c r="T15" i="4" s="1"/>
  <c r="T19" i="4" s="1"/>
  <c r="U15" i="4" a="1"/>
  <c r="U15" i="4" s="1"/>
  <c r="U19" i="4" s="1"/>
  <c r="V15" i="4" a="1"/>
  <c r="V15" i="4" s="1"/>
  <c r="V19" i="4" s="1"/>
  <c r="W15" i="4" a="1"/>
  <c r="W15" i="4" s="1"/>
  <c r="W19" i="4" s="1"/>
  <c r="X15" i="4" a="1"/>
  <c r="X15" i="4" s="1"/>
  <c r="X19" i="4" s="1"/>
  <c r="Y15" i="4" a="1"/>
  <c r="Y15" i="4" s="1"/>
  <c r="Y19" i="4" s="1"/>
  <c r="M40" i="4"/>
  <c r="M50" i="4" s="1"/>
  <c r="M41" i="4"/>
  <c r="M51" i="4" s="1"/>
  <c r="M39" i="4"/>
  <c r="M49" i="4" s="1"/>
  <c r="C52" i="1" a="1"/>
  <c r="E52" i="1"/>
  <c r="C29" i="1" a="1"/>
  <c r="C29" i="1" s="1"/>
  <c r="E29" i="1"/>
  <c r="F24" i="1"/>
  <c r="E23" i="1"/>
  <c r="F23" i="1" s="1"/>
  <c r="E46" i="1" a="1"/>
  <c r="CM9" i="7" l="1"/>
  <c r="CK18" i="7" s="1"/>
  <c r="CN9" i="7"/>
  <c r="CL18" i="7" s="1"/>
  <c r="CO9" i="7"/>
  <c r="CM18" i="7" s="1"/>
  <c r="CL9" i="7"/>
  <c r="CJ18" i="7" s="1"/>
  <c r="CB8" i="6"/>
  <c r="BZ17" i="6" s="1"/>
  <c r="CC8" i="6"/>
  <c r="CA17" i="6" s="1"/>
  <c r="CD8" i="6"/>
  <c r="CB17" i="6" s="1"/>
  <c r="CF8" i="6"/>
  <c r="CD17" i="6" s="1"/>
  <c r="AE41" i="5"/>
  <c r="AC50" i="5" s="1"/>
  <c r="AE38" i="5"/>
  <c r="AC47" i="5" s="1"/>
  <c r="CM11" i="7"/>
  <c r="CK20" i="7" s="1"/>
  <c r="CN11" i="7"/>
  <c r="CL20" i="7" s="1"/>
  <c r="CL11" i="7"/>
  <c r="CJ20" i="7" s="1"/>
  <c r="CO11" i="7"/>
  <c r="CM20" i="7" s="1"/>
  <c r="AD39" i="5"/>
  <c r="AB48" i="5" s="1"/>
  <c r="AG39" i="5"/>
  <c r="AE48" i="5" s="1"/>
  <c r="AE39" i="5"/>
  <c r="AC48" i="5" s="1"/>
  <c r="AF39" i="5"/>
  <c r="AD48" i="5" s="1"/>
  <c r="CM10" i="7"/>
  <c r="CK19" i="7" s="1"/>
  <c r="CN10" i="7"/>
  <c r="CL19" i="7" s="1"/>
  <c r="CO10" i="7"/>
  <c r="CM19" i="7" s="1"/>
  <c r="CL10" i="7"/>
  <c r="CJ19" i="7" s="1"/>
  <c r="CM6" i="7"/>
  <c r="CK15" i="7" s="1"/>
  <c r="CN6" i="7"/>
  <c r="CL15" i="7" s="1"/>
  <c r="CK6" i="7"/>
  <c r="CI15" i="7" s="1"/>
  <c r="CL6" i="7"/>
  <c r="CJ15" i="7" s="1"/>
  <c r="CE7" i="6"/>
  <c r="CC16" i="6" s="1"/>
  <c r="CD7" i="6"/>
  <c r="CB16" i="6" s="1"/>
  <c r="CB7" i="6"/>
  <c r="BZ16" i="6" s="1"/>
  <c r="CC7" i="6"/>
  <c r="CA16" i="6" s="1"/>
  <c r="CM8" i="7"/>
  <c r="CK17" i="7" s="1"/>
  <c r="CO8" i="7"/>
  <c r="CM17" i="7" s="1"/>
  <c r="CK8" i="7"/>
  <c r="CI17" i="7" s="1"/>
  <c r="CL8" i="7"/>
  <c r="CJ17" i="7" s="1"/>
  <c r="CF10" i="6"/>
  <c r="CD19" i="6" s="1"/>
  <c r="CE10" i="6"/>
  <c r="CC19" i="6" s="1"/>
  <c r="CD10" i="6"/>
  <c r="CB19" i="6" s="1"/>
  <c r="CC10" i="6"/>
  <c r="CA19" i="6" s="1"/>
  <c r="CC6" i="6"/>
  <c r="CA15" i="6" s="1"/>
  <c r="CD6" i="6"/>
  <c r="CB15" i="6" s="1"/>
  <c r="CE6" i="6"/>
  <c r="CC15" i="6" s="1"/>
  <c r="CB6" i="6"/>
  <c r="BZ15" i="6" s="1"/>
  <c r="CD11" i="6"/>
  <c r="CB20" i="6" s="1"/>
  <c r="CF11" i="6"/>
  <c r="CD20" i="6" s="1"/>
  <c r="CE11" i="6"/>
  <c r="CC20" i="6" s="1"/>
  <c r="CC11" i="6"/>
  <c r="CA20" i="6" s="1"/>
  <c r="AD37" i="5"/>
  <c r="AB46" i="5" s="1"/>
  <c r="CL7" i="7"/>
  <c r="CJ16" i="7" s="1"/>
  <c r="CM7" i="7"/>
  <c r="CK16" i="7" s="1"/>
  <c r="CK7" i="7"/>
  <c r="CI16" i="7" s="1"/>
  <c r="CN7" i="7"/>
  <c r="CL16" i="7" s="1"/>
  <c r="CF9" i="6"/>
  <c r="CD18" i="6" s="1"/>
  <c r="CE9" i="6"/>
  <c r="CC18" i="6" s="1"/>
  <c r="CD9" i="6"/>
  <c r="CB18" i="6" s="1"/>
  <c r="CC9" i="6"/>
  <c r="CA18" i="6" s="1"/>
  <c r="T23" i="4" a="1"/>
  <c r="N50" i="4" s="1"/>
  <c r="C52" i="1"/>
  <c r="F47" i="1"/>
  <c r="D53" i="1" s="1"/>
  <c r="F53" i="1" s="1"/>
  <c r="E46" i="1"/>
  <c r="F46" i="1" s="1"/>
  <c r="D29" i="1"/>
  <c r="F29" i="1" s="1"/>
  <c r="D30" i="1"/>
  <c r="F30" i="1" s="1"/>
  <c r="N53" i="4" l="1"/>
  <c r="N52" i="4"/>
  <c r="N51" i="4"/>
  <c r="T23" i="4"/>
  <c r="N49" i="4" s="1"/>
  <c r="N54" i="4"/>
  <c r="D52" i="1"/>
  <c r="F52" i="1" s="1"/>
  <c r="C4" i="6" l="1" a="1"/>
  <c r="C4" i="7" a="1"/>
  <c r="C4" i="5" a="1"/>
  <c r="J7" i="7" l="1" a="1"/>
  <c r="J7" i="7" s="1"/>
  <c r="C4" i="7"/>
  <c r="L17" i="7" a="1"/>
  <c r="L17" i="7" s="1"/>
  <c r="N17" i="7" a="1"/>
  <c r="N17" i="7" s="1"/>
  <c r="J17" i="7" a="1"/>
  <c r="J17" i="7" s="1"/>
  <c r="P17" i="7" s="1" a="1"/>
  <c r="N7" i="7" a="1"/>
  <c r="N7" i="7" s="1"/>
  <c r="L7" i="7" a="1"/>
  <c r="L7" i="7" s="1"/>
  <c r="C4" i="6"/>
  <c r="C14" i="6" a="1"/>
  <c r="AL8" i="5"/>
  <c r="AM9" i="5"/>
  <c r="AM10" i="5"/>
  <c r="AM6" i="5"/>
  <c r="AL7" i="5"/>
  <c r="AL9" i="5"/>
  <c r="AL11" i="5"/>
  <c r="AM7" i="5"/>
  <c r="AM8" i="5"/>
  <c r="AL10" i="5"/>
  <c r="AM11" i="5"/>
  <c r="C4" i="5"/>
  <c r="AB22" i="7" l="1" a="1"/>
  <c r="AB22" i="7" s="1"/>
  <c r="Z21" i="7" a="1"/>
  <c r="Z21" i="7" s="1"/>
  <c r="X20" i="7" a="1"/>
  <c r="X20" i="7" s="1"/>
  <c r="AB18" i="7" a="1"/>
  <c r="AB18" i="7" s="1"/>
  <c r="Y18" i="7" a="1"/>
  <c r="Y18" i="7" s="1"/>
  <c r="AB21" i="7" a="1"/>
  <c r="AB21" i="7" s="1"/>
  <c r="X19" i="7" a="1"/>
  <c r="X19" i="7" s="1"/>
  <c r="P17" i="7"/>
  <c r="W17" i="7" s="1" a="1"/>
  <c r="W17" i="7" s="1"/>
  <c r="AA22" i="7" a="1"/>
  <c r="AA22" i="7" s="1"/>
  <c r="Y21" i="7" a="1"/>
  <c r="Y21" i="7" s="1"/>
  <c r="W20" i="7" a="1"/>
  <c r="W20" i="7" s="1"/>
  <c r="AA18" i="7" a="1"/>
  <c r="AA18" i="7" s="1"/>
  <c r="Y22" i="7" a="1"/>
  <c r="Y22" i="7" s="1"/>
  <c r="W21" i="7" a="1"/>
  <c r="W21" i="7" s="1"/>
  <c r="AA19" i="7" a="1"/>
  <c r="AA19" i="7" s="1"/>
  <c r="AB20" i="7" a="1"/>
  <c r="AB20" i="7" s="1"/>
  <c r="AA20" i="7" a="1"/>
  <c r="AA20" i="7" s="1"/>
  <c r="AA21" i="7" a="1"/>
  <c r="AA21" i="7" s="1"/>
  <c r="W19" i="7" a="1"/>
  <c r="W19" i="7" s="1"/>
  <c r="Z22" i="7" a="1"/>
  <c r="Z22" i="7" s="1"/>
  <c r="X21" i="7" a="1"/>
  <c r="X21" i="7" s="1"/>
  <c r="AB19" i="7" a="1"/>
  <c r="AB19" i="7" s="1"/>
  <c r="Z18" i="7" a="1"/>
  <c r="Z18" i="7" s="1"/>
  <c r="X22" i="7" a="1"/>
  <c r="X22" i="7" s="1"/>
  <c r="Z19" i="7" a="1"/>
  <c r="Z19" i="7" s="1"/>
  <c r="X18" i="7" a="1"/>
  <c r="X18" i="7" s="1"/>
  <c r="W22" i="7" a="1"/>
  <c r="W22" i="7" s="1"/>
  <c r="Y19" i="7" a="1"/>
  <c r="Y19" i="7" s="1"/>
  <c r="W18" i="7" a="1"/>
  <c r="W18" i="7" s="1"/>
  <c r="Z20" i="7" a="1"/>
  <c r="Z20" i="7" s="1"/>
  <c r="Y20" i="7" a="1"/>
  <c r="Y20" i="7" s="1"/>
  <c r="Y17" i="7" a="1"/>
  <c r="Y17" i="7" s="1"/>
  <c r="P7" i="7" a="1"/>
  <c r="C14" i="6"/>
  <c r="J17" i="5" a="1"/>
  <c r="J17" i="5" s="1"/>
  <c r="J26" i="5" s="1"/>
  <c r="AL6" i="5"/>
  <c r="J20" i="5" a="1"/>
  <c r="J20" i="5" s="1"/>
  <c r="J29" i="5" s="1"/>
  <c r="I20" i="5" a="1"/>
  <c r="I20" i="5" s="1"/>
  <c r="I29" i="5" s="1"/>
  <c r="J22" i="5" a="1"/>
  <c r="J22" i="5" s="1"/>
  <c r="J31" i="5" s="1"/>
  <c r="I22" i="5" a="1"/>
  <c r="I22" i="5" s="1"/>
  <c r="I31" i="5" s="1"/>
  <c r="I19" i="5" a="1"/>
  <c r="I19" i="5" s="1"/>
  <c r="I28" i="5" s="1"/>
  <c r="J19" i="5" a="1"/>
  <c r="J19" i="5" s="1"/>
  <c r="J28" i="5" s="1"/>
  <c r="I21" i="5" a="1"/>
  <c r="I21" i="5" s="1"/>
  <c r="I30" i="5" s="1"/>
  <c r="J21" i="5" a="1"/>
  <c r="J21" i="5" s="1"/>
  <c r="J30" i="5" s="1"/>
  <c r="X17" i="7" l="1" a="1"/>
  <c r="X17" i="7" s="1"/>
  <c r="Z17" i="7" a="1"/>
  <c r="Z17" i="7" s="1"/>
  <c r="AA12" i="7" a="1"/>
  <c r="AA12" i="7" s="1"/>
  <c r="Y11" i="7" a="1"/>
  <c r="Y11" i="7" s="1"/>
  <c r="W10" i="7" a="1"/>
  <c r="W10" i="7" s="1"/>
  <c r="AA8" i="7" a="1"/>
  <c r="AA8" i="7" s="1"/>
  <c r="X11" i="7" a="1"/>
  <c r="X11" i="7" s="1"/>
  <c r="Z8" i="7" a="1"/>
  <c r="Z8" i="7" s="1"/>
  <c r="AB11" i="7" a="1"/>
  <c r="AB11" i="7" s="1"/>
  <c r="Y10" i="7" a="1"/>
  <c r="Y10" i="7" s="1"/>
  <c r="Z12" i="7" a="1"/>
  <c r="Z12" i="7" s="1"/>
  <c r="AB9" i="7" a="1"/>
  <c r="AB9" i="7" s="1"/>
  <c r="X12" i="7" a="1"/>
  <c r="X12" i="7" s="1"/>
  <c r="Z9" i="7" a="1"/>
  <c r="Z9" i="7" s="1"/>
  <c r="X8" i="7" a="1"/>
  <c r="X8" i="7" s="1"/>
  <c r="AA10" i="7" a="1"/>
  <c r="AA10" i="7" s="1"/>
  <c r="X9" i="7" a="1"/>
  <c r="X9" i="7" s="1"/>
  <c r="Z11" i="7" a="1"/>
  <c r="Z11" i="7" s="1"/>
  <c r="AB8" i="7" a="1"/>
  <c r="AB8" i="7" s="1"/>
  <c r="Y12" i="7" a="1"/>
  <c r="Y12" i="7" s="1"/>
  <c r="W11" i="7" a="1"/>
  <c r="W11" i="7" s="1"/>
  <c r="AA9" i="7" a="1"/>
  <c r="AA9" i="7" s="1"/>
  <c r="Y8" i="7" a="1"/>
  <c r="Y8" i="7" s="1"/>
  <c r="AB10" i="7" a="1"/>
  <c r="AB10" i="7" s="1"/>
  <c r="W12" i="7" a="1"/>
  <c r="W12" i="7" s="1"/>
  <c r="Y9" i="7" a="1"/>
  <c r="Y9" i="7" s="1"/>
  <c r="W8" i="7" a="1"/>
  <c r="W8" i="7" s="1"/>
  <c r="Z10" i="7" a="1"/>
  <c r="Z10" i="7" s="1"/>
  <c r="P7" i="7"/>
  <c r="W7" i="7" s="1" a="1"/>
  <c r="W7" i="7" s="1"/>
  <c r="AA11" i="7" a="1"/>
  <c r="AA11" i="7" s="1"/>
  <c r="W9" i="7" a="1"/>
  <c r="W9" i="7" s="1"/>
  <c r="AB12" i="7" a="1"/>
  <c r="AB12" i="7" s="1"/>
  <c r="X10" i="7" a="1"/>
  <c r="X10" i="7" s="1"/>
  <c r="X7" i="7" a="1"/>
  <c r="X7" i="7" s="1"/>
  <c r="Y7" i="7" a="1"/>
  <c r="Y7" i="7" s="1"/>
  <c r="AA17" i="7" a="1"/>
  <c r="AA17" i="7" s="1"/>
  <c r="K27" i="6" a="1"/>
  <c r="N27" i="6" a="1"/>
  <c r="AB17" i="7" a="1"/>
  <c r="AB17" i="7" s="1"/>
  <c r="V48" i="5"/>
  <c r="I18" i="5" a="1"/>
  <c r="I18" i="5" s="1"/>
  <c r="I27" i="5" s="1"/>
  <c r="I17" i="5" a="1"/>
  <c r="I17" i="5" s="1"/>
  <c r="I26" i="5" s="1"/>
  <c r="V43" i="5" s="1"/>
  <c r="J18" i="5" a="1"/>
  <c r="J18" i="5" s="1"/>
  <c r="J27" i="5" s="1"/>
  <c r="V46" i="5"/>
  <c r="X46" i="5" s="1"/>
  <c r="V45" i="5"/>
  <c r="X45" i="5" s="1"/>
  <c r="V47" i="5"/>
  <c r="I49" i="5"/>
  <c r="I64" i="5" s="1"/>
  <c r="M16" i="5" s="1"/>
  <c r="I39" i="5"/>
  <c r="I58" i="5" s="1"/>
  <c r="M10" i="5" s="1"/>
  <c r="I51" i="5"/>
  <c r="I66" i="5" s="1"/>
  <c r="M18" i="5" s="1"/>
  <c r="I41" i="5"/>
  <c r="I60" i="5" s="1"/>
  <c r="M12" i="5" s="1"/>
  <c r="I38" i="5"/>
  <c r="I57" i="5" s="1"/>
  <c r="M9" i="5" s="1"/>
  <c r="I48" i="5"/>
  <c r="I63" i="5" s="1"/>
  <c r="M15" i="5" s="1"/>
  <c r="I50" i="5"/>
  <c r="I65" i="5" s="1"/>
  <c r="M17" i="5" s="1"/>
  <c r="I40" i="5"/>
  <c r="I59" i="5" s="1"/>
  <c r="M11" i="5" s="1"/>
  <c r="Z7" i="7" l="1" a="1"/>
  <c r="Z7" i="7" s="1"/>
  <c r="AB7" i="7" a="1"/>
  <c r="AB7" i="7" s="1"/>
  <c r="AA7" i="7" a="1"/>
  <c r="AA7" i="7" s="1"/>
  <c r="K27" i="6"/>
  <c r="L27" i="6" s="1"/>
  <c r="L28" i="6"/>
  <c r="Q27" i="6" s="1" a="1"/>
  <c r="AD7" i="7" a="1"/>
  <c r="O28" i="6"/>
  <c r="N27" i="6"/>
  <c r="O27" i="6" s="1"/>
  <c r="AD17" i="7" a="1"/>
  <c r="V44" i="5"/>
  <c r="I47" i="5"/>
  <c r="I62" i="5" s="1"/>
  <c r="M14" i="5" s="1"/>
  <c r="I37" i="5"/>
  <c r="I56" i="5" s="1"/>
  <c r="M8" i="5" s="1"/>
  <c r="I46" i="5"/>
  <c r="I61" i="5" s="1"/>
  <c r="M13" i="5" s="1"/>
  <c r="I36" i="5"/>
  <c r="I55" i="5" s="1"/>
  <c r="M7" i="5" s="1"/>
  <c r="R28" i="6" l="1"/>
  <c r="Q27" i="6"/>
  <c r="R27" i="6" s="1"/>
  <c r="T27" i="6" a="1"/>
  <c r="AD7" i="7"/>
  <c r="J27" i="7" s="1" a="1"/>
  <c r="J27" i="7" s="1"/>
  <c r="M27" i="7" s="1" a="1"/>
  <c r="AD17" i="7"/>
  <c r="K27" i="7" a="1"/>
  <c r="K27" i="7" s="1"/>
  <c r="M22" i="5" a="1"/>
  <c r="J41" i="7" l="1" a="1"/>
  <c r="J40" i="7" a="1"/>
  <c r="J39" i="7" a="1"/>
  <c r="M27" i="7"/>
  <c r="J38" i="7" s="1" a="1"/>
  <c r="J43" i="7" a="1"/>
  <c r="J42" i="7" a="1"/>
  <c r="K63" i="6" a="1"/>
  <c r="T27" i="6"/>
  <c r="N33" i="6" a="1"/>
  <c r="K33" i="6" a="1"/>
  <c r="M30" i="5"/>
  <c r="M36" i="5" s="1"/>
  <c r="M22" i="5"/>
  <c r="M28" i="5" s="1"/>
  <c r="M29" i="5"/>
  <c r="M35" i="5" s="1"/>
  <c r="M34" i="5" l="1"/>
  <c r="E5" i="11" a="1"/>
  <c r="J39" i="7"/>
  <c r="M39" i="7" s="1"/>
  <c r="N39" i="7"/>
  <c r="J41" i="7"/>
  <c r="M41" i="7" s="1"/>
  <c r="N41" i="7"/>
  <c r="K63" i="6"/>
  <c r="N63" i="6" s="1"/>
  <c r="AF43" i="6"/>
  <c r="J42" i="7"/>
  <c r="M42" i="7" s="1"/>
  <c r="N42" i="7"/>
  <c r="K33" i="6"/>
  <c r="L33" i="6" s="1"/>
  <c r="L34" i="6"/>
  <c r="N33" i="6"/>
  <c r="O33" i="6" s="1"/>
  <c r="O34" i="6"/>
  <c r="U29" i="5" a="1"/>
  <c r="U29" i="5" s="1"/>
  <c r="U44" i="5" s="1"/>
  <c r="J40" i="7"/>
  <c r="M40" i="7" s="1"/>
  <c r="J49" i="7" s="1" a="1"/>
  <c r="N40" i="7"/>
  <c r="J43" i="7"/>
  <c r="M43" i="7" s="1"/>
  <c r="N43" i="7"/>
  <c r="J38" i="7"/>
  <c r="M38" i="7" s="1"/>
  <c r="N38" i="7"/>
  <c r="U28" i="5" a="1"/>
  <c r="U28" i="5" s="1"/>
  <c r="U43" i="5" s="1"/>
  <c r="U32" i="5" a="1"/>
  <c r="U32" i="5" s="1"/>
  <c r="U47" i="5" s="1"/>
  <c r="U33" i="5" a="1"/>
  <c r="U33" i="5" s="1"/>
  <c r="U48" i="5" s="1"/>
  <c r="U31" i="5" a="1"/>
  <c r="U31" i="5" s="1"/>
  <c r="U46" i="5" s="1"/>
  <c r="W46" i="5" s="1"/>
  <c r="U39" i="5" a="1"/>
  <c r="U39" i="5" s="1"/>
  <c r="V57" i="5" s="1"/>
  <c r="U24" i="5"/>
  <c r="W7" i="5" a="1"/>
  <c r="W7" i="5" s="1"/>
  <c r="U7" i="5" a="1"/>
  <c r="U7" i="5" s="1"/>
  <c r="U22" i="5"/>
  <c r="U38" i="5" a="1"/>
  <c r="U38" i="5" s="1"/>
  <c r="U37" i="5" a="1"/>
  <c r="U37" i="5" s="1"/>
  <c r="U23" i="5"/>
  <c r="V7" i="5" a="1"/>
  <c r="V7" i="5" s="1"/>
  <c r="W48" i="5" l="1"/>
  <c r="X48" i="5"/>
  <c r="W47" i="5"/>
  <c r="X47" i="5"/>
  <c r="W44" i="5"/>
  <c r="X44" i="5"/>
  <c r="V66" i="5"/>
  <c r="AB12" i="5" s="1"/>
  <c r="AL20" i="5" s="1"/>
  <c r="W43" i="5"/>
  <c r="X43" i="5"/>
  <c r="Q65" i="11"/>
  <c r="Q35" i="11"/>
  <c r="J47" i="7" a="1"/>
  <c r="J50" i="7" a="1"/>
  <c r="J52" i="7" a="1"/>
  <c r="J51" i="7" a="1"/>
  <c r="J48" i="7" a="1"/>
  <c r="J49" i="7"/>
  <c r="M49" i="7" s="1"/>
  <c r="AP45" i="7"/>
  <c r="AQ45" i="7" s="1"/>
  <c r="N49" i="7"/>
  <c r="P63" i="6"/>
  <c r="E5" i="11"/>
  <c r="Q5" i="11" s="1"/>
  <c r="Q33" i="6" a="1"/>
  <c r="U35" i="5" a="1"/>
  <c r="U35" i="5" s="1"/>
  <c r="U34" i="5" a="1"/>
  <c r="U34" i="5" s="1"/>
  <c r="U30" i="5" a="1"/>
  <c r="U30" i="5" s="1"/>
  <c r="U45" i="5" s="1"/>
  <c r="W45" i="5" s="1"/>
  <c r="U36" i="5" a="1"/>
  <c r="U36" i="5" s="1"/>
  <c r="U57" i="5"/>
  <c r="U66" i="5" s="1"/>
  <c r="AA12" i="5" s="1"/>
  <c r="AM20" i="5" s="1"/>
  <c r="U56" i="5"/>
  <c r="U65" i="5" s="1"/>
  <c r="AA11" i="5" s="1"/>
  <c r="AM21" i="5" s="1"/>
  <c r="V56" i="5"/>
  <c r="V65" i="5" s="1"/>
  <c r="AB11" i="5" s="1"/>
  <c r="AL21" i="5" s="1"/>
  <c r="U55" i="5"/>
  <c r="U64" i="5" s="1"/>
  <c r="AA10" i="5" s="1"/>
  <c r="AM22" i="5" s="1"/>
  <c r="V55" i="5"/>
  <c r="V64" i="5" s="1"/>
  <c r="AB10" i="5" s="1"/>
  <c r="AL22" i="5" s="1"/>
  <c r="R27" i="11" l="1"/>
  <c r="R11" i="11"/>
  <c r="R19" i="11"/>
  <c r="R23" i="11"/>
  <c r="R15" i="11"/>
  <c r="R57" i="11"/>
  <c r="R49" i="11"/>
  <c r="R41" i="11"/>
  <c r="R53" i="11"/>
  <c r="R45" i="11"/>
  <c r="R83" i="11"/>
  <c r="R75" i="11"/>
  <c r="R87" i="11"/>
  <c r="R79" i="11"/>
  <c r="R71" i="11"/>
  <c r="V52" i="5"/>
  <c r="V61" i="5" s="1"/>
  <c r="AB7" i="5" s="1"/>
  <c r="AL25" i="5" s="1"/>
  <c r="U52" i="5"/>
  <c r="U61" i="5" s="1"/>
  <c r="AA7" i="5" s="1"/>
  <c r="AM25" i="5" s="1"/>
  <c r="V53" i="5"/>
  <c r="V62" i="5" s="1"/>
  <c r="AB8" i="5" s="1"/>
  <c r="AL24" i="5" s="1"/>
  <c r="U53" i="5"/>
  <c r="U62" i="5" s="1"/>
  <c r="AA8" i="5" s="1"/>
  <c r="AM24" i="5" s="1"/>
  <c r="P49" i="7"/>
  <c r="R49" i="7"/>
  <c r="N48" i="7"/>
  <c r="AP44" i="7"/>
  <c r="AQ44" i="7" s="1"/>
  <c r="J48" i="7"/>
  <c r="M48" i="7" s="1"/>
  <c r="J52" i="7"/>
  <c r="M52" i="7" s="1"/>
  <c r="N52" i="7"/>
  <c r="Q33" i="6"/>
  <c r="R33" i="6" s="1"/>
  <c r="R34" i="6"/>
  <c r="J51" i="7"/>
  <c r="M51" i="7" s="1"/>
  <c r="AP47" i="7"/>
  <c r="AQ47" i="7" s="1"/>
  <c r="N51" i="7"/>
  <c r="V54" i="5"/>
  <c r="V63" i="5" s="1"/>
  <c r="AB9" i="5" s="1"/>
  <c r="AL23" i="5" s="1"/>
  <c r="U54" i="5"/>
  <c r="U63" i="5" s="1"/>
  <c r="AA9" i="5" s="1"/>
  <c r="AM23" i="5" s="1"/>
  <c r="J50" i="7"/>
  <c r="M50" i="7" s="1"/>
  <c r="AP46" i="7"/>
  <c r="AQ46" i="7" s="1"/>
  <c r="N50" i="7"/>
  <c r="J47" i="7"/>
  <c r="M47" i="7" s="1"/>
  <c r="AP43" i="7"/>
  <c r="AQ43" i="7" s="1"/>
  <c r="N47" i="7"/>
  <c r="X71" i="11" l="1"/>
  <c r="U71" i="11"/>
  <c r="T71" i="11"/>
  <c r="W71" i="11"/>
  <c r="Y71" i="11" s="1"/>
  <c r="X41" i="11"/>
  <c r="U41" i="11"/>
  <c r="W41" i="11"/>
  <c r="Y41" i="11" s="1"/>
  <c r="T41" i="11"/>
  <c r="X49" i="11"/>
  <c r="T49" i="11"/>
  <c r="U49" i="11"/>
  <c r="W49" i="11"/>
  <c r="X87" i="11"/>
  <c r="W87" i="11"/>
  <c r="Y87" i="11" s="1"/>
  <c r="U87" i="11"/>
  <c r="T87" i="11"/>
  <c r="W83" i="11"/>
  <c r="X83" i="11"/>
  <c r="U83" i="11"/>
  <c r="T83" i="11"/>
  <c r="X11" i="11"/>
  <c r="W11" i="11"/>
  <c r="T11" i="11"/>
  <c r="U11" i="11"/>
  <c r="U79" i="11"/>
  <c r="X79" i="11"/>
  <c r="W79" i="11"/>
  <c r="T79" i="11"/>
  <c r="T57" i="11"/>
  <c r="W57" i="11"/>
  <c r="U57" i="11"/>
  <c r="X57" i="11"/>
  <c r="X75" i="11"/>
  <c r="T75" i="11"/>
  <c r="W75" i="11"/>
  <c r="Y75" i="11" s="1"/>
  <c r="U75" i="11"/>
  <c r="W45" i="11"/>
  <c r="X45" i="11"/>
  <c r="U45" i="11"/>
  <c r="T45" i="11"/>
  <c r="T53" i="11"/>
  <c r="W53" i="11"/>
  <c r="U53" i="11"/>
  <c r="X53" i="11"/>
  <c r="W30" i="11"/>
  <c r="U30" i="11"/>
  <c r="T30" i="11"/>
  <c r="X30" i="11"/>
  <c r="U21" i="11"/>
  <c r="W21" i="11"/>
  <c r="X21" i="11"/>
  <c r="T21" i="11"/>
  <c r="W18" i="11"/>
  <c r="T18" i="11"/>
  <c r="X18" i="11"/>
  <c r="U18" i="11"/>
  <c r="U22" i="11"/>
  <c r="T22" i="11"/>
  <c r="W22" i="11"/>
  <c r="X22" i="11"/>
  <c r="T28" i="11"/>
  <c r="X28" i="11"/>
  <c r="W28" i="11"/>
  <c r="U28" i="11"/>
  <c r="U17" i="11"/>
  <c r="X17" i="11"/>
  <c r="T17" i="11"/>
  <c r="W17" i="11"/>
  <c r="T13" i="11"/>
  <c r="X13" i="11"/>
  <c r="U13" i="11"/>
  <c r="W13" i="11"/>
  <c r="T12" i="11"/>
  <c r="U12" i="11"/>
  <c r="X12" i="11"/>
  <c r="W12" i="11"/>
  <c r="W24" i="11"/>
  <c r="U24" i="11"/>
  <c r="X24" i="11"/>
  <c r="T24" i="11"/>
  <c r="X26" i="11"/>
  <c r="U26" i="11"/>
  <c r="W26" i="11"/>
  <c r="T26" i="11"/>
  <c r="W14" i="11"/>
  <c r="U14" i="11"/>
  <c r="T14" i="11"/>
  <c r="X14" i="11"/>
  <c r="T29" i="11"/>
  <c r="W29" i="11"/>
  <c r="X29" i="11"/>
  <c r="U29" i="11"/>
  <c r="T25" i="11"/>
  <c r="X25" i="11"/>
  <c r="W25" i="11"/>
  <c r="U25" i="11"/>
  <c r="X20" i="11"/>
  <c r="U20" i="11"/>
  <c r="W20" i="11"/>
  <c r="T20" i="11"/>
  <c r="X16" i="11"/>
  <c r="U16" i="11"/>
  <c r="W16" i="11"/>
  <c r="T16" i="11"/>
  <c r="AA16" i="5" a="1"/>
  <c r="AA16" i="5" s="1"/>
  <c r="AB17" i="5" a="1"/>
  <c r="AB17" i="5" s="1"/>
  <c r="AB18" i="5" a="1"/>
  <c r="AB18" i="5" s="1"/>
  <c r="AA18" i="5" a="1"/>
  <c r="AA18" i="5" s="1"/>
  <c r="AA17" i="5" a="1"/>
  <c r="AA17" i="5" s="1"/>
  <c r="R47" i="7"/>
  <c r="P47" i="7"/>
  <c r="T33" i="6" a="1"/>
  <c r="AE16" i="5"/>
  <c r="AP48" i="7"/>
  <c r="AQ48" i="7" s="1"/>
  <c r="P51" i="7"/>
  <c r="R51" i="7"/>
  <c r="P50" i="7"/>
  <c r="R50" i="7"/>
  <c r="P52" i="7"/>
  <c r="R52" i="7"/>
  <c r="AB16" i="5" a="1"/>
  <c r="AB16" i="5" s="1"/>
  <c r="R48" i="7"/>
  <c r="P48" i="7"/>
  <c r="AC37" i="5"/>
  <c r="AA46" i="5" s="1"/>
  <c r="AC38" i="5"/>
  <c r="AA47" i="5" s="1"/>
  <c r="AD36" i="5"/>
  <c r="AB45" i="5" s="1"/>
  <c r="Y79" i="11" l="1"/>
  <c r="Y83" i="11"/>
  <c r="Z41" i="11"/>
  <c r="V41" i="11"/>
  <c r="Y45" i="11"/>
  <c r="V83" i="11"/>
  <c r="Z83" i="11"/>
  <c r="V71" i="11"/>
  <c r="Z71" i="11"/>
  <c r="Z45" i="11"/>
  <c r="V45" i="11"/>
  <c r="V87" i="11"/>
  <c r="Z87" i="11"/>
  <c r="AC71" i="11" a="1"/>
  <c r="Y53" i="11"/>
  <c r="AC41" i="11" s="1" a="1"/>
  <c r="V75" i="11"/>
  <c r="Z75" i="11"/>
  <c r="V49" i="11"/>
  <c r="Z49" i="11"/>
  <c r="Y57" i="11"/>
  <c r="V57" i="11"/>
  <c r="Z57" i="11"/>
  <c r="V79" i="11"/>
  <c r="Z79" i="11"/>
  <c r="V11" i="11"/>
  <c r="V53" i="11"/>
  <c r="Z53" i="11"/>
  <c r="Y49" i="11"/>
  <c r="Y11" i="11"/>
  <c r="X15" i="11"/>
  <c r="U15" i="11"/>
  <c r="W15" i="11"/>
  <c r="T15" i="11"/>
  <c r="U23" i="11"/>
  <c r="T23" i="11"/>
  <c r="X23" i="11"/>
  <c r="W23" i="11"/>
  <c r="W27" i="11"/>
  <c r="T27" i="11"/>
  <c r="Z27" i="11" s="1"/>
  <c r="U27" i="11"/>
  <c r="X27" i="11"/>
  <c r="W19" i="11"/>
  <c r="T19" i="11"/>
  <c r="X19" i="11"/>
  <c r="U19" i="11"/>
  <c r="AA23" i="5" a="1"/>
  <c r="AA23" i="5" s="1"/>
  <c r="AA37" i="5" s="1"/>
  <c r="AG37" i="5" s="1"/>
  <c r="AE46" i="5" s="1"/>
  <c r="AB27" i="5" a="1"/>
  <c r="AB27" i="5" s="1"/>
  <c r="AA70" i="5" s="1"/>
  <c r="AA22" i="5" a="1"/>
  <c r="AA22" i="5" s="1"/>
  <c r="AA36" i="5" s="1"/>
  <c r="AG36" i="5" s="1"/>
  <c r="AE45" i="5" s="1"/>
  <c r="AB22" i="5" a="1"/>
  <c r="AB22" i="5" s="1"/>
  <c r="AA65" i="5" s="1"/>
  <c r="AA27" i="5" a="1"/>
  <c r="AA27" i="5" s="1"/>
  <c r="AA41" i="5" s="1"/>
  <c r="AC41" i="5" s="1"/>
  <c r="AA50" i="5" s="1"/>
  <c r="AB23" i="5" a="1"/>
  <c r="AB23" i="5" s="1"/>
  <c r="AA66" i="5" s="1"/>
  <c r="AB26" i="5" a="1"/>
  <c r="AB26" i="5" s="1"/>
  <c r="AA69" i="5" s="1"/>
  <c r="U47" i="7" a="1"/>
  <c r="T33" i="6"/>
  <c r="K39" i="6" a="1"/>
  <c r="K64" i="6" a="1"/>
  <c r="N39" i="6" a="1"/>
  <c r="U53" i="7" a="1"/>
  <c r="AA26" i="5" a="1"/>
  <c r="AA26" i="5" s="1"/>
  <c r="AA40" i="5" s="1"/>
  <c r="AC40" i="5" s="1"/>
  <c r="AA49" i="5" s="1"/>
  <c r="AA25" i="5" a="1"/>
  <c r="AA25" i="5" s="1"/>
  <c r="AA39" i="5" s="1"/>
  <c r="AC39" i="5" s="1"/>
  <c r="AA48" i="5" s="1"/>
  <c r="AB25" i="5" a="1"/>
  <c r="AB25" i="5" s="1"/>
  <c r="AA68" i="5" s="1"/>
  <c r="AB24" i="5" a="1"/>
  <c r="AB24" i="5" s="1"/>
  <c r="AA67" i="5" s="1"/>
  <c r="AA24" i="5" a="1"/>
  <c r="AA24" i="5" s="1"/>
  <c r="AA38" i="5" s="1"/>
  <c r="AF38" i="5" s="1"/>
  <c r="AD47" i="5" s="1"/>
  <c r="AD71" i="11" l="1" a="1"/>
  <c r="AC50" i="11"/>
  <c r="AC51" i="11"/>
  <c r="AC49" i="11"/>
  <c r="AC79" i="11"/>
  <c r="AC81" i="11"/>
  <c r="AC80" i="11"/>
  <c r="Z15" i="11"/>
  <c r="AC41" i="11"/>
  <c r="AC48" i="11" s="1"/>
  <c r="V27" i="11"/>
  <c r="AE71" i="11" a="1"/>
  <c r="AC71" i="11"/>
  <c r="AC78" i="11" s="1"/>
  <c r="AD41" i="11" a="1"/>
  <c r="AD71" i="11"/>
  <c r="AD78" i="11" s="1"/>
  <c r="AE41" i="11" a="1"/>
  <c r="Z11" i="11"/>
  <c r="Y23" i="11"/>
  <c r="Z23" i="11"/>
  <c r="Z19" i="11"/>
  <c r="Y19" i="11"/>
  <c r="Y15" i="11"/>
  <c r="AC11" i="11" s="1" a="1"/>
  <c r="V19" i="11"/>
  <c r="V23" i="11"/>
  <c r="V15" i="11"/>
  <c r="Y27" i="11"/>
  <c r="AD74" i="5"/>
  <c r="AB57" i="5" a="1"/>
  <c r="AB57" i="5" s="1"/>
  <c r="AF54" i="5"/>
  <c r="AA54" i="5" a="1"/>
  <c r="AA54" i="5" s="1"/>
  <c r="AC54" i="5" a="1"/>
  <c r="AC54" i="5" s="1"/>
  <c r="AG10" i="7"/>
  <c r="U47" i="7"/>
  <c r="AG7" i="7" s="1"/>
  <c r="AG12" i="7"/>
  <c r="AG11" i="7"/>
  <c r="AG9" i="7"/>
  <c r="AG8" i="7"/>
  <c r="O40" i="6"/>
  <c r="N39" i="6"/>
  <c r="O39" i="6" s="1"/>
  <c r="K39" i="6"/>
  <c r="L39" i="6" s="1"/>
  <c r="L40" i="6"/>
  <c r="AB54" i="5" a="1"/>
  <c r="AB54" i="5" s="1"/>
  <c r="AG14" i="7"/>
  <c r="U53" i="7"/>
  <c r="AG13" i="7" s="1"/>
  <c r="AG16" i="7"/>
  <c r="AG15" i="7"/>
  <c r="AG17" i="7"/>
  <c r="AG18" i="7"/>
  <c r="K64" i="6"/>
  <c r="N64" i="6" s="1"/>
  <c r="AF44" i="6"/>
  <c r="AG44" i="6" s="1"/>
  <c r="P64" i="6"/>
  <c r="AC56" i="5" a="1"/>
  <c r="AC56" i="5" s="1"/>
  <c r="AA76" i="5" a="1"/>
  <c r="AA76" i="5" s="1"/>
  <c r="AA75" i="5" a="1"/>
  <c r="AA75" i="5" s="1"/>
  <c r="AA74" i="5" a="1"/>
  <c r="AA74" i="5" s="1"/>
  <c r="AA56" i="5" a="1"/>
  <c r="AA56" i="5" s="1"/>
  <c r="AA55" i="5" a="1"/>
  <c r="AA55" i="5" s="1"/>
  <c r="AB55" i="5" a="1"/>
  <c r="AB55" i="5" s="1"/>
  <c r="AB56" i="5" a="1"/>
  <c r="AB56" i="5" s="1"/>
  <c r="AC55" i="5" a="1"/>
  <c r="AC55" i="5" s="1"/>
  <c r="AA57" i="5" a="1"/>
  <c r="AA57" i="5" s="1"/>
  <c r="AA58" i="5" a="1"/>
  <c r="AA58" i="5" s="1"/>
  <c r="AC58" i="5" a="1"/>
  <c r="AC58" i="5" s="1"/>
  <c r="AC57" i="5" a="1"/>
  <c r="AC57" i="5" s="1"/>
  <c r="AB58" i="5" a="1"/>
  <c r="AB58" i="5" s="1"/>
  <c r="AE78" i="11" l="1"/>
  <c r="AD49" i="11"/>
  <c r="AC58" i="11"/>
  <c r="AD51" i="11"/>
  <c r="AE51" i="11" s="1"/>
  <c r="AD50" i="11"/>
  <c r="AE50" i="11" s="1"/>
  <c r="AC56" i="11"/>
  <c r="AC57" i="11"/>
  <c r="AE71" i="11"/>
  <c r="AD85" i="11" s="1"/>
  <c r="AD86" i="11"/>
  <c r="AD87" i="11"/>
  <c r="AD88" i="11"/>
  <c r="AE49" i="11"/>
  <c r="AD11" i="11" a="1"/>
  <c r="AD11" i="11" s="1"/>
  <c r="AD18" i="11" s="1"/>
  <c r="AE41" i="11"/>
  <c r="AD55" i="11" s="1"/>
  <c r="AD56" i="11"/>
  <c r="AD58" i="11"/>
  <c r="AD57" i="11"/>
  <c r="AC86" i="11"/>
  <c r="AE86" i="11" s="1"/>
  <c r="AD81" i="11"/>
  <c r="AE81" i="11" s="1"/>
  <c r="AC88" i="11"/>
  <c r="AC87" i="11"/>
  <c r="AD80" i="11"/>
  <c r="AE80" i="11" s="1"/>
  <c r="AD79" i="11"/>
  <c r="AE79" i="11" s="1"/>
  <c r="AE82" i="11" s="1"/>
  <c r="AC85" i="11"/>
  <c r="AC11" i="11"/>
  <c r="AC18" i="11" s="1"/>
  <c r="AC21" i="11"/>
  <c r="AC20" i="11"/>
  <c r="AC19" i="11"/>
  <c r="AD41" i="11"/>
  <c r="AD48" i="11" s="1"/>
  <c r="AE48" i="11" s="1"/>
  <c r="AE11" i="11" a="1"/>
  <c r="Q39" i="6" a="1"/>
  <c r="AG22" i="7" a="1"/>
  <c r="AD19" i="11" l="1"/>
  <c r="AE19" i="11" s="1"/>
  <c r="AD20" i="11"/>
  <c r="AE85" i="11"/>
  <c r="AE20" i="11"/>
  <c r="AE58" i="11"/>
  <c r="AD21" i="11"/>
  <c r="AE52" i="11"/>
  <c r="AE18" i="11"/>
  <c r="AC55" i="11"/>
  <c r="AE55" i="11" s="1"/>
  <c r="AE11" i="11"/>
  <c r="AD25" i="11" s="1"/>
  <c r="AD28" i="11"/>
  <c r="AD26" i="11"/>
  <c r="AD27" i="11"/>
  <c r="AE87" i="11"/>
  <c r="AE57" i="11"/>
  <c r="AE88" i="11"/>
  <c r="AC27" i="11"/>
  <c r="AC26" i="11"/>
  <c r="AC25" i="11"/>
  <c r="AC28" i="11"/>
  <c r="AE56" i="11"/>
  <c r="AE21" i="11"/>
  <c r="AG22" i="7"/>
  <c r="AG28" i="7" s="1"/>
  <c r="AG29" i="7"/>
  <c r="AG35" i="7" s="1"/>
  <c r="AG30" i="7"/>
  <c r="AG36" i="7" s="1"/>
  <c r="R40" i="6"/>
  <c r="Q39" i="6"/>
  <c r="R39" i="6" s="1"/>
  <c r="T39" i="6" s="1" a="1"/>
  <c r="AE22" i="11" l="1"/>
  <c r="AC95" i="11" s="1"/>
  <c r="AE89" i="11"/>
  <c r="AE28" i="11"/>
  <c r="AE25" i="11"/>
  <c r="AE27" i="11"/>
  <c r="AE26" i="11"/>
  <c r="AE29" i="11" s="1"/>
  <c r="AE59" i="11"/>
  <c r="AO24" i="7"/>
  <c r="AQ7" i="7" a="1"/>
  <c r="AQ7" i="7" s="1"/>
  <c r="T39" i="6"/>
  <c r="K45" i="6" s="1" a="1"/>
  <c r="N45" i="6" a="1"/>
  <c r="K65" i="6" a="1"/>
  <c r="AO23" i="7"/>
  <c r="AP7" i="7" a="1"/>
  <c r="AP7" i="7" s="1"/>
  <c r="AG34" i="7"/>
  <c r="E7" i="11" a="1"/>
  <c r="AC94" i="11" l="1"/>
  <c r="L46" i="6"/>
  <c r="K45" i="6"/>
  <c r="L45" i="6" s="1"/>
  <c r="Q45" i="6" s="1" a="1"/>
  <c r="O46" i="6"/>
  <c r="N45" i="6"/>
  <c r="O45" i="6" s="1"/>
  <c r="K65" i="6"/>
  <c r="AF45" i="6"/>
  <c r="AG45" i="6" s="1"/>
  <c r="P65" i="6"/>
  <c r="N65" i="6"/>
  <c r="E7" i="11"/>
  <c r="AO29" i="7" a="1"/>
  <c r="AO29" i="7" s="1"/>
  <c r="AO44" i="7" s="1"/>
  <c r="AR44" i="7" s="1"/>
  <c r="AO36" i="7" a="1"/>
  <c r="AO36" i="7" s="1"/>
  <c r="AO30" i="7" a="1"/>
  <c r="AO30" i="7" s="1"/>
  <c r="AO45" i="7" s="1"/>
  <c r="AR45" i="7" s="1"/>
  <c r="AO22" i="7"/>
  <c r="AO32" i="7" a="1"/>
  <c r="AO32" i="7" s="1"/>
  <c r="AO47" i="7" s="1"/>
  <c r="AR47" i="7" s="1"/>
  <c r="AO33" i="7" a="1"/>
  <c r="AO33" i="7" s="1"/>
  <c r="AO48" i="7" s="1"/>
  <c r="AR48" i="7" s="1"/>
  <c r="AO7" i="7" a="1"/>
  <c r="AO7" i="7" s="1"/>
  <c r="AO35" i="7" a="1"/>
  <c r="AO35" i="7" s="1"/>
  <c r="AO38" i="7" a="1"/>
  <c r="AO38" i="7" s="1"/>
  <c r="AO39" i="7" a="1"/>
  <c r="AO39" i="7" s="1"/>
  <c r="AO28" i="7" a="1"/>
  <c r="AO28" i="7" s="1"/>
  <c r="AO43" i="7" s="1"/>
  <c r="AR43" i="7" s="1"/>
  <c r="AO31" i="7" a="1"/>
  <c r="AO31" i="7" s="1"/>
  <c r="AO46" i="7" s="1"/>
  <c r="AR46" i="7" s="1"/>
  <c r="AO37" i="7" a="1"/>
  <c r="AO37" i="7" s="1"/>
  <c r="AO34" i="7" a="1"/>
  <c r="AO34" i="7" s="1"/>
  <c r="AO57" i="7" l="1"/>
  <c r="AO66" i="7" s="1"/>
  <c r="AP57" i="7"/>
  <c r="AP66" i="7" s="1"/>
  <c r="AO53" i="7"/>
  <c r="AO62" i="7" s="1"/>
  <c r="AP53" i="7"/>
  <c r="AP62" i="7" s="1"/>
  <c r="AP55" i="7"/>
  <c r="AP64" i="7" s="1"/>
  <c r="AO55" i="7"/>
  <c r="AO64" i="7" s="1"/>
  <c r="AO54" i="7"/>
  <c r="AO63" i="7" s="1"/>
  <c r="AP54" i="7"/>
  <c r="AP63" i="7" s="1"/>
  <c r="R46" i="6"/>
  <c r="Q45" i="6"/>
  <c r="R45" i="6" s="1"/>
  <c r="T45" i="6" s="1" a="1"/>
  <c r="AO56" i="7"/>
  <c r="AO65" i="7" s="1"/>
  <c r="AP56" i="7"/>
  <c r="AP65" i="7" s="1"/>
  <c r="AO52" i="7"/>
  <c r="AO61" i="7" s="1"/>
  <c r="AP52" i="7"/>
  <c r="AP61" i="7" s="1"/>
  <c r="AG43" i="6"/>
  <c r="AY7" i="7" l="1"/>
  <c r="T45" i="6"/>
  <c r="K66" i="6" a="1"/>
  <c r="N51" i="6" a="1"/>
  <c r="K51" i="6" a="1"/>
  <c r="AU7" i="7" a="1"/>
  <c r="AU7" i="7" s="1"/>
  <c r="AU12" i="7" a="1"/>
  <c r="AX7" i="7"/>
  <c r="L52" i="6" l="1"/>
  <c r="K51" i="6"/>
  <c r="L51" i="6" s="1"/>
  <c r="Q51" i="6" s="1" a="1"/>
  <c r="N51" i="6"/>
  <c r="O51" i="6" s="1"/>
  <c r="O52" i="6"/>
  <c r="AU12" i="7"/>
  <c r="AU21" i="7" s="1"/>
  <c r="AU26" i="7"/>
  <c r="AV26" i="7"/>
  <c r="AV23" i="7"/>
  <c r="AU25" i="7"/>
  <c r="AV22" i="7"/>
  <c r="AU24" i="7"/>
  <c r="AU23" i="7"/>
  <c r="AV21" i="7"/>
  <c r="AU22" i="7"/>
  <c r="AV24" i="7"/>
  <c r="AV25" i="7"/>
  <c r="K66" i="6"/>
  <c r="AF46" i="6"/>
  <c r="AG46" i="6" s="1"/>
  <c r="P66" i="6"/>
  <c r="N66" i="6"/>
  <c r="AY30" i="7" l="1"/>
  <c r="AX30" i="7"/>
  <c r="AU30" i="7" a="1"/>
  <c r="AU30" i="7" s="1"/>
  <c r="AU35" i="7" a="1"/>
  <c r="R52" i="6"/>
  <c r="Q51" i="6"/>
  <c r="R51" i="6" s="1"/>
  <c r="T51" i="6" s="1" a="1"/>
  <c r="AU35" i="7" l="1"/>
  <c r="AU53" i="7" s="1" a="1"/>
  <c r="AU48" i="7" a="1"/>
  <c r="AU48" i="7" s="1"/>
  <c r="T51" i="6"/>
  <c r="K67" i="6" s="1" a="1"/>
  <c r="K57" i="6" a="1"/>
  <c r="N57" i="6" a="1"/>
  <c r="K57" i="6" l="1"/>
  <c r="L57" i="6" s="1"/>
  <c r="L58" i="6"/>
  <c r="N57" i="6"/>
  <c r="O57" i="6" s="1"/>
  <c r="O58" i="6"/>
  <c r="K67" i="6"/>
  <c r="AF47" i="6"/>
  <c r="AG47" i="6" s="1"/>
  <c r="P67" i="6"/>
  <c r="N67" i="6"/>
  <c r="AW75" i="7" a="1"/>
  <c r="AU75" i="7" a="1"/>
  <c r="AU53" i="7"/>
  <c r="AU64" i="7" l="1" a="1"/>
  <c r="AW64" i="7" a="1"/>
  <c r="AU75" i="7"/>
  <c r="BS75" i="7" a="1"/>
  <c r="BS75" i="7" s="1"/>
  <c r="CA75" i="7" a="1"/>
  <c r="CA75" i="7" s="1"/>
  <c r="BE76" i="7" a="1"/>
  <c r="BE76" i="7" s="1"/>
  <c r="BD77" i="7" a="1"/>
  <c r="BD77" i="7" s="1"/>
  <c r="BI79" i="7" a="1"/>
  <c r="BI79" i="7" s="1"/>
  <c r="BE79" i="7" a="1"/>
  <c r="BE79" i="7" s="1"/>
  <c r="BI76" i="7" a="1"/>
  <c r="BI76" i="7" s="1"/>
  <c r="BE77" i="7" a="1"/>
  <c r="BE77" i="7" s="1"/>
  <c r="BG76" i="7" a="1"/>
  <c r="BG76" i="7" s="1"/>
  <c r="BF80" i="7" a="1"/>
  <c r="BF80" i="7" s="1"/>
  <c r="BD80" i="7" a="1"/>
  <c r="BD80" i="7" s="1"/>
  <c r="AW75" i="7"/>
  <c r="BF78" i="7" a="1"/>
  <c r="BF78" i="7" s="1"/>
  <c r="BF79" i="7" a="1"/>
  <c r="BF79" i="7" s="1"/>
  <c r="BE78" i="7" a="1"/>
  <c r="BE78" i="7" s="1"/>
  <c r="BI80" i="7" a="1"/>
  <c r="BI80" i="7" s="1"/>
  <c r="BI78" i="7" a="1"/>
  <c r="BI78" i="7" s="1"/>
  <c r="BH76" i="7" a="1"/>
  <c r="BH76" i="7" s="1"/>
  <c r="BD76" i="7" a="1"/>
  <c r="BD76" i="7" s="1"/>
  <c r="BG78" i="7" a="1"/>
  <c r="BG78" i="7" s="1"/>
  <c r="BH77" i="7" a="1"/>
  <c r="BH77" i="7" s="1"/>
  <c r="BD79" i="7" a="1"/>
  <c r="BD79" i="7" s="1"/>
  <c r="BI77" i="7" a="1"/>
  <c r="BI77" i="7" s="1"/>
  <c r="BH79" i="7" a="1"/>
  <c r="BH79" i="7" s="1"/>
  <c r="BE80" i="7" a="1"/>
  <c r="BE80" i="7" s="1"/>
  <c r="BG77" i="7" a="1"/>
  <c r="BG77" i="7" s="1"/>
  <c r="BG80" i="7" a="1"/>
  <c r="BG80" i="7" s="1"/>
  <c r="BH78" i="7" a="1"/>
  <c r="BH78" i="7" s="1"/>
  <c r="BH80" i="7" a="1"/>
  <c r="BH80" i="7" s="1"/>
  <c r="BD78" i="7" a="1"/>
  <c r="BD78" i="7" s="1"/>
  <c r="BF77" i="7" a="1"/>
  <c r="BF77" i="7" s="1"/>
  <c r="BG79" i="7" a="1"/>
  <c r="BG79" i="7" s="1"/>
  <c r="BF76" i="7" a="1"/>
  <c r="BF76" i="7" s="1"/>
  <c r="Q57" i="6" a="1"/>
  <c r="BE75" i="7" l="1" a="1"/>
  <c r="BE75" i="7" s="1"/>
  <c r="BF75" i="7" a="1"/>
  <c r="BF75" i="7" s="1"/>
  <c r="BG75" i="7" a="1"/>
  <c r="BG75" i="7" s="1"/>
  <c r="BH75" i="7" a="1"/>
  <c r="BH75" i="7" s="1"/>
  <c r="BI75" i="7" a="1"/>
  <c r="BI75" i="7" s="1"/>
  <c r="BD75" i="7" a="1"/>
  <c r="BD75" i="7" s="1"/>
  <c r="Q57" i="6"/>
  <c r="R57" i="6" s="1"/>
  <c r="R58" i="6"/>
  <c r="AW64" i="7"/>
  <c r="BF66" i="7" a="1"/>
  <c r="BF66" i="7" s="1"/>
  <c r="BE65" i="7" a="1"/>
  <c r="BE65" i="7" s="1"/>
  <c r="BI65" i="7" a="1"/>
  <c r="BI65" i="7" s="1"/>
  <c r="BE66" i="7" a="1"/>
  <c r="BE66" i="7" s="1"/>
  <c r="BE67" i="7" a="1"/>
  <c r="BE67" i="7" s="1"/>
  <c r="BH66" i="7" a="1"/>
  <c r="BH66" i="7" s="1"/>
  <c r="BD66" i="7" a="1"/>
  <c r="BD66" i="7" s="1"/>
  <c r="BG68" i="7" a="1"/>
  <c r="BG68" i="7" s="1"/>
  <c r="BG65" i="7" a="1"/>
  <c r="BG65" i="7" s="1"/>
  <c r="BD67" i="7" a="1"/>
  <c r="BD67" i="7" s="1"/>
  <c r="BE69" i="7" a="1"/>
  <c r="BE69" i="7" s="1"/>
  <c r="BF68" i="7" a="1"/>
  <c r="BF68" i="7" s="1"/>
  <c r="BF67" i="7" a="1"/>
  <c r="BF67" i="7" s="1"/>
  <c r="BH69" i="7" a="1"/>
  <c r="BH69" i="7" s="1"/>
  <c r="BG66" i="7" a="1"/>
  <c r="BG66" i="7" s="1"/>
  <c r="BG67" i="7" a="1"/>
  <c r="BG67" i="7" s="1"/>
  <c r="BI67" i="7" a="1"/>
  <c r="BI67" i="7" s="1"/>
  <c r="BF69" i="7" a="1"/>
  <c r="BF69" i="7" s="1"/>
  <c r="BH67" i="7" a="1"/>
  <c r="BH67" i="7" s="1"/>
  <c r="BH68" i="7" a="1"/>
  <c r="BH68" i="7" s="1"/>
  <c r="BE68" i="7" a="1"/>
  <c r="BE68" i="7" s="1"/>
  <c r="BD69" i="7" a="1"/>
  <c r="BD69" i="7" s="1"/>
  <c r="BI69" i="7" a="1"/>
  <c r="BI69" i="7" s="1"/>
  <c r="BF65" i="7" a="1"/>
  <c r="BF65" i="7" s="1"/>
  <c r="BI66" i="7" a="1"/>
  <c r="BI66" i="7" s="1"/>
  <c r="BH65" i="7" a="1"/>
  <c r="BH65" i="7" s="1"/>
  <c r="BI68" i="7" a="1"/>
  <c r="BI68" i="7" s="1"/>
  <c r="BD68" i="7" a="1"/>
  <c r="BD68" i="7" s="1"/>
  <c r="BG69" i="7" a="1"/>
  <c r="BG69" i="7" s="1"/>
  <c r="BD65" i="7" a="1"/>
  <c r="BD65" i="7" s="1"/>
  <c r="CA64" i="7" a="1"/>
  <c r="CA64" i="7" s="1"/>
  <c r="AU64" i="7"/>
  <c r="BS64" i="7" s="1" a="1"/>
  <c r="BS64" i="7" s="1"/>
  <c r="T57" i="6" l="1" a="1"/>
  <c r="BM75" i="7" a="1"/>
  <c r="BK75" i="7" a="1"/>
  <c r="BE64" i="7" a="1"/>
  <c r="BE64" i="7" s="1"/>
  <c r="BH64" i="7" a="1"/>
  <c r="BH64" i="7" s="1"/>
  <c r="BF64" i="7" a="1"/>
  <c r="BF64" i="7" s="1"/>
  <c r="BG64" i="7" a="1"/>
  <c r="BG64" i="7" s="1"/>
  <c r="BI64" i="7" a="1"/>
  <c r="BI64" i="7" s="1"/>
  <c r="BD64" i="7" a="1"/>
  <c r="BD64" i="7" s="1"/>
  <c r="BK75" i="7" l="1"/>
  <c r="BX75" i="7" s="1" a="1"/>
  <c r="BX75" i="7" s="1"/>
  <c r="BQ75" i="7" a="1"/>
  <c r="BQ75" i="7" s="1"/>
  <c r="BM75" i="7"/>
  <c r="BU75" i="7" a="1"/>
  <c r="BO75" i="7" a="1"/>
  <c r="BO75" i="7" s="1"/>
  <c r="BM64" i="7" a="1"/>
  <c r="BK64" i="7" a="1"/>
  <c r="T57" i="6"/>
  <c r="K68" i="6" s="1" a="1"/>
  <c r="K68" i="6" l="1"/>
  <c r="AF48" i="6"/>
  <c r="AG48" i="6" s="1"/>
  <c r="N68" i="6"/>
  <c r="K72" i="6" s="1" a="1"/>
  <c r="P68" i="6"/>
  <c r="K78" i="6" s="1" a="1"/>
  <c r="BM64" i="7"/>
  <c r="BO64" i="7" a="1"/>
  <c r="BO64" i="7" s="1"/>
  <c r="BU64" i="7" a="1"/>
  <c r="BQ64" i="7" a="1"/>
  <c r="BQ64" i="7" s="1"/>
  <c r="BK64" i="7"/>
  <c r="BX64" i="7" a="1"/>
  <c r="BX64" i="7" s="1"/>
  <c r="BU75" i="7"/>
  <c r="CD75" i="7" s="1" a="1"/>
  <c r="CD75" i="7" s="1"/>
  <c r="BU64" i="7" l="1"/>
  <c r="CD64" i="7" a="1"/>
  <c r="W16" i="6"/>
  <c r="W18" i="6"/>
  <c r="W17" i="6"/>
  <c r="W14" i="6"/>
  <c r="W15" i="6"/>
  <c r="K78" i="6"/>
  <c r="W13" i="6" s="1"/>
  <c r="W10" i="6"/>
  <c r="W11" i="6"/>
  <c r="K72" i="6"/>
  <c r="W7" i="6" s="1"/>
  <c r="W12" i="6"/>
  <c r="W8" i="6"/>
  <c r="W9" i="6"/>
  <c r="CD64" i="7" l="1"/>
  <c r="CD85" i="7" s="1" a="1"/>
  <c r="W22" i="6" a="1"/>
  <c r="W22" i="6" l="1"/>
  <c r="W28" i="6" s="1"/>
  <c r="W29" i="6"/>
  <c r="W35" i="6" s="1"/>
  <c r="W30" i="6"/>
  <c r="W36" i="6" s="1"/>
  <c r="CD85" i="7"/>
  <c r="CG85" i="7" a="1"/>
  <c r="AG7" i="6" l="1" a="1"/>
  <c r="AG7" i="6" s="1"/>
  <c r="AE24" i="6"/>
  <c r="CI38" i="7"/>
  <c r="CG85" i="7"/>
  <c r="CL44" i="7"/>
  <c r="CI40" i="7"/>
  <c r="CI36" i="7"/>
  <c r="CI39" i="7"/>
  <c r="CI35" i="7"/>
  <c r="CI37" i="7"/>
  <c r="AF7" i="6" a="1"/>
  <c r="AF7" i="6" s="1"/>
  <c r="AE23" i="6"/>
  <c r="E6" i="11" a="1"/>
  <c r="W34" i="6"/>
  <c r="CI6" i="7" l="1" a="1"/>
  <c r="CN24" i="7"/>
  <c r="AE38" i="6" a="1"/>
  <c r="AE38" i="6" s="1"/>
  <c r="AE31" i="6" a="1"/>
  <c r="AE31" i="6" s="1"/>
  <c r="AE46" i="6" s="1"/>
  <c r="AH46" i="6" s="1"/>
  <c r="AE33" i="6" a="1"/>
  <c r="AE33" i="6" s="1"/>
  <c r="AE48" i="6" s="1"/>
  <c r="AH48" i="6" s="1"/>
  <c r="AE32" i="6" a="1"/>
  <c r="AE32" i="6" s="1"/>
  <c r="AE47" i="6" s="1"/>
  <c r="AH47" i="6" s="1"/>
  <c r="AE37" i="6" a="1"/>
  <c r="AE37" i="6" s="1"/>
  <c r="AE30" i="6" a="1"/>
  <c r="AE30" i="6" s="1"/>
  <c r="AE45" i="6" s="1"/>
  <c r="AH45" i="6" s="1"/>
  <c r="AE28" i="6" a="1"/>
  <c r="AE28" i="6" s="1"/>
  <c r="AE43" i="6" s="1"/>
  <c r="AH43" i="6" s="1"/>
  <c r="AE39" i="6" a="1"/>
  <c r="AE39" i="6" s="1"/>
  <c r="AE7" i="6" a="1"/>
  <c r="AE7" i="6" s="1"/>
  <c r="AE29" i="6" a="1"/>
  <c r="AE29" i="6" s="1"/>
  <c r="AE44" i="6" s="1"/>
  <c r="AH44" i="6" s="1"/>
  <c r="AE36" i="6" a="1"/>
  <c r="AE36" i="6" s="1"/>
  <c r="AE34" i="6" a="1"/>
  <c r="AE34" i="6" s="1"/>
  <c r="AE22" i="6"/>
  <c r="AE35" i="6" a="1"/>
  <c r="AE35" i="6" s="1"/>
  <c r="E6" i="11"/>
  <c r="CI46" i="7" a="1"/>
  <c r="CI46" i="7" s="1"/>
  <c r="CI45" i="7" a="1"/>
  <c r="CI45" i="7" s="1"/>
  <c r="CI44" i="7" a="1"/>
  <c r="CI44" i="7" s="1"/>
  <c r="AE53" i="6" l="1"/>
  <c r="AE62" i="6" s="1"/>
  <c r="AF53" i="6"/>
  <c r="AF62" i="6" s="1"/>
  <c r="AF52" i="6"/>
  <c r="AF61" i="6" s="1"/>
  <c r="AE52" i="6"/>
  <c r="AE61" i="6" s="1"/>
  <c r="AE75" i="6" s="1" a="1"/>
  <c r="AE75" i="6" s="1"/>
  <c r="AF54" i="6"/>
  <c r="AF63" i="6" s="1"/>
  <c r="AE54" i="6"/>
  <c r="AE63" i="6" s="1"/>
  <c r="AE73" i="6" s="1" a="1"/>
  <c r="AE73" i="6" s="1"/>
  <c r="AF55" i="6"/>
  <c r="AF64" i="6" s="1"/>
  <c r="AE55" i="6"/>
  <c r="AE64" i="6" s="1"/>
  <c r="AE72" i="6" s="1" a="1"/>
  <c r="AE72" i="6" s="1"/>
  <c r="AE56" i="6"/>
  <c r="AE65" i="6" s="1"/>
  <c r="AF56" i="6"/>
  <c r="AF65" i="6" s="1"/>
  <c r="AE57" i="6"/>
  <c r="AE66" i="6" s="1"/>
  <c r="AF57" i="6"/>
  <c r="AF66" i="6" s="1"/>
  <c r="CO7" i="7"/>
  <c r="CM16" i="7" s="1"/>
  <c r="CI6" i="7"/>
  <c r="CO6" i="7" s="1"/>
  <c r="CM15" i="7" s="1"/>
  <c r="CN8" i="7"/>
  <c r="CL17" i="7" s="1"/>
  <c r="CK11" i="7"/>
  <c r="CI20" i="7" s="1"/>
  <c r="CK10" i="7"/>
  <c r="CI19" i="7" s="1"/>
  <c r="CK9" i="7"/>
  <c r="CI18" i="7" s="1"/>
  <c r="CJ28" i="7" l="1" a="1"/>
  <c r="CJ28" i="7" s="1"/>
  <c r="CK24" i="7" a="1"/>
  <c r="CK24" i="7" s="1"/>
  <c r="CJ25" i="7" a="1"/>
  <c r="CJ25" i="7" s="1"/>
  <c r="CI25" i="7" a="1"/>
  <c r="CI25" i="7" s="1"/>
  <c r="CK27" i="7" a="1"/>
  <c r="CK27" i="7" s="1"/>
  <c r="CI26" i="7" a="1"/>
  <c r="CI26" i="7" s="1"/>
  <c r="CK26" i="7" a="1"/>
  <c r="CK26" i="7" s="1"/>
  <c r="CI28" i="7" a="1"/>
  <c r="CI28" i="7" s="1"/>
  <c r="CJ24" i="7" a="1"/>
  <c r="CJ24" i="7" s="1"/>
  <c r="CI27" i="7" a="1"/>
  <c r="CI27" i="7" s="1"/>
  <c r="CI24" i="7" a="1"/>
  <c r="CI24" i="7" s="1"/>
  <c r="CK28" i="7" a="1"/>
  <c r="CK28" i="7" s="1"/>
  <c r="CJ26" i="7" a="1"/>
  <c r="CJ26" i="7" s="1"/>
  <c r="CJ27" i="7" a="1"/>
  <c r="CJ27" i="7" s="1"/>
  <c r="CK25" i="7" a="1"/>
  <c r="CK25" i="7" s="1"/>
  <c r="AE70" i="6" a="1"/>
  <c r="AE71" i="6" a="1"/>
  <c r="AE71" i="6" s="1"/>
  <c r="AE74" i="6" a="1"/>
  <c r="AE74" i="6" s="1"/>
  <c r="AE70" i="6" l="1"/>
  <c r="AK8" i="6" s="1" a="1"/>
  <c r="AK8" i="6" l="1"/>
  <c r="AQ8" i="6" a="1"/>
  <c r="AQ8" i="6" s="1"/>
  <c r="AS8" i="6" s="1" a="1"/>
  <c r="AM8" i="6" a="1"/>
  <c r="AM8" i="6" s="1"/>
  <c r="AO8" i="6" s="1" a="1"/>
  <c r="AO8" i="6" l="1"/>
  <c r="BD8" i="6" a="1"/>
  <c r="BD8" i="6" s="1"/>
  <c r="BG8" i="6" a="1"/>
  <c r="BG8" i="6" s="1"/>
  <c r="BA8" i="6" a="1"/>
  <c r="BA8" i="6" s="1"/>
  <c r="AU8" i="6" a="1"/>
  <c r="AS8" i="6"/>
  <c r="BI8" i="6" s="1" a="1"/>
  <c r="BI8" i="6" s="1"/>
  <c r="BO8" i="6" l="1" a="1"/>
  <c r="BO8" i="6" s="1"/>
  <c r="BL8" i="6" a="1"/>
  <c r="BL8" i="6" s="1"/>
  <c r="AU8" i="6"/>
  <c r="AW8" i="6" a="1"/>
  <c r="AW8" i="6" l="1"/>
  <c r="BT8" i="6" a="1"/>
  <c r="BT8" i="6" s="1"/>
  <c r="BQ8" i="6" a="1"/>
  <c r="BQ8" i="6" s="1"/>
  <c r="BI50" i="6" a="1"/>
  <c r="BB61" i="6" l="1"/>
  <c r="BZ40" i="6" s="1"/>
  <c r="BI50" i="6"/>
  <c r="BA61" i="6" s="1"/>
  <c r="BW8" i="6" a="1"/>
  <c r="BW8" i="6" s="1"/>
  <c r="AY8" i="6" a="1"/>
  <c r="AY8" i="6" l="1"/>
  <c r="AK14" i="6" s="1" a="1"/>
  <c r="AK14" i="6" l="1"/>
  <c r="AM14" i="6" s="1" a="1"/>
  <c r="AM14" i="6" s="1"/>
  <c r="AO14" i="6" s="1" a="1"/>
  <c r="AQ14" i="6" a="1"/>
  <c r="AQ14" i="6" s="1"/>
  <c r="AS14" i="6" s="1" a="1"/>
  <c r="AS14" i="6" l="1"/>
  <c r="BO14" i="6" s="1" a="1"/>
  <c r="BO14" i="6" s="1"/>
  <c r="BL14" i="6" a="1"/>
  <c r="BL14" i="6" s="1"/>
  <c r="AO14" i="6"/>
  <c r="BA14" i="6" a="1"/>
  <c r="BA14" i="6" s="1"/>
  <c r="BG14" i="6" a="1"/>
  <c r="BG14" i="6" s="1"/>
  <c r="BD14" i="6" a="1"/>
  <c r="BD14" i="6" s="1"/>
  <c r="BI14" i="6" l="1" a="1"/>
  <c r="BI14" i="6" s="1"/>
  <c r="AU14" i="6" a="1"/>
  <c r="AU14" i="6" s="1"/>
  <c r="AW14" i="6" s="1" a="1"/>
  <c r="AW14" i="6" l="1"/>
  <c r="BQ14" i="6" a="1"/>
  <c r="BQ14" i="6" s="1"/>
  <c r="BW14" i="6" a="1"/>
  <c r="BW14" i="6" s="1"/>
  <c r="AY14" i="6" a="1"/>
  <c r="AY14" i="6" s="1"/>
  <c r="AK20" i="6" s="1" a="1"/>
  <c r="AK20" i="6" l="1"/>
  <c r="AM20" i="6" a="1"/>
  <c r="AM20" i="6" s="1"/>
  <c r="AO20" i="6" s="1" a="1"/>
  <c r="AQ20" i="6" a="1"/>
  <c r="AQ20" i="6" s="1"/>
  <c r="AS20" i="6" s="1" a="1"/>
  <c r="BT14" i="6" a="1"/>
  <c r="BT14" i="6" s="1"/>
  <c r="BG50" i="6" a="1"/>
  <c r="AS20" i="6" l="1"/>
  <c r="BL20" i="6" a="1"/>
  <c r="BL20" i="6" s="1"/>
  <c r="BO20" i="6" a="1"/>
  <c r="BO20" i="6" s="1"/>
  <c r="BI20" i="6" a="1"/>
  <c r="BI20" i="6" s="1"/>
  <c r="BB60" i="6"/>
  <c r="BZ39" i="6" s="1"/>
  <c r="BG50" i="6"/>
  <c r="BA60" i="6" s="1"/>
  <c r="AO20" i="6"/>
  <c r="AU20" i="6" a="1"/>
  <c r="AU20" i="6" s="1"/>
  <c r="AW20" i="6" s="1" a="1"/>
  <c r="AW20" i="6" l="1"/>
  <c r="BQ20" i="6" s="1" a="1"/>
  <c r="BQ20" i="6" s="1"/>
  <c r="BW20" i="6" a="1"/>
  <c r="BW20" i="6" s="1"/>
  <c r="BT20" i="6" a="1"/>
  <c r="BT20" i="6" s="1"/>
  <c r="BD20" i="6" a="1"/>
  <c r="BD20" i="6" s="1"/>
  <c r="AY20" i="6" a="1"/>
  <c r="BE50" i="6" a="1"/>
  <c r="BA20" i="6" a="1"/>
  <c r="BA20" i="6" s="1"/>
  <c r="BG20" i="6" a="1"/>
  <c r="BG20" i="6" s="1"/>
  <c r="AY20" i="6" l="1"/>
  <c r="AK26" i="6" a="1"/>
  <c r="AK26" i="6" s="1"/>
  <c r="BB59" i="6"/>
  <c r="BZ38" i="6" s="1"/>
  <c r="BE50" i="6"/>
  <c r="BA59" i="6" s="1"/>
  <c r="AQ26" i="6" a="1"/>
  <c r="AQ26" i="6" s="1"/>
  <c r="AS26" i="6" s="1" a="1"/>
  <c r="AM26" i="6" l="1" a="1"/>
  <c r="AM26" i="6" s="1"/>
  <c r="AO26" i="6" s="1" a="1"/>
  <c r="AO26" i="6" s="1"/>
  <c r="BG26" i="6" s="1" a="1"/>
  <c r="BG26" i="6" s="1"/>
  <c r="AS26" i="6"/>
  <c r="AU26" i="6" l="1" a="1"/>
  <c r="AU26" i="6" s="1"/>
  <c r="AW26" i="6" s="1" a="1"/>
  <c r="BD26" i="6" a="1"/>
  <c r="BD26" i="6" s="1"/>
  <c r="BA26" i="6" a="1"/>
  <c r="BA26" i="6" s="1"/>
  <c r="BL26" i="6" a="1"/>
  <c r="BL26" i="6" s="1"/>
  <c r="BO26" i="6" a="1"/>
  <c r="BO26" i="6" s="1"/>
  <c r="BI26" i="6" a="1"/>
  <c r="BI26" i="6" s="1"/>
  <c r="AW26" i="6"/>
  <c r="BD50" i="6" s="1" a="1"/>
  <c r="BQ26" i="6" a="1"/>
  <c r="BT26" i="6" l="1" a="1"/>
  <c r="BT26" i="6" s="1"/>
  <c r="BQ26" i="6"/>
  <c r="BB58" i="6"/>
  <c r="BZ37" i="6" s="1"/>
  <c r="BD50" i="6"/>
  <c r="BA58" i="6" s="1"/>
  <c r="AY26" i="6" a="1"/>
  <c r="BW26" i="6" a="1"/>
  <c r="BW26" i="6" l="1"/>
  <c r="AY26" i="6"/>
  <c r="AK32" i="6" a="1"/>
  <c r="AK32" i="6" l="1"/>
  <c r="AM32" i="6" s="1" a="1"/>
  <c r="AM32" i="6" s="1"/>
  <c r="AO32" i="6" s="1" a="1"/>
  <c r="AQ32" i="6" l="1" a="1"/>
  <c r="AQ32" i="6" s="1"/>
  <c r="AS32" i="6" s="1" a="1"/>
  <c r="AO32" i="6"/>
  <c r="AU32" i="6" s="1" a="1"/>
  <c r="AU32" i="6" s="1"/>
  <c r="AW32" i="6" s="1" a="1"/>
  <c r="BD32" i="6" l="1" a="1"/>
  <c r="AS32" i="6"/>
  <c r="AY32" i="6" s="1" a="1"/>
  <c r="AW32" i="6"/>
  <c r="BD32" i="6"/>
  <c r="BB50" i="6" a="1"/>
  <c r="BA32" i="6" a="1"/>
  <c r="BG32" i="6" a="1"/>
  <c r="BL32" i="6" l="1" a="1"/>
  <c r="BO32" i="6" a="1"/>
  <c r="BI32" i="6" a="1"/>
  <c r="BI32" i="6" s="1"/>
  <c r="BG32" i="6"/>
  <c r="BL32" i="6"/>
  <c r="BB57" i="6"/>
  <c r="BZ36" i="6" s="1"/>
  <c r="BB50" i="6"/>
  <c r="BA57" i="6" s="1"/>
  <c r="AY32" i="6"/>
  <c r="AK38" i="6" s="1" a="1"/>
  <c r="BA32" i="6"/>
  <c r="BW32" i="6" a="1"/>
  <c r="BQ32" i="6" a="1"/>
  <c r="BT32" i="6" a="1"/>
  <c r="BO32" i="6" l="1"/>
  <c r="BW32" i="6"/>
  <c r="AK38" i="6"/>
  <c r="BQ32" i="6"/>
  <c r="BT32" i="6"/>
  <c r="AQ38" i="6" l="1" a="1"/>
  <c r="AQ38" i="6" s="1"/>
  <c r="AS38" i="6" s="1" a="1"/>
  <c r="AM38" i="6" a="1"/>
  <c r="AS38" i="6" l="1"/>
  <c r="BL38" i="6" s="1" a="1"/>
  <c r="BI38" i="6" a="1"/>
  <c r="BO38" i="6" a="1"/>
  <c r="AM38" i="6"/>
  <c r="AO38" i="6" a="1"/>
  <c r="BO38" i="6" l="1"/>
  <c r="BO44" i="6" s="1"/>
  <c r="BO45" i="6"/>
  <c r="BL45" i="6"/>
  <c r="BM44" i="6"/>
  <c r="BM45" i="6"/>
  <c r="BL38" i="6"/>
  <c r="BL44" i="6" s="1"/>
  <c r="BI45" i="6"/>
  <c r="BJ45" i="6"/>
  <c r="BJ44" i="6"/>
  <c r="BI38" i="6"/>
  <c r="BI44" i="6" s="1"/>
  <c r="AO38" i="6"/>
  <c r="AU38" i="6" s="1" a="1"/>
  <c r="AU38" i="6" s="1"/>
  <c r="AW38" i="6" s="1" a="1"/>
  <c r="AW38" i="6" l="1"/>
  <c r="BQ38" i="6" s="1" a="1"/>
  <c r="BG38" i="6" a="1"/>
  <c r="BD38" i="6" a="1"/>
  <c r="AY38" i="6" a="1"/>
  <c r="AY38" i="6" s="1"/>
  <c r="BA38" i="6" a="1"/>
  <c r="BG38" i="6" l="1"/>
  <c r="BG44" i="6" s="1"/>
  <c r="BG45" i="6"/>
  <c r="BR44" i="6"/>
  <c r="BR45" i="6"/>
  <c r="BQ45" i="6"/>
  <c r="BQ38" i="6"/>
  <c r="BQ44" i="6" s="1"/>
  <c r="BD38" i="6"/>
  <c r="BD44" i="6" s="1"/>
  <c r="BD45" i="6"/>
  <c r="BE44" i="6"/>
  <c r="BE45" i="6"/>
  <c r="BA38" i="6"/>
  <c r="BA44" i="6" s="1"/>
  <c r="BB45" i="6"/>
  <c r="BB44" i="6"/>
  <c r="BA45" i="6"/>
  <c r="BA50" i="6" a="1"/>
  <c r="BW38" i="6" a="1"/>
  <c r="BT38" i="6" a="1"/>
  <c r="BW38" i="6" l="1"/>
  <c r="BW44" i="6" s="1"/>
  <c r="BW45" i="6"/>
  <c r="BA50" i="6"/>
  <c r="BA56" i="6" s="1"/>
  <c r="BB56" i="6"/>
  <c r="BT38" i="6"/>
  <c r="BT44" i="6" s="1"/>
  <c r="BU45" i="6"/>
  <c r="BU44" i="6"/>
  <c r="BT45" i="6"/>
  <c r="BZ35" i="6" l="1"/>
  <c r="CC44" i="6"/>
  <c r="CE24" i="6"/>
  <c r="BZ6" i="6" a="1"/>
  <c r="BZ6" i="6" l="1"/>
  <c r="CF6" i="6" s="1"/>
  <c r="CD15" i="6" s="1"/>
  <c r="CB10" i="6"/>
  <c r="BZ19" i="6" s="1"/>
  <c r="CE8" i="6"/>
  <c r="CC17" i="6" s="1"/>
  <c r="CF7" i="6"/>
  <c r="CD16" i="6" s="1"/>
  <c r="CB9" i="6"/>
  <c r="BZ18" i="6" s="1"/>
  <c r="CB11" i="6"/>
  <c r="BZ20" i="6" s="1"/>
  <c r="BZ44" i="6" a="1"/>
  <c r="BZ44" i="6" s="1"/>
  <c r="BZ45" i="6" a="1"/>
  <c r="BZ45" i="6" s="1"/>
  <c r="BZ46" i="6" a="1"/>
  <c r="BZ46" i="6" s="1"/>
  <c r="CB27" i="6" l="1" a="1"/>
  <c r="CB27" i="6" s="1"/>
  <c r="CB28" i="6" a="1"/>
  <c r="CB28" i="6" s="1"/>
  <c r="CA24" i="6" a="1"/>
  <c r="CA24" i="6" s="1"/>
  <c r="BZ26" i="6" a="1"/>
  <c r="BZ26" i="6" s="1"/>
  <c r="CA28" i="6" a="1"/>
  <c r="CA28" i="6" s="1"/>
  <c r="BZ25" i="6" a="1"/>
  <c r="BZ25" i="6" s="1"/>
  <c r="CA27" i="6" a="1"/>
  <c r="CA27" i="6" s="1"/>
  <c r="BZ24" i="6" a="1"/>
  <c r="BZ24" i="6" s="1"/>
  <c r="CB26" i="6" a="1"/>
  <c r="CB26" i="6" s="1"/>
  <c r="BZ28" i="6" a="1"/>
  <c r="BZ28" i="6" s="1"/>
  <c r="CB24" i="6" a="1"/>
  <c r="CB24" i="6" s="1"/>
  <c r="BZ27" i="6" a="1"/>
  <c r="BZ27" i="6" s="1"/>
  <c r="CA25" i="6" a="1"/>
  <c r="CA25" i="6" s="1"/>
  <c r="CB25" i="6" a="1"/>
  <c r="CB25" i="6" s="1"/>
  <c r="CA26" i="6" a="1"/>
  <c r="CA26" i="6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<sst xmlns="http://schemas.openxmlformats.org/spreadsheetml/2006/main" count="736" uniqueCount="230">
  <si>
    <t>W_IR</t>
  </si>
  <si>
    <t>W_IZ</t>
  </si>
  <si>
    <t>W_IN</t>
  </si>
  <si>
    <t>W_HR</t>
  </si>
  <si>
    <t>W_HZ</t>
  </si>
  <si>
    <t>W_HN</t>
  </si>
  <si>
    <t>H_0</t>
  </si>
  <si>
    <t>X_1</t>
  </si>
  <si>
    <t>X_2</t>
  </si>
  <si>
    <t>X_3</t>
  </si>
  <si>
    <t>X_4</t>
  </si>
  <si>
    <t>X_5</t>
  </si>
  <si>
    <t>X_6</t>
  </si>
  <si>
    <t>R_1</t>
  </si>
  <si>
    <t>INPUT ACTUAL</t>
  </si>
  <si>
    <t>FROM FRONTEND</t>
  </si>
  <si>
    <t>WIRXT</t>
  </si>
  <si>
    <t>WHRHT-1</t>
  </si>
  <si>
    <t>SUM</t>
  </si>
  <si>
    <t>Z_1</t>
  </si>
  <si>
    <t>WIZXT</t>
  </si>
  <si>
    <t>WHZHT-1</t>
  </si>
  <si>
    <t>N_1</t>
  </si>
  <si>
    <t>WINXT</t>
  </si>
  <si>
    <t>(hadamard)</t>
  </si>
  <si>
    <t>H_1</t>
  </si>
  <si>
    <t>1-ZT</t>
  </si>
  <si>
    <t>1-ZT NT</t>
  </si>
  <si>
    <t>RT HT-1</t>
  </si>
  <si>
    <t>ZT  HT-1</t>
  </si>
  <si>
    <t>at H_0^(0)</t>
  </si>
  <si>
    <t>^(0)</t>
  </si>
  <si>
    <t>^(1)</t>
  </si>
  <si>
    <t>at H_0^(1)</t>
  </si>
  <si>
    <t>J_0,n</t>
  </si>
  <si>
    <t>J_1,n</t>
  </si>
  <si>
    <t>H_0^T</t>
  </si>
  <si>
    <t>WHN RTHT-1</t>
  </si>
  <si>
    <t>NUM_LAYERS=2</t>
  </si>
  <si>
    <t>NUM_LAYERS=1</t>
  </si>
  <si>
    <t>DATA</t>
  </si>
  <si>
    <t>SAMPLE</t>
  </si>
  <si>
    <t>gembira</t>
  </si>
  <si>
    <t>sedih</t>
  </si>
  <si>
    <t>tegang</t>
  </si>
  <si>
    <t/>
  </si>
  <si>
    <t>INPUT</t>
  </si>
  <si>
    <t>PREDIKSI</t>
  </si>
  <si>
    <t>KONVOLUSI VERTIKAL</t>
  </si>
  <si>
    <t>FEED-FORWARD</t>
  </si>
  <si>
    <t>KERNEL</t>
  </si>
  <si>
    <t>HASIL</t>
  </si>
  <si>
    <t>BIAS</t>
  </si>
  <si>
    <t>RELU</t>
  </si>
  <si>
    <t>MAX-POOLING</t>
  </si>
  <si>
    <t>KERNEL 1x5</t>
  </si>
  <si>
    <t>KONVOLUSI HORIZONTAL</t>
  </si>
  <si>
    <t>MEAN-POOLING</t>
  </si>
  <si>
    <t>TRANSPOSE</t>
  </si>
  <si>
    <t>INPUT PADDED</t>
  </si>
  <si>
    <t>INPUT MEAN-POOLED</t>
  </si>
  <si>
    <t>INPUT MEAN-POOLED TRANSPOSED</t>
  </si>
  <si>
    <t>INPUT MEAN-POOLED TRANSPOSED PADDED</t>
  </si>
  <si>
    <t>CONCATENATE</t>
  </si>
  <si>
    <t>CONCATENATE PADDING</t>
  </si>
  <si>
    <t>FLATTEN</t>
  </si>
  <si>
    <t>KERNEL 1x2</t>
  </si>
  <si>
    <t>CLASSIFIER</t>
  </si>
  <si>
    <t>BOBOT</t>
  </si>
  <si>
    <t>OUTPUT</t>
  </si>
  <si>
    <t>OUTPUT SIGMOID</t>
  </si>
  <si>
    <t>LABEL</t>
  </si>
  <si>
    <t>Akan dihitung</t>
  </si>
  <si>
    <t>LOSS</t>
  </si>
  <si>
    <t>COUNTIF</t>
  </si>
  <si>
    <t>p_n</t>
  </si>
  <si>
    <t>n=1,2,3</t>
  </si>
  <si>
    <t>n=1</t>
  </si>
  <si>
    <t>t_n</t>
  </si>
  <si>
    <t>BACKPROPAGATION</t>
  </si>
  <si>
    <t>KE BACK-END</t>
  </si>
  <si>
    <t>KE FRONT-END</t>
  </si>
  <si>
    <t>KE POOLING</t>
  </si>
  <si>
    <t>argmax</t>
  </si>
  <si>
    <t>k=</t>
  </si>
  <si>
    <t>Catatan: matriks ini hasil backpropagation RELU yang di-flip vertikal lalu horizontal</t>
  </si>
  <si>
    <t>Catatan: ini adalah matriks hasil concatenate dari front-end saat feed-forward</t>
  </si>
  <si>
    <t>FRONT-END</t>
  </si>
  <si>
    <t>dB</t>
  </si>
  <si>
    <t>Z-SCORE</t>
  </si>
  <si>
    <t>avg=</t>
  </si>
  <si>
    <t>std_dev=</t>
  </si>
  <si>
    <t>KE RELU</t>
  </si>
  <si>
    <t>KE MAX-POOLING</t>
  </si>
  <si>
    <t>GRU</t>
  </si>
  <si>
    <t>h_0</t>
  </si>
  <si>
    <t>W_r</t>
  </si>
  <si>
    <t>U_r</t>
  </si>
  <si>
    <t>W_z</t>
  </si>
  <si>
    <t>W_h</t>
  </si>
  <si>
    <t>U_z</t>
  </si>
  <si>
    <t>U_h</t>
  </si>
  <si>
    <t>R</t>
  </si>
  <si>
    <t>SIGMOID</t>
  </si>
  <si>
    <t>Z</t>
  </si>
  <si>
    <t>TANH</t>
  </si>
  <si>
    <t>H</t>
  </si>
  <si>
    <t>BACK-END</t>
  </si>
  <si>
    <t>t=1</t>
  </si>
  <si>
    <t>L wrt h_t</t>
  </si>
  <si>
    <t>t=6</t>
  </si>
  <si>
    <t>t=5</t>
  </si>
  <si>
    <t>ITERASI MUNDUR</t>
  </si>
  <si>
    <t>t=4</t>
  </si>
  <si>
    <t>t=3</t>
  </si>
  <si>
    <t>t=2</t>
  </si>
  <si>
    <t>L wrt ~h_t</t>
  </si>
  <si>
    <t>L wrt z_~h(t)</t>
  </si>
  <si>
    <t>L wrt z_t</t>
  </si>
  <si>
    <t>L wrt z_z(t)</t>
  </si>
  <si>
    <t>L wrt r_t</t>
  </si>
  <si>
    <t>L wrt z_r(t)</t>
  </si>
  <si>
    <t>b_r</t>
  </si>
  <si>
    <t>b_z</t>
  </si>
  <si>
    <t>b_h</t>
  </si>
  <si>
    <t>H TILDE</t>
  </si>
  <si>
    <t>L wrt h_t-1</t>
  </si>
  <si>
    <t>L wrt W_h</t>
  </si>
  <si>
    <t>L wrt U_h</t>
  </si>
  <si>
    <t>L wrt b_h</t>
  </si>
  <si>
    <t>L wrt b_z</t>
  </si>
  <si>
    <t>L wrt b_r</t>
  </si>
  <si>
    <t>L wrt U_z</t>
  </si>
  <si>
    <t>L wrt U_r</t>
  </si>
  <si>
    <t>L wrt W_z</t>
  </si>
  <si>
    <t>L wrt W_r</t>
  </si>
  <si>
    <t>SUM t=1,2,...,6</t>
  </si>
  <si>
    <t>L wrt O_Cc</t>
  </si>
  <si>
    <t>h</t>
  </si>
  <si>
    <t>MHA</t>
  </si>
  <si>
    <t>head_1</t>
  </si>
  <si>
    <t>head_2</t>
  </si>
  <si>
    <t>W1Q</t>
  </si>
  <si>
    <t>W1K</t>
  </si>
  <si>
    <t>W1V</t>
  </si>
  <si>
    <t>W2Q</t>
  </si>
  <si>
    <t>W2K</t>
  </si>
  <si>
    <t>W2V</t>
  </si>
  <si>
    <t>WO</t>
  </si>
  <si>
    <t>QK^T</t>
  </si>
  <si>
    <t>Q WQ</t>
  </si>
  <si>
    <t>K WK</t>
  </si>
  <si>
    <t>V WV</t>
  </si>
  <si>
    <t>SOFTMAX</t>
  </si>
  <si>
    <t>POSITION-WISE FFN</t>
  </si>
  <si>
    <t>SOFTMAX V</t>
  </si>
  <si>
    <t>dk</t>
  </si>
  <si>
    <t>dv</t>
  </si>
  <si>
    <t>d_model</t>
  </si>
  <si>
    <t>d_ff</t>
  </si>
  <si>
    <t>W1</t>
  </si>
  <si>
    <t>b1</t>
  </si>
  <si>
    <t>W2</t>
  </si>
  <si>
    <t>b2</t>
  </si>
  <si>
    <t>LAYER 1</t>
  </si>
  <si>
    <t>LAYER 2</t>
  </si>
  <si>
    <t>L wrt O_FFN(1)</t>
  </si>
  <si>
    <t>L wrt O_MHA</t>
  </si>
  <si>
    <t>O_MHA</t>
  </si>
  <si>
    <t>O_FFN</t>
  </si>
  <si>
    <t>(termasuk residual)</t>
  </si>
  <si>
    <t>L wrt C_h</t>
  </si>
  <si>
    <t>L wrt V</t>
  </si>
  <si>
    <t>L wrt s_Attn(i)</t>
  </si>
  <si>
    <t>L wrt z_Attn(i)</t>
  </si>
  <si>
    <t>L wrt K</t>
  </si>
  <si>
    <t>L wrt Q</t>
  </si>
  <si>
    <t>L wrt WQ</t>
  </si>
  <si>
    <t>L wrt WK</t>
  </si>
  <si>
    <t>L wrt WV</t>
  </si>
  <si>
    <t>(2.90)</t>
  </si>
  <si>
    <t>term1</t>
  </si>
  <si>
    <t>term2</t>
  </si>
  <si>
    <t>term3</t>
  </si>
  <si>
    <t>(dengan residual)</t>
  </si>
  <si>
    <t>SEMUA head</t>
  </si>
  <si>
    <t>SHEET PENGHITUNGAN NUMERIK:</t>
  </si>
  <si>
    <t>FRONTEND</t>
  </si>
  <si>
    <t xml:space="preserve">CNN-BE </t>
  </si>
  <si>
    <t>GRU-BE</t>
  </si>
  <si>
    <t>ATTN-BE</t>
  </si>
  <si>
    <t>SHEET DRAFT:</t>
  </si>
  <si>
    <t>CONVTEST</t>
  </si>
  <si>
    <t>LMSPEC</t>
  </si>
  <si>
    <t>&gt;&gt; LIHAT SHEET "EVAL"</t>
  </si>
  <si>
    <t>CNN</t>
  </si>
  <si>
    <t>SESUNGGUHNYA</t>
  </si>
  <si>
    <t>Dummy</t>
  </si>
  <si>
    <t>EVAL</t>
  </si>
  <si>
    <t>Penghitungan PR-AUC dan ROC-AUC</t>
  </si>
  <si>
    <t>Feed-forward saja</t>
  </si>
  <si>
    <t>Termasuk backprop sampai front-end</t>
  </si>
  <si>
    <t>ATTN</t>
  </si>
  <si>
    <t>(sengaja unbalanced)</t>
  </si>
  <si>
    <t>prediksi</t>
  </si>
  <si>
    <t>sungguh</t>
  </si>
  <si>
    <t>CONFUSION</t>
  </si>
  <si>
    <t>P</t>
  </si>
  <si>
    <t>N</t>
  </si>
  <si>
    <t>TP</t>
  </si>
  <si>
    <t>TN</t>
  </si>
  <si>
    <t>FN</t>
  </si>
  <si>
    <t>FP</t>
  </si>
  <si>
    <t>ambang</t>
  </si>
  <si>
    <t>TPR</t>
  </si>
  <si>
    <t>FPR</t>
  </si>
  <si>
    <t>Precision</t>
  </si>
  <si>
    <t>base</t>
  </si>
  <si>
    <t>height</t>
  </si>
  <si>
    <t>area</t>
  </si>
  <si>
    <t>(Fawcett, 2006)</t>
  </si>
  <si>
    <t>ROC-AUC</t>
  </si>
  <si>
    <t>ROC</t>
  </si>
  <si>
    <t>PR</t>
  </si>
  <si>
    <t>PR-AUC</t>
  </si>
  <si>
    <t>MAKRO</t>
  </si>
  <si>
    <t>Manualisasi ini hanya untuk keluaran CNN saja</t>
  </si>
  <si>
    <t>karena selebihnya sama, hanya berbeda di nilai masukan/keluaran</t>
  </si>
  <si>
    <t>Back-end</t>
  </si>
  <si>
    <t>DARI FRONT-END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</si>
</sst>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1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C6EFCE"/>
      </patternFill>
    </fill>
    <fill>
      <patternFill patternType="solid">
        <fgColor rgb="FFFFEB9C"/>
      </patternFill>
    </fill>
  </fills>
  <borders count="2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ck">
        <color indexed="64"/>
      </right>
      <top/>
      <bottom/>
      <diagonal/>
    </border>
    <border diagonalUp="1" diagonalDown="1">
      <left/>
      <right style="thick">
        <color indexed="64"/>
      </right>
      <top/>
      <bottom/>
      <diagonal style="thin">
        <color indexed="64"/>
      </diagonal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Dashed">
        <color indexed="64"/>
      </left>
      <right/>
      <top style="mediumDashed">
        <color indexed="64"/>
      </top>
      <bottom/>
      <diagonal/>
    </border>
    <border>
      <left/>
      <right/>
      <top style="mediumDashed">
        <color indexed="64"/>
      </top>
      <bottom/>
      <diagonal/>
    </border>
    <border>
      <left/>
      <right style="mediumDashed">
        <color indexed="64"/>
      </right>
      <top style="mediumDashed">
        <color indexed="64"/>
      </top>
      <bottom/>
      <diagonal/>
    </border>
    <border>
      <left style="mediumDashed">
        <color indexed="64"/>
      </left>
      <right/>
      <top/>
      <bottom/>
      <diagonal/>
    </border>
    <border>
      <left/>
      <right style="mediumDashed">
        <color indexed="64"/>
      </right>
      <top/>
      <bottom/>
      <diagonal/>
    </border>
    <border>
      <left style="mediumDashed">
        <color indexed="64"/>
      </left>
      <right/>
      <top/>
      <bottom style="mediumDashed">
        <color indexed="64"/>
      </bottom>
      <diagonal/>
    </border>
    <border>
      <left/>
      <right/>
      <top/>
      <bottom style="mediumDashed">
        <color indexed="64"/>
      </bottom>
      <diagonal/>
    </border>
    <border>
      <left/>
      <right style="mediumDashed">
        <color indexed="64"/>
      </right>
      <top/>
      <bottom style="mediumDashed">
        <color indexed="64"/>
      </bottom>
      <diagonal/>
    </border>
  </borders>
  <cellStyleXfs count="3">
    <xf numFmtId="0" fontId="0" fillId="0" borderId="0"/>
    <xf numFmtId="0" fontId="3" fillId="4" borderId="0" applyNumberFormat="0" applyBorder="0" applyAlignment="0" applyProtection="0"/>
    <xf numFmtId="0" fontId="4" fillId="5" borderId="0" applyNumberFormat="0" applyBorder="0" applyAlignment="0" applyProtection="0"/>
  </cellStyleXfs>
  <cellXfs count="108">
    <xf numFmtId="0" fontId="0" fillId="0" borderId="0" xfId="0"/>
    <xf numFmtId="2" fontId="0" fillId="0" borderId="0" xfId="0" applyNumberFormat="1"/>
    <xf numFmtId="164" fontId="0" fillId="0" borderId="0" xfId="0" applyNumberFormat="1"/>
    <xf numFmtId="0" fontId="0" fillId="0" borderId="0" xfId="0" quotePrefix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164" fontId="0" fillId="0" borderId="7" xfId="0" applyNumberFormat="1" applyBorder="1"/>
    <xf numFmtId="0" fontId="0" fillId="0" borderId="8" xfId="0" applyBorder="1"/>
    <xf numFmtId="164" fontId="0" fillId="0" borderId="5" xfId="0" applyNumberFormat="1" applyBorder="1"/>
    <xf numFmtId="0" fontId="0" fillId="0" borderId="0" xfId="0" applyAlignment="1">
      <alignment horizontal="right"/>
    </xf>
    <xf numFmtId="0" fontId="0" fillId="0" borderId="7" xfId="0" applyBorder="1"/>
    <xf numFmtId="0" fontId="2" fillId="0" borderId="0" xfId="0" applyFont="1"/>
    <xf numFmtId="0" fontId="0" fillId="3" borderId="9" xfId="0" applyFill="1" applyBorder="1"/>
    <xf numFmtId="0" fontId="0" fillId="2" borderId="9" xfId="0" applyFill="1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5" xfId="0" applyBorder="1" applyAlignment="1">
      <alignment horizontal="right"/>
    </xf>
    <xf numFmtId="0" fontId="0" fillId="0" borderId="4" xfId="0" applyBorder="1" applyAlignment="1">
      <alignment horizontal="right"/>
    </xf>
    <xf numFmtId="0" fontId="0" fillId="0" borderId="7" xfId="0" quotePrefix="1" applyBorder="1"/>
    <xf numFmtId="164" fontId="0" fillId="0" borderId="8" xfId="0" applyNumberFormat="1" applyBorder="1"/>
    <xf numFmtId="0" fontId="0" fillId="0" borderId="13" xfId="0" applyBorder="1"/>
    <xf numFmtId="0" fontId="0" fillId="0" borderId="14" xfId="0" applyBorder="1"/>
    <xf numFmtId="0" fontId="0" fillId="0" borderId="1" xfId="0" applyBorder="1" applyAlignment="1">
      <alignment horizontal="right"/>
    </xf>
    <xf numFmtId="0" fontId="0" fillId="0" borderId="6" xfId="0" applyBorder="1" applyAlignment="1">
      <alignment horizontal="right"/>
    </xf>
    <xf numFmtId="164" fontId="0" fillId="0" borderId="11" xfId="0" applyNumberFormat="1" applyBorder="1"/>
    <xf numFmtId="164" fontId="0" fillId="0" borderId="12" xfId="0" applyNumberFormat="1" applyBorder="1"/>
    <xf numFmtId="0" fontId="0" fillId="0" borderId="0" xfId="0" applyAlignment="1">
      <alignment horizontal="center"/>
    </xf>
    <xf numFmtId="0" fontId="0" fillId="0" borderId="0" xfId="0" applyBorder="1"/>
    <xf numFmtId="0" fontId="6" fillId="0" borderId="0" xfId="0" applyFont="1"/>
    <xf numFmtId="0" fontId="7" fillId="0" borderId="0" xfId="0" applyFont="1"/>
    <xf numFmtId="0" fontId="5" fillId="0" borderId="0" xfId="0" applyFont="1"/>
    <xf numFmtId="0" fontId="0" fillId="0" borderId="0" xfId="0" applyAlignment="1">
      <alignment horizontal="left"/>
    </xf>
    <xf numFmtId="0" fontId="0" fillId="0" borderId="0" xfId="0" applyAlignment="1">
      <alignment horizontal="center" vertical="center" textRotation="90"/>
    </xf>
    <xf numFmtId="0" fontId="0" fillId="0" borderId="16" xfId="0" applyBorder="1"/>
    <xf numFmtId="0" fontId="0" fillId="0" borderId="7" xfId="0" applyBorder="1" applyAlignment="1">
      <alignment horizontal="right"/>
    </xf>
    <xf numFmtId="0" fontId="0" fillId="0" borderId="2" xfId="0" applyBorder="1" applyAlignment="1">
      <alignment horizontal="center" vertical="center" textRotation="90"/>
    </xf>
    <xf numFmtId="0" fontId="0" fillId="0" borderId="0" xfId="0" applyBorder="1" applyAlignment="1">
      <alignment horizontal="center" vertical="center" textRotation="90"/>
    </xf>
    <xf numFmtId="0" fontId="2" fillId="0" borderId="7" xfId="0" applyFont="1" applyBorder="1"/>
    <xf numFmtId="0" fontId="0" fillId="0" borderId="0" xfId="0" applyFill="1" applyBorder="1"/>
    <xf numFmtId="0" fontId="0" fillId="0" borderId="7" xfId="0" applyBorder="1" applyAlignment="1">
      <alignment horizontal="center" vertical="center" textRotation="90"/>
    </xf>
    <xf numFmtId="0" fontId="2" fillId="0" borderId="0" xfId="0" applyFont="1" applyAlignment="1">
      <alignment horizontal="center" vertical="center"/>
    </xf>
    <xf numFmtId="0" fontId="0" fillId="0" borderId="0" xfId="0" applyBorder="1" applyAlignment="1">
      <alignment horizontal="right"/>
    </xf>
    <xf numFmtId="0" fontId="0" fillId="0" borderId="0" xfId="0" quotePrefix="1" applyBorder="1"/>
    <xf numFmtId="0" fontId="0" fillId="0" borderId="15" xfId="0" applyBorder="1" applyAlignment="1">
      <alignment horizontal="right"/>
    </xf>
    <xf numFmtId="0" fontId="8" fillId="0" borderId="0" xfId="0" applyFont="1" applyAlignment="1">
      <alignment horizontal="left"/>
    </xf>
    <xf numFmtId="0" fontId="5" fillId="0" borderId="0" xfId="0" applyFont="1" applyBorder="1"/>
    <xf numFmtId="0" fontId="5" fillId="0" borderId="1" xfId="0" applyFont="1" applyBorder="1"/>
    <xf numFmtId="0" fontId="5" fillId="0" borderId="3" xfId="0" applyFont="1" applyBorder="1"/>
    <xf numFmtId="0" fontId="5" fillId="0" borderId="2" xfId="0" applyFont="1" applyBorder="1"/>
    <xf numFmtId="0" fontId="9" fillId="0" borderId="0" xfId="0" applyFont="1"/>
    <xf numFmtId="0" fontId="8" fillId="0" borderId="0" xfId="0" applyFont="1"/>
    <xf numFmtId="0" fontId="8" fillId="0" borderId="13" xfId="0" applyFont="1" applyBorder="1"/>
    <xf numFmtId="0" fontId="0" fillId="0" borderId="0" xfId="0" applyNumberFormat="1"/>
    <xf numFmtId="0" fontId="0" fillId="0" borderId="1" xfId="0" applyNumberFormat="1" applyBorder="1"/>
    <xf numFmtId="0" fontId="0" fillId="0" borderId="2" xfId="0" applyNumberFormat="1" applyBorder="1"/>
    <xf numFmtId="0" fontId="0" fillId="0" borderId="3" xfId="0" applyNumberFormat="1" applyBorder="1"/>
    <xf numFmtId="0" fontId="9" fillId="0" borderId="0" xfId="0" applyNumberFormat="1" applyFont="1"/>
    <xf numFmtId="0" fontId="0" fillId="0" borderId="4" xfId="0" applyNumberFormat="1" applyBorder="1"/>
    <xf numFmtId="0" fontId="0" fillId="0" borderId="5" xfId="0" applyNumberFormat="1" applyBorder="1"/>
    <xf numFmtId="0" fontId="5" fillId="0" borderId="2" xfId="0" applyNumberFormat="1" applyFont="1" applyBorder="1"/>
    <xf numFmtId="0" fontId="0" fillId="0" borderId="6" xfId="0" applyNumberFormat="1" applyBorder="1"/>
    <xf numFmtId="0" fontId="0" fillId="0" borderId="7" xfId="0" applyNumberFormat="1" applyBorder="1"/>
    <xf numFmtId="0" fontId="0" fillId="0" borderId="8" xfId="0" applyNumberFormat="1" applyBorder="1"/>
    <xf numFmtId="0" fontId="5" fillId="0" borderId="3" xfId="0" applyNumberFormat="1" applyFont="1" applyBorder="1"/>
    <xf numFmtId="0" fontId="0" fillId="0" borderId="0" xfId="0" applyNumberFormat="1" applyBorder="1"/>
    <xf numFmtId="0" fontId="0" fillId="0" borderId="5" xfId="0" applyNumberFormat="1" applyBorder="1" applyAlignment="1">
      <alignment horizontal="right"/>
    </xf>
    <xf numFmtId="0" fontId="0" fillId="0" borderId="4" xfId="0" applyNumberFormat="1" applyBorder="1" applyAlignment="1">
      <alignment horizontal="right"/>
    </xf>
    <xf numFmtId="0" fontId="0" fillId="0" borderId="0" xfId="0" quotePrefix="1" applyNumberFormat="1"/>
    <xf numFmtId="0" fontId="0" fillId="0" borderId="0" xfId="0" applyNumberFormat="1" applyAlignment="1">
      <alignment horizontal="right"/>
    </xf>
    <xf numFmtId="0" fontId="0" fillId="0" borderId="7" xfId="0" quotePrefix="1" applyNumberFormat="1" applyBorder="1"/>
    <xf numFmtId="0" fontId="0" fillId="0" borderId="10" xfId="0" applyNumberFormat="1" applyBorder="1"/>
    <xf numFmtId="0" fontId="0" fillId="0" borderId="11" xfId="0" applyNumberFormat="1" applyBorder="1"/>
    <xf numFmtId="0" fontId="0" fillId="0" borderId="12" xfId="0" applyNumberFormat="1" applyBorder="1"/>
    <xf numFmtId="0" fontId="3" fillId="4" borderId="0" xfId="1" applyNumberFormat="1"/>
    <xf numFmtId="0" fontId="4" fillId="5" borderId="0" xfId="2" applyNumberFormat="1"/>
    <xf numFmtId="0" fontId="4" fillId="5" borderId="0" xfId="2" applyNumberFormat="1" applyBorder="1"/>
    <xf numFmtId="0" fontId="4" fillId="5" borderId="7" xfId="2" applyNumberFormat="1" applyBorder="1"/>
    <xf numFmtId="0" fontId="3" fillId="4" borderId="5" xfId="1" applyNumberFormat="1" applyBorder="1"/>
    <xf numFmtId="0" fontId="3" fillId="4" borderId="8" xfId="1" applyNumberFormat="1" applyBorder="1"/>
    <xf numFmtId="0" fontId="3" fillId="4" borderId="7" xfId="1" applyNumberFormat="1" applyBorder="1"/>
    <xf numFmtId="0" fontId="4" fillId="5" borderId="0" xfId="2"/>
    <xf numFmtId="0" fontId="4" fillId="5" borderId="7" xfId="2" applyBorder="1"/>
    <xf numFmtId="0" fontId="3" fillId="4" borderId="5" xfId="1" applyBorder="1"/>
    <xf numFmtId="0" fontId="3" fillId="4" borderId="8" xfId="1" applyBorder="1"/>
    <xf numFmtId="0" fontId="3" fillId="4" borderId="0" xfId="1"/>
    <xf numFmtId="0" fontId="4" fillId="5" borderId="11" xfId="2" applyBorder="1"/>
    <xf numFmtId="0" fontId="3" fillId="4" borderId="12" xfId="1" applyBorder="1"/>
    <xf numFmtId="0" fontId="4" fillId="5" borderId="5" xfId="2" applyBorder="1"/>
    <xf numFmtId="0" fontId="0" fillId="0" borderId="17" xfId="0" applyBorder="1"/>
    <xf numFmtId="0" fontId="10" fillId="0" borderId="18" xfId="0" applyFont="1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20" xfId="0" applyBorder="1" applyAlignment="1">
      <alignment horizontal="right"/>
    </xf>
    <xf numFmtId="0" fontId="0" fillId="0" borderId="22" xfId="0" applyBorder="1"/>
    <xf numFmtId="0" fontId="4" fillId="5" borderId="0" xfId="2" applyBorder="1"/>
    <xf numFmtId="0" fontId="4" fillId="5" borderId="23" xfId="2" applyBorder="1"/>
    <xf numFmtId="0" fontId="3" fillId="4" borderId="21" xfId="1" applyBorder="1"/>
    <xf numFmtId="0" fontId="3" fillId="4" borderId="24" xfId="1" applyBorder="1"/>
    <xf numFmtId="0" fontId="4" fillId="5" borderId="13" xfId="2" applyBorder="1"/>
    <xf numFmtId="0" fontId="3" fillId="4" borderId="13" xfId="1" applyBorder="1"/>
    <xf numFmtId="0" fontId="4" fillId="5" borderId="4" xfId="2" applyBorder="1"/>
    <xf numFmtId="0" fontId="4" fillId="5" borderId="6" xfId="2" applyBorder="1"/>
  </cellXfs>
  <cellStyles count="3">
    <cellStyle name="Good" xfId="1" builtinId="26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D"/>
              <a:t>ROC gembira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EVAL!$AD$10</c:f>
              <c:strCache>
                <c:ptCount val="1"/>
                <c:pt idx="0">
                  <c:v>TPR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EVAL!$AC$11:$AC$15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</c:numCache>
            </c:numRef>
          </c:xVal>
          <c:yVal>
            <c:numRef>
              <c:f>EVAL!$AD$11:$AD$15</c:f>
              <c:numCache>
                <c:formatCode>General</c:formatCode>
                <c:ptCount val="5"/>
                <c:pt idx="0">
                  <c:v>0.33333333333333331</c:v>
                </c:pt>
                <c:pt idx="1">
                  <c:v>0.33333333333333331</c:v>
                </c:pt>
                <c:pt idx="2">
                  <c:v>0.66666666666666663</c:v>
                </c:pt>
                <c:pt idx="3">
                  <c:v>0.66666666666666663</c:v>
                </c:pt>
                <c:pt idx="4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D69-460E-A88F-7465247F17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654992"/>
        <c:axId val="67390000"/>
      </c:scatterChart>
      <c:valAx>
        <c:axId val="536549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390000"/>
        <c:crosses val="autoZero"/>
        <c:crossBetween val="midCat"/>
      </c:valAx>
      <c:valAx>
        <c:axId val="67390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6549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D"/>
              <a:t>PR gembira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EVAL!$AE$10</c:f>
              <c:strCache>
                <c:ptCount val="1"/>
                <c:pt idx="0">
                  <c:v>Precision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EVAL!$AD$11:$AD$15</c:f>
              <c:numCache>
                <c:formatCode>General</c:formatCode>
                <c:ptCount val="5"/>
                <c:pt idx="0">
                  <c:v>0.33333333333333331</c:v>
                </c:pt>
                <c:pt idx="1">
                  <c:v>0.33333333333333331</c:v>
                </c:pt>
                <c:pt idx="2">
                  <c:v>0.66666666666666663</c:v>
                </c:pt>
                <c:pt idx="3">
                  <c:v>0.66666666666666663</c:v>
                </c:pt>
                <c:pt idx="4">
                  <c:v>1</c:v>
                </c:pt>
              </c:numCache>
            </c:numRef>
          </c:xVal>
          <c:yVal>
            <c:numRef>
              <c:f>EVAL!$AE$11:$AE$15</c:f>
              <c:numCache>
                <c:formatCode>General</c:formatCode>
                <c:ptCount val="5"/>
                <c:pt idx="0">
                  <c:v>1</c:v>
                </c:pt>
                <c:pt idx="1">
                  <c:v>1</c:v>
                </c:pt>
                <c:pt idx="2">
                  <c:v>0.66666666666666663</c:v>
                </c:pt>
                <c:pt idx="3">
                  <c:v>0.66666666666666663</c:v>
                </c:pt>
                <c:pt idx="4">
                  <c:v>0.75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D15-41ED-9696-D3AE39BE54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14887184"/>
        <c:axId val="2114889104"/>
      </c:scatterChart>
      <c:valAx>
        <c:axId val="21148871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4889104"/>
        <c:crosses val="autoZero"/>
        <c:crossBetween val="midCat"/>
      </c:valAx>
      <c:valAx>
        <c:axId val="2114889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48871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ROC sedih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EVAL!$AD$40</c:f>
              <c:strCache>
                <c:ptCount val="1"/>
                <c:pt idx="0">
                  <c:v>TPR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EVAL!$AC$41:$AC$45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</c:numCache>
            </c:numRef>
          </c:xVal>
          <c:yVal>
            <c:numRef>
              <c:f>EVAL!$AD$41:$AD$45</c:f>
              <c:numCache>
                <c:formatCode>General</c:formatCode>
                <c:ptCount val="5"/>
                <c:pt idx="0">
                  <c:v>0.5</c:v>
                </c:pt>
                <c:pt idx="1">
                  <c:v>0.5</c:v>
                </c:pt>
                <c:pt idx="2">
                  <c:v>0.5</c:v>
                </c:pt>
                <c:pt idx="3">
                  <c:v>0.5</c:v>
                </c:pt>
                <c:pt idx="4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3E9-4FB1-8D86-378078ECA4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3392096"/>
        <c:axId val="2073375776"/>
      </c:scatterChart>
      <c:valAx>
        <c:axId val="2073392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3375776"/>
        <c:crosses val="autoZero"/>
        <c:crossBetween val="midCat"/>
      </c:valAx>
      <c:valAx>
        <c:axId val="2073375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33920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 sedih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EVAL!$AE$40</c:f>
              <c:strCache>
                <c:ptCount val="1"/>
                <c:pt idx="0">
                  <c:v>Precision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EVAL!$AD$41:$AD$45</c:f>
              <c:numCache>
                <c:formatCode>General</c:formatCode>
                <c:ptCount val="5"/>
                <c:pt idx="0">
                  <c:v>0.5</c:v>
                </c:pt>
                <c:pt idx="1">
                  <c:v>0.5</c:v>
                </c:pt>
                <c:pt idx="2">
                  <c:v>0.5</c:v>
                </c:pt>
                <c:pt idx="3">
                  <c:v>0.5</c:v>
                </c:pt>
                <c:pt idx="4">
                  <c:v>1</c:v>
                </c:pt>
              </c:numCache>
            </c:numRef>
          </c:xVal>
          <c:yVal>
            <c:numRef>
              <c:f>EVAL!$AE$41:$AE$45</c:f>
              <c:numCache>
                <c:formatCode>General</c:formatCode>
                <c:ptCount val="5"/>
                <c:pt idx="0">
                  <c:v>1</c:v>
                </c:pt>
                <c:pt idx="1">
                  <c:v>0.33333333333333331</c:v>
                </c:pt>
                <c:pt idx="2">
                  <c:v>0.33333333333333331</c:v>
                </c:pt>
                <c:pt idx="3">
                  <c:v>0.33333333333333331</c:v>
                </c:pt>
                <c:pt idx="4">
                  <c:v>0.5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C8B-4AFB-AD07-3BBAA122BA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4974624"/>
        <c:axId val="134975104"/>
      </c:scatterChart>
      <c:valAx>
        <c:axId val="1349746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975104"/>
        <c:crosses val="autoZero"/>
        <c:crossBetween val="midCat"/>
      </c:valAx>
      <c:valAx>
        <c:axId val="134975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9746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ROC tegang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EVAL!$AD$70</c:f>
              <c:strCache>
                <c:ptCount val="1"/>
                <c:pt idx="0">
                  <c:v>TPR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EVAL!$AC$71:$AC$75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</c:numCache>
            </c:numRef>
          </c:xVal>
          <c:yVal>
            <c:numRef>
              <c:f>EVAL!$AD$71:$AD$75</c:f>
              <c:numCache>
                <c:formatCode>General</c:formatCode>
                <c:ptCount val="5"/>
                <c:pt idx="0">
                  <c:v>0.5</c:v>
                </c:pt>
                <c:pt idx="1">
                  <c:v>0.5</c:v>
                </c:pt>
                <c:pt idx="2">
                  <c:v>0.5</c:v>
                </c:pt>
                <c:pt idx="3">
                  <c:v>0.5</c:v>
                </c:pt>
                <c:pt idx="4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EC9-4C72-8CA1-CAEA2F0EDF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3705008"/>
        <c:axId val="233702128"/>
      </c:scatterChart>
      <c:valAx>
        <c:axId val="2337050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3702128"/>
        <c:crosses val="autoZero"/>
        <c:crossBetween val="midCat"/>
      </c:valAx>
      <c:valAx>
        <c:axId val="233702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37050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 tegang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EVAL!$AE$70</c:f>
              <c:strCache>
                <c:ptCount val="1"/>
                <c:pt idx="0">
                  <c:v>Precision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EVAL!$AD$71:$AD$75</c:f>
              <c:numCache>
                <c:formatCode>General</c:formatCode>
                <c:ptCount val="5"/>
                <c:pt idx="0">
                  <c:v>0.5</c:v>
                </c:pt>
                <c:pt idx="1">
                  <c:v>0.5</c:v>
                </c:pt>
                <c:pt idx="2">
                  <c:v>0.5</c:v>
                </c:pt>
                <c:pt idx="3">
                  <c:v>0.5</c:v>
                </c:pt>
                <c:pt idx="4">
                  <c:v>1</c:v>
                </c:pt>
              </c:numCache>
            </c:numRef>
          </c:xVal>
          <c:yVal>
            <c:numRef>
              <c:f>EVAL!$AE$71:$AE$75</c:f>
              <c:numCache>
                <c:formatCode>General</c:formatCode>
                <c:ptCount val="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0.33333333333333331</c:v>
                </c:pt>
                <c:pt idx="4">
                  <c:v>0.5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732-4D30-A59B-383CA9D7A8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9895312"/>
        <c:axId val="249894832"/>
      </c:scatterChart>
      <c:valAx>
        <c:axId val="249895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9894832"/>
        <c:crosses val="autoZero"/>
        <c:crossBetween val="midCat"/>
      </c:valAx>
      <c:valAx>
        <c:axId val="249894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98953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72</xdr:col>
      <xdr:colOff>36635</xdr:colOff>
      <xdr:row>54</xdr:row>
      <xdr:rowOff>186841</xdr:rowOff>
    </xdr:from>
    <xdr:to>
      <xdr:col>77</xdr:col>
      <xdr:colOff>95250</xdr:colOff>
      <xdr:row>60</xdr:row>
      <xdr:rowOff>49015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F772F44-8EAD-E38A-3BEF-47B6C546E3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9546335" y="10750066"/>
          <a:ext cx="2630365" cy="101469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31</xdr:col>
      <xdr:colOff>611200</xdr:colOff>
      <xdr:row>1</xdr:row>
      <xdr:rowOff>79429</xdr:rowOff>
    </xdr:from>
    <xdr:to>
      <xdr:col>36</xdr:col>
      <xdr:colOff>471252</xdr:colOff>
      <xdr:row>15</xdr:row>
      <xdr:rowOff>129353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9986E6A3-D4AB-7662-57C6-9BF5AE93FE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32</xdr:col>
      <xdr:colOff>0</xdr:colOff>
      <xdr:row>15</xdr:row>
      <xdr:rowOff>196813</xdr:rowOff>
    </xdr:from>
    <xdr:to>
      <xdr:col>37</xdr:col>
      <xdr:colOff>275897</xdr:colOff>
      <xdr:row>30</xdr:row>
      <xdr:rowOff>74230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6E15ADF9-4A0E-8E91-D4B7-D907DAF7C1E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32</xdr:col>
      <xdr:colOff>8283</xdr:colOff>
      <xdr:row>32</xdr:row>
      <xdr:rowOff>185530</xdr:rowOff>
    </xdr:from>
    <xdr:to>
      <xdr:col>36</xdr:col>
      <xdr:colOff>463825</xdr:colOff>
      <xdr:row>47</xdr:row>
      <xdr:rowOff>71230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2187B1CF-1B96-9924-9CD7-80DE05B7B7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32</xdr:col>
      <xdr:colOff>12423</xdr:colOff>
      <xdr:row>47</xdr:row>
      <xdr:rowOff>160682</xdr:rowOff>
    </xdr:from>
    <xdr:to>
      <xdr:col>36</xdr:col>
      <xdr:colOff>480391</xdr:colOff>
      <xdr:row>60</xdr:row>
      <xdr:rowOff>124239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B692E3FD-CEB8-0A00-948A-A4206E30B6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31</xdr:col>
      <xdr:colOff>579781</xdr:colOff>
      <xdr:row>62</xdr:row>
      <xdr:rowOff>127552</xdr:rowOff>
    </xdr:from>
    <xdr:to>
      <xdr:col>36</xdr:col>
      <xdr:colOff>463825</xdr:colOff>
      <xdr:row>77</xdr:row>
      <xdr:rowOff>115956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49EC91DB-2FDC-E3ED-08CB-3F7B69551C7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31</xdr:col>
      <xdr:colOff>588065</xdr:colOff>
      <xdr:row>77</xdr:row>
      <xdr:rowOff>168964</xdr:rowOff>
    </xdr:from>
    <xdr:to>
      <xdr:col>36</xdr:col>
      <xdr:colOff>530087</xdr:colOff>
      <xdr:row>91</xdr:row>
      <xdr:rowOff>57978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A4275761-0937-8D17-DA22-26FC542BEE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C0F54-235A-426D-B2F4-B5B3CFC2F042}">
  <dimension ref="A2:M19"/>
  <sheetViews>
    <sheetView zoomScale="130" zoomScaleNormal="130" workbookViewId="0">
      <selection activeCell="I17" sqref="I17"/>
    </sheetView>
  </sheetViews>
  <sheetFormatPr defaultRowHeight="15" x14ac:dyDescent="0.25"/>
  <sheetData>
    <row r="2" spans="1:13" x14ac:dyDescent="0.25">
      <c r="A2" s="3" t="s">
        <v>45</v>
      </c>
      <c r="B2" t="s">
        <v>46</v>
      </c>
      <c r="C2" s="3" t="s">
        <v>88</v>
      </c>
      <c r="D2" s="3" t="s">
        <v>45</v>
      </c>
      <c r="E2" s="3" t="s">
        <v>45</v>
      </c>
      <c r="F2" s="3" t="s">
        <v>45</v>
      </c>
      <c r="I2" t="s">
        <v>89</v>
      </c>
      <c r="J2" s="13" t="s">
        <v>90</v>
      </c>
      <c r="K2" s="2">
        <f>AVERAGE(B4:F9)</f>
        <v>-36.560133333333326</v>
      </c>
      <c r="L2" s="13" t="s">
        <v>91</v>
      </c>
      <c r="M2">
        <f>_xlfn.STDEV.P(B4:F9)</f>
        <v>23.489285672029762</v>
      </c>
    </row>
    <row r="3" spans="1:13" x14ac:dyDescent="0.25">
      <c r="A3" s="3" t="s">
        <v>45</v>
      </c>
      <c r="B3">
        <v>1</v>
      </c>
      <c r="C3">
        <v>2</v>
      </c>
      <c r="D3">
        <v>3</v>
      </c>
      <c r="E3">
        <v>4</v>
      </c>
      <c r="F3">
        <v>5</v>
      </c>
      <c r="I3">
        <v>1</v>
      </c>
      <c r="J3">
        <v>2</v>
      </c>
      <c r="K3">
        <v>3</v>
      </c>
      <c r="L3">
        <v>4</v>
      </c>
      <c r="M3">
        <v>5</v>
      </c>
    </row>
    <row r="4" spans="1:13" x14ac:dyDescent="0.25">
      <c r="A4">
        <v>1</v>
      </c>
      <c r="B4" s="2">
        <v>-59.793999999999997</v>
      </c>
      <c r="C4" s="2">
        <v>-7.1420000000000003</v>
      </c>
      <c r="D4" s="2">
        <v>-39.578000000000003</v>
      </c>
      <c r="E4" s="2">
        <v>-12.314</v>
      </c>
      <c r="F4" s="2">
        <v>0.47799999999999998</v>
      </c>
      <c r="H4">
        <v>1</v>
      </c>
      <c r="I4">
        <f>(B4-$K$2)/$M$2</f>
        <v>-0.98912614845213298</v>
      </c>
      <c r="J4">
        <f t="shared" ref="J4:M4" si="0">(C4-$K$2)/$M$2</f>
        <v>1.2524064692339041</v>
      </c>
      <c r="K4">
        <f t="shared" si="0"/>
        <v>-0.12847843518120475</v>
      </c>
      <c r="L4">
        <f t="shared" si="0"/>
        <v>1.03222097393131</v>
      </c>
      <c r="M4">
        <f t="shared" si="0"/>
        <v>1.5768096931716007</v>
      </c>
    </row>
    <row r="5" spans="1:13" x14ac:dyDescent="0.25">
      <c r="A5">
        <v>2</v>
      </c>
      <c r="B5" s="2">
        <v>-27.716000000000001</v>
      </c>
      <c r="C5" s="2">
        <v>-12.11</v>
      </c>
      <c r="D5" s="2">
        <v>-74.792000000000002</v>
      </c>
      <c r="E5" s="2">
        <v>1.2849999999999999</v>
      </c>
      <c r="F5" s="2">
        <v>-9.4410000000000007</v>
      </c>
      <c r="H5">
        <v>2</v>
      </c>
      <c r="I5">
        <f t="shared" ref="I5:I9" si="1">(B5-$K$2)/$M$2</f>
        <v>0.37651776460212311</v>
      </c>
      <c r="J5">
        <f t="shared" ref="J5:J9" si="2">(C5-$K$2)/$M$2</f>
        <v>1.0409057846509018</v>
      </c>
      <c r="K5">
        <f t="shared" ref="K5:K9" si="3">(D5-$K$2)/$M$2</f>
        <v>-1.6276300267484027</v>
      </c>
      <c r="L5">
        <f t="shared" ref="L5:L9" si="4">(E5-$K$2)/$M$2</f>
        <v>1.6111657826358685</v>
      </c>
      <c r="M5">
        <f t="shared" ref="M5:M9" si="5">(F5-$K$2)/$M$2</f>
        <v>1.1545320582322287</v>
      </c>
    </row>
    <row r="6" spans="1:13" x14ac:dyDescent="0.25">
      <c r="A6">
        <v>3</v>
      </c>
      <c r="B6" s="2">
        <v>-53.908000000000001</v>
      </c>
      <c r="C6" s="2">
        <v>-45.502000000000002</v>
      </c>
      <c r="D6" s="2">
        <v>3.4319999999999999</v>
      </c>
      <c r="E6" s="2">
        <v>-14.909000000000001</v>
      </c>
      <c r="F6" s="2">
        <v>-28.7</v>
      </c>
      <c r="H6">
        <v>3</v>
      </c>
      <c r="I6">
        <f t="shared" si="1"/>
        <v>-0.73854381563096749</v>
      </c>
      <c r="J6">
        <f t="shared" si="2"/>
        <v>-0.38067852686190223</v>
      </c>
      <c r="K6">
        <f t="shared" si="3"/>
        <v>1.7025691581994165</v>
      </c>
      <c r="L6">
        <f t="shared" si="4"/>
        <v>0.92174507286591334</v>
      </c>
      <c r="M6">
        <f t="shared" si="5"/>
        <v>0.33462632466056236</v>
      </c>
    </row>
    <row r="7" spans="1:13" x14ac:dyDescent="0.25">
      <c r="A7">
        <v>4</v>
      </c>
      <c r="B7" s="2">
        <v>-21.989000000000001</v>
      </c>
      <c r="C7" s="2">
        <v>-49.432000000000002</v>
      </c>
      <c r="D7" s="2">
        <v>-33.218000000000004</v>
      </c>
      <c r="E7" s="2">
        <v>-57.795000000000002</v>
      </c>
      <c r="F7" s="2">
        <v>-55.088000000000001</v>
      </c>
      <c r="H7">
        <v>4</v>
      </c>
      <c r="I7">
        <f t="shared" si="1"/>
        <v>0.62033105377419506</v>
      </c>
      <c r="J7">
        <f t="shared" si="2"/>
        <v>-0.54798885101874573</v>
      </c>
      <c r="K7">
        <f t="shared" si="3"/>
        <v>0.14228331078254203</v>
      </c>
      <c r="L7">
        <f t="shared" si="4"/>
        <v>-0.90402351792044611</v>
      </c>
      <c r="M7">
        <f t="shared" si="5"/>
        <v>-0.78877948547958721</v>
      </c>
    </row>
    <row r="8" spans="1:13" x14ac:dyDescent="0.25">
      <c r="A8">
        <v>5</v>
      </c>
      <c r="B8" s="2">
        <v>-54.372999999999998</v>
      </c>
      <c r="C8" s="2">
        <v>-37.046999999999997</v>
      </c>
      <c r="D8" s="2">
        <v>-62.012</v>
      </c>
      <c r="E8" s="2">
        <v>-57.112000000000002</v>
      </c>
      <c r="F8" s="2">
        <v>-41.292999999999999</v>
      </c>
      <c r="H8">
        <v>5</v>
      </c>
      <c r="I8">
        <f t="shared" si="1"/>
        <v>-0.75834007535944881</v>
      </c>
      <c r="J8">
        <f t="shared" si="2"/>
        <v>-2.072718061607192E-2</v>
      </c>
      <c r="K8">
        <f t="shared" si="3"/>
        <v>-1.0835521787269116</v>
      </c>
      <c r="L8">
        <f t="shared" si="4"/>
        <v>-0.87494643105044001</v>
      </c>
      <c r="M8">
        <f t="shared" si="5"/>
        <v>-0.20149044686796963</v>
      </c>
    </row>
    <row r="9" spans="1:13" x14ac:dyDescent="0.25">
      <c r="A9">
        <v>6</v>
      </c>
      <c r="B9" s="2">
        <v>-46.914999999999999</v>
      </c>
      <c r="C9" s="2">
        <v>-70.941999999999993</v>
      </c>
      <c r="D9" s="2">
        <v>-73.587000000000003</v>
      </c>
      <c r="E9" s="2">
        <v>-5.8579999999999997</v>
      </c>
      <c r="F9" s="2">
        <v>-49.432000000000002</v>
      </c>
      <c r="H9">
        <v>6</v>
      </c>
      <c r="I9">
        <f t="shared" si="1"/>
        <v>-0.44083361287554584</v>
      </c>
      <c r="J9">
        <f t="shared" si="2"/>
        <v>-1.4637255107168889</v>
      </c>
      <c r="K9">
        <f t="shared" si="3"/>
        <v>-1.5763300418606174</v>
      </c>
      <c r="L9">
        <f t="shared" si="4"/>
        <v>1.307069689645453</v>
      </c>
      <c r="M9">
        <f t="shared" si="5"/>
        <v>-0.54798885101874573</v>
      </c>
    </row>
    <row r="12" spans="1:13" x14ac:dyDescent="0.25">
      <c r="B12" t="s">
        <v>47</v>
      </c>
      <c r="E12" t="s">
        <v>71</v>
      </c>
      <c r="I12" t="s">
        <v>74</v>
      </c>
    </row>
    <row r="13" spans="1:13" x14ac:dyDescent="0.25">
      <c r="B13" t="s">
        <v>42</v>
      </c>
      <c r="C13" t="s">
        <v>43</v>
      </c>
      <c r="D13" t="s">
        <v>44</v>
      </c>
      <c r="I13" t="s">
        <v>75</v>
      </c>
      <c r="J13" t="s">
        <v>76</v>
      </c>
    </row>
    <row r="14" spans="1:13" x14ac:dyDescent="0.25">
      <c r="B14">
        <v>1</v>
      </c>
      <c r="C14">
        <v>2</v>
      </c>
      <c r="D14">
        <v>3</v>
      </c>
      <c r="H14" t="s">
        <v>42</v>
      </c>
      <c r="I14">
        <v>3</v>
      </c>
    </row>
    <row r="15" spans="1:13" x14ac:dyDescent="0.25">
      <c r="A15">
        <v>1</v>
      </c>
      <c r="B15" s="31" t="s">
        <v>72</v>
      </c>
      <c r="C15" s="31"/>
      <c r="D15" s="31"/>
      <c r="E15" t="s">
        <v>42</v>
      </c>
      <c r="F15" t="s">
        <v>43</v>
      </c>
      <c r="H15" t="s">
        <v>43</v>
      </c>
      <c r="I15">
        <v>16</v>
      </c>
    </row>
    <row r="16" spans="1:13" x14ac:dyDescent="0.25">
      <c r="A16">
        <v>2</v>
      </c>
      <c r="B16" s="45" t="s">
        <v>197</v>
      </c>
      <c r="C16" s="45"/>
      <c r="D16" s="45"/>
      <c r="E16" t="s">
        <v>42</v>
      </c>
      <c r="F16" t="s">
        <v>44</v>
      </c>
      <c r="H16" t="s">
        <v>44</v>
      </c>
      <c r="I16">
        <v>7</v>
      </c>
    </row>
    <row r="17" spans="1:6" x14ac:dyDescent="0.25">
      <c r="A17">
        <v>3</v>
      </c>
      <c r="B17" s="45"/>
      <c r="C17" s="45"/>
      <c r="D17" s="45"/>
      <c r="E17" t="s">
        <v>44</v>
      </c>
      <c r="F17" t="s">
        <v>43</v>
      </c>
    </row>
    <row r="18" spans="1:6" x14ac:dyDescent="0.25">
      <c r="A18">
        <v>4</v>
      </c>
      <c r="B18" s="45"/>
      <c r="C18" s="45"/>
      <c r="D18" s="45"/>
      <c r="E18" t="s">
        <v>42</v>
      </c>
    </row>
    <row r="19" spans="1:6" x14ac:dyDescent="0.25">
      <c r="B19" s="35" t="s">
        <v>194</v>
      </c>
    </row>
  </sheetData>
  <mergeCells count="2">
    <mergeCell ref="B15:D15"/>
    <mergeCell ref="B16:D1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0FC86D-D191-4819-9BFB-FCF3C2D84B35}">
  <dimension ref="A2:Y54"/>
  <sheetViews>
    <sheetView zoomScale="115" zoomScaleNormal="115" workbookViewId="0">
      <selection activeCell="Q12" sqref="Q12"/>
    </sheetView>
  </sheetViews>
  <sheetFormatPr defaultRowHeight="15" x14ac:dyDescent="0.25"/>
  <cols>
    <col min="13" max="17" width="12.5703125" customWidth="1"/>
    <col min="20" max="20" width="11.42578125" customWidth="1"/>
    <col min="21" max="24" width="11.42578125" bestFit="1" customWidth="1"/>
    <col min="25" max="25" width="12.140625" bestFit="1" customWidth="1"/>
  </cols>
  <sheetData>
    <row r="2" spans="1:25" ht="26.25" x14ac:dyDescent="0.4">
      <c r="A2" cm="1">
        <f t="array" ref="A2:F9">DATA!H2:M9</f>
        <v>0</v>
      </c>
      <c r="B2" t="str">
        <v>Z-SCORE</v>
      </c>
      <c r="C2" t="str">
        <v>avg=</v>
      </c>
      <c r="D2">
        <v>-36.560133333333326</v>
      </c>
      <c r="E2" t="str">
        <v>std_dev=</v>
      </c>
      <c r="F2">
        <v>23.489285672029762</v>
      </c>
      <c r="M2" s="54" t="s">
        <v>49</v>
      </c>
      <c r="T2" s="54" t="s">
        <v>49</v>
      </c>
    </row>
    <row r="3" spans="1:25" ht="26.25" x14ac:dyDescent="0.4">
      <c r="A3">
        <v>0</v>
      </c>
      <c r="B3">
        <v>1</v>
      </c>
      <c r="C3">
        <v>2</v>
      </c>
      <c r="D3">
        <v>3</v>
      </c>
      <c r="E3">
        <v>4</v>
      </c>
      <c r="F3">
        <v>5</v>
      </c>
      <c r="M3" s="54" t="s">
        <v>48</v>
      </c>
      <c r="T3" s="54" t="s">
        <v>56</v>
      </c>
    </row>
    <row r="4" spans="1:25" ht="15.75" thickBot="1" x14ac:dyDescent="0.3">
      <c r="A4">
        <v>1</v>
      </c>
      <c r="B4">
        <v>-0.98912614845213298</v>
      </c>
      <c r="C4">
        <v>1.2524064692339041</v>
      </c>
      <c r="D4">
        <v>-0.12847843518120475</v>
      </c>
      <c r="E4">
        <v>1.03222097393131</v>
      </c>
      <c r="F4">
        <v>1.5768096931716007</v>
      </c>
    </row>
    <row r="5" spans="1:25" x14ac:dyDescent="0.25">
      <c r="A5">
        <v>2</v>
      </c>
      <c r="B5">
        <v>0.37651776460212311</v>
      </c>
      <c r="C5">
        <v>1.0409057846509018</v>
      </c>
      <c r="D5">
        <v>-1.6276300267484027</v>
      </c>
      <c r="E5">
        <v>1.6111657826358685</v>
      </c>
      <c r="F5">
        <v>1.1545320582322287</v>
      </c>
      <c r="L5" s="4"/>
      <c r="M5" s="5" t="s">
        <v>50</v>
      </c>
      <c r="N5" s="5"/>
      <c r="O5" s="6"/>
      <c r="S5" s="4"/>
      <c r="T5" s="53" t="s">
        <v>50</v>
      </c>
      <c r="U5" s="5"/>
      <c r="V5" s="6"/>
    </row>
    <row r="6" spans="1:25" x14ac:dyDescent="0.25">
      <c r="A6">
        <v>3</v>
      </c>
      <c r="B6">
        <v>-0.73854381563096749</v>
      </c>
      <c r="C6">
        <v>-0.38067852686190223</v>
      </c>
      <c r="D6">
        <v>1.7025691581994165</v>
      </c>
      <c r="E6">
        <v>0.92174507286591334</v>
      </c>
      <c r="F6">
        <v>0.33462632466056236</v>
      </c>
      <c r="L6" s="7"/>
      <c r="M6">
        <v>1</v>
      </c>
      <c r="N6">
        <v>2</v>
      </c>
      <c r="O6" s="8">
        <v>3</v>
      </c>
      <c r="S6" s="7"/>
      <c r="T6">
        <v>1</v>
      </c>
      <c r="U6">
        <v>2</v>
      </c>
      <c r="V6" s="8">
        <v>3</v>
      </c>
    </row>
    <row r="7" spans="1:25" ht="15.75" thickBot="1" x14ac:dyDescent="0.3">
      <c r="A7">
        <v>4</v>
      </c>
      <c r="B7">
        <v>0.62033105377419506</v>
      </c>
      <c r="C7">
        <v>-0.54798885101874573</v>
      </c>
      <c r="D7">
        <v>0.14228331078254203</v>
      </c>
      <c r="E7">
        <v>-0.90402351792044611</v>
      </c>
      <c r="F7">
        <v>-0.78877948547958721</v>
      </c>
      <c r="L7" s="7">
        <v>1</v>
      </c>
      <c r="M7">
        <v>-0.51200000000000001</v>
      </c>
      <c r="N7">
        <v>0.89700000000000002</v>
      </c>
      <c r="O7" s="8">
        <v>-0.52300000000000002</v>
      </c>
      <c r="S7" s="9">
        <v>1</v>
      </c>
      <c r="T7" s="14">
        <v>0.122</v>
      </c>
      <c r="U7" s="14">
        <v>0.51600000000000001</v>
      </c>
      <c r="V7" s="11">
        <v>-0.97699999999999998</v>
      </c>
    </row>
    <row r="8" spans="1:25" ht="15.75" thickBot="1" x14ac:dyDescent="0.3">
      <c r="A8">
        <v>5</v>
      </c>
      <c r="B8">
        <v>-0.75834007535944881</v>
      </c>
      <c r="C8">
        <v>-2.072718061607192E-2</v>
      </c>
      <c r="D8">
        <v>-1.0835521787269116</v>
      </c>
      <c r="E8">
        <v>-0.87494643105044001</v>
      </c>
      <c r="F8">
        <v>-0.20149044686796963</v>
      </c>
      <c r="L8" s="7">
        <v>2</v>
      </c>
      <c r="M8">
        <v>0.122</v>
      </c>
      <c r="N8">
        <v>-0.20399999999999999</v>
      </c>
      <c r="O8" s="8">
        <v>-0.74</v>
      </c>
    </row>
    <row r="9" spans="1:25" x14ac:dyDescent="0.25">
      <c r="A9">
        <v>6</v>
      </c>
      <c r="B9">
        <v>-0.44083361287554584</v>
      </c>
      <c r="C9">
        <v>-1.4637255107168889</v>
      </c>
      <c r="D9">
        <v>-1.5763300418606174</v>
      </c>
      <c r="E9">
        <v>1.307069689645453</v>
      </c>
      <c r="F9">
        <v>-0.54798885101874573</v>
      </c>
      <c r="L9" s="7">
        <v>3</v>
      </c>
      <c r="M9">
        <v>0.74199999999999999</v>
      </c>
      <c r="N9">
        <v>0.80500000000000005</v>
      </c>
      <c r="O9" s="8">
        <v>-0.97699999999999998</v>
      </c>
      <c r="S9" s="4"/>
      <c r="T9" s="52" t="s">
        <v>52</v>
      </c>
    </row>
    <row r="10" spans="1:25" x14ac:dyDescent="0.25">
      <c r="L10" s="7">
        <v>4</v>
      </c>
      <c r="M10">
        <v>0.78200000000000003</v>
      </c>
      <c r="N10">
        <v>0.51600000000000001</v>
      </c>
      <c r="O10" s="8">
        <v>-0.91400000000000003</v>
      </c>
      <c r="S10" s="7"/>
      <c r="T10" s="8">
        <v>1</v>
      </c>
    </row>
    <row r="11" spans="1:25" ht="15.75" thickBot="1" x14ac:dyDescent="0.3">
      <c r="B11" t="s">
        <v>59</v>
      </c>
      <c r="L11" s="9">
        <v>5</v>
      </c>
      <c r="M11" s="14">
        <v>0.40899999999999997</v>
      </c>
      <c r="N11" s="14">
        <v>-0.438</v>
      </c>
      <c r="O11" s="11">
        <v>0.29299999999999998</v>
      </c>
      <c r="S11" s="9">
        <v>1</v>
      </c>
      <c r="T11" s="11">
        <v>1</v>
      </c>
    </row>
    <row r="12" spans="1:25" ht="15.75" thickBot="1" x14ac:dyDescent="0.3">
      <c r="B12">
        <v>1</v>
      </c>
      <c r="C12">
        <v>2</v>
      </c>
      <c r="D12">
        <v>3</v>
      </c>
      <c r="E12">
        <v>4</v>
      </c>
      <c r="F12">
        <v>5</v>
      </c>
      <c r="G12">
        <v>6</v>
      </c>
      <c r="H12">
        <v>7</v>
      </c>
    </row>
    <row r="13" spans="1:25" x14ac:dyDescent="0.25">
      <c r="A13">
        <v>1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L13" s="4"/>
      <c r="M13" s="6" t="s">
        <v>52</v>
      </c>
      <c r="T13" t="s">
        <v>51</v>
      </c>
    </row>
    <row r="14" spans="1:25" x14ac:dyDescent="0.25">
      <c r="A14">
        <v>2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L14" s="7"/>
      <c r="M14" s="8">
        <v>1</v>
      </c>
      <c r="T14">
        <v>1</v>
      </c>
      <c r="U14">
        <v>2</v>
      </c>
      <c r="V14">
        <v>3</v>
      </c>
      <c r="W14">
        <v>4</v>
      </c>
      <c r="X14">
        <v>5</v>
      </c>
      <c r="Y14">
        <v>6</v>
      </c>
    </row>
    <row r="15" spans="1:25" ht="15.75" thickBot="1" x14ac:dyDescent="0.3">
      <c r="A15">
        <v>3</v>
      </c>
      <c r="B15">
        <v>0</v>
      </c>
      <c r="C15" cm="1">
        <f t="array" ref="C15:G20">B4:F9</f>
        <v>-0.98912614845213298</v>
      </c>
      <c r="D15">
        <v>1.2524064692339041</v>
      </c>
      <c r="E15">
        <v>-0.12847843518120475</v>
      </c>
      <c r="F15">
        <v>1.03222097393131</v>
      </c>
      <c r="G15">
        <v>1.5768096931716007</v>
      </c>
      <c r="H15">
        <v>0</v>
      </c>
      <c r="L15" s="9">
        <v>1</v>
      </c>
      <c r="M15" s="11">
        <v>1</v>
      </c>
      <c r="S15">
        <v>1</v>
      </c>
      <c r="T15" cm="1">
        <f t="array" ref="T15">SUM(B39:D39*$T$7:$V$7)+$T$11</f>
        <v>0.78382050703596939</v>
      </c>
      <c r="U15" cm="1">
        <f t="array" ref="U15">SUM(C39:E39*$T$7:$V$7)+$T$11</f>
        <v>0.97119528412029688</v>
      </c>
      <c r="V15" cm="1">
        <f t="array" ref="V15">SUM(D39:F39*$T$7:$V$7)+$T$11</f>
        <v>1.5410487903909853</v>
      </c>
      <c r="W15" cm="1">
        <f t="array" ref="W15">SUM(E39:G39*$T$7:$V$7)+$T$11</f>
        <v>1.4666328109352353</v>
      </c>
      <c r="X15" cm="1">
        <f t="array" ref="X15">SUM(F39:H39*$T$7:$V$7)+$T$11</f>
        <v>1.1924632048467632</v>
      </c>
      <c r="Y15" cm="1">
        <f t="array" ref="Y15">SUM(G39:I39*$T$7:$V$7)+$T$11</f>
        <v>0.64739640664357267</v>
      </c>
    </row>
    <row r="16" spans="1:25" x14ac:dyDescent="0.25">
      <c r="A16">
        <v>4</v>
      </c>
      <c r="B16">
        <v>0</v>
      </c>
      <c r="C16">
        <v>0.37651776460212311</v>
      </c>
      <c r="D16">
        <v>1.0409057846509018</v>
      </c>
      <c r="E16">
        <v>-1.6276300267484027</v>
      </c>
      <c r="F16">
        <v>1.6111657826358685</v>
      </c>
      <c r="G16">
        <v>1.1545320582322287</v>
      </c>
      <c r="H16">
        <v>0</v>
      </c>
    </row>
    <row r="17" spans="1:25" x14ac:dyDescent="0.25">
      <c r="A17">
        <v>5</v>
      </c>
      <c r="B17">
        <v>0</v>
      </c>
      <c r="C17">
        <v>-0.73854381563096749</v>
      </c>
      <c r="D17">
        <v>-0.38067852686190223</v>
      </c>
      <c r="E17">
        <v>1.7025691581994165</v>
      </c>
      <c r="F17">
        <v>0.92174507286591334</v>
      </c>
      <c r="G17">
        <v>0.33462632466056236</v>
      </c>
      <c r="H17">
        <v>0</v>
      </c>
      <c r="M17" t="s">
        <v>51</v>
      </c>
      <c r="T17" t="s">
        <v>53</v>
      </c>
    </row>
    <row r="18" spans="1:25" x14ac:dyDescent="0.25">
      <c r="A18">
        <v>6</v>
      </c>
      <c r="B18">
        <v>0</v>
      </c>
      <c r="C18">
        <v>0.62033105377419506</v>
      </c>
      <c r="D18">
        <v>-0.54798885101874573</v>
      </c>
      <c r="E18">
        <v>0.14228331078254203</v>
      </c>
      <c r="F18">
        <v>-0.90402351792044611</v>
      </c>
      <c r="G18">
        <v>-0.78877948547958721</v>
      </c>
      <c r="H18">
        <v>0</v>
      </c>
      <c r="M18">
        <v>1</v>
      </c>
      <c r="N18">
        <v>2</v>
      </c>
      <c r="O18">
        <v>3</v>
      </c>
      <c r="P18">
        <v>4</v>
      </c>
      <c r="Q18">
        <v>5</v>
      </c>
      <c r="T18">
        <v>1</v>
      </c>
      <c r="U18">
        <v>2</v>
      </c>
      <c r="V18">
        <v>3</v>
      </c>
      <c r="W18">
        <v>4</v>
      </c>
      <c r="X18">
        <v>5</v>
      </c>
      <c r="Y18">
        <v>6</v>
      </c>
    </row>
    <row r="19" spans="1:25" x14ac:dyDescent="0.25">
      <c r="A19">
        <v>7</v>
      </c>
      <c r="B19">
        <v>0</v>
      </c>
      <c r="C19">
        <v>-0.75834007535944881</v>
      </c>
      <c r="D19">
        <v>-2.072718061607192E-2</v>
      </c>
      <c r="E19">
        <v>-1.0835521787269116</v>
      </c>
      <c r="F19">
        <v>-0.87494643105044001</v>
      </c>
      <c r="G19">
        <v>-0.20149044686796963</v>
      </c>
      <c r="H19">
        <v>0</v>
      </c>
      <c r="L19">
        <v>1</v>
      </c>
      <c r="M19" cm="1">
        <f t="array" ref="M19">SUM(B13:D17*$M$7:$O$11)+$M$15</f>
        <v>-1.565009007705894</v>
      </c>
      <c r="N19" cm="1">
        <f t="array" ref="N19">SUM(C13:E17*$M$7:$O$11)+$M$15</f>
        <v>4.0825026955254895</v>
      </c>
      <c r="O19" cm="1">
        <f t="array" ref="O19">SUM(D13:F17*$M$7:$O$11)+$M$15</f>
        <v>-1.3124452296427074</v>
      </c>
      <c r="P19" cm="1">
        <f t="array" ref="P19">SUM(E13:G17*$M$7:$O$11)+$M$15</f>
        <v>-0.91095166650596759</v>
      </c>
      <c r="Q19" cm="1">
        <f t="array" ref="Q19">SUM(F13:H17*$M$7:$O$11)+$M$15</f>
        <v>5.1213373543300822</v>
      </c>
      <c r="S19">
        <v>1</v>
      </c>
      <c r="T19">
        <f>MAX(0,T15)</f>
        <v>0.78382050703596939</v>
      </c>
      <c r="U19">
        <f t="shared" ref="U19:Y19" si="0">MAX(0,U15)</f>
        <v>0.97119528412029688</v>
      </c>
      <c r="V19">
        <f t="shared" si="0"/>
        <v>1.5410487903909853</v>
      </c>
      <c r="W19">
        <f t="shared" si="0"/>
        <v>1.4666328109352353</v>
      </c>
      <c r="X19">
        <f t="shared" si="0"/>
        <v>1.1924632048467632</v>
      </c>
      <c r="Y19">
        <f t="shared" si="0"/>
        <v>0.64739640664357267</v>
      </c>
    </row>
    <row r="20" spans="1:25" ht="15.75" thickBot="1" x14ac:dyDescent="0.3">
      <c r="A20">
        <v>8</v>
      </c>
      <c r="B20">
        <v>0</v>
      </c>
      <c r="C20">
        <v>-0.44083361287554584</v>
      </c>
      <c r="D20">
        <v>-1.4637255107168889</v>
      </c>
      <c r="E20">
        <v>-1.5763300418606174</v>
      </c>
      <c r="F20">
        <v>1.307069689645453</v>
      </c>
      <c r="G20">
        <v>-0.54798885101874573</v>
      </c>
      <c r="H20">
        <v>0</v>
      </c>
      <c r="L20">
        <v>2</v>
      </c>
      <c r="M20" cm="1">
        <f t="array" ref="M20">SUM(B14:D18*$M$7:$O$11)+$M$15</f>
        <v>-0.90428137426346633</v>
      </c>
      <c r="N20" cm="1">
        <f t="array" ref="N20">SUM(C14:E18*$M$7:$O$11)+$M$15</f>
        <v>1.6317135398318718</v>
      </c>
      <c r="O20" cm="1">
        <f t="array" ref="O20">SUM(D14:F18*$M$7:$O$11)+$M$15</f>
        <v>-2.5098057195570709</v>
      </c>
      <c r="P20" cm="1">
        <f t="array" ref="P20">SUM(E14:G18*$M$7:$O$11)+$M$15</f>
        <v>0.2924473978452905</v>
      </c>
      <c r="Q20" cm="1">
        <f t="array" ref="Q20">SUM(F14:H18*$M$7:$O$11)+$M$15</f>
        <v>3.798356725321963</v>
      </c>
    </row>
    <row r="21" spans="1:25" x14ac:dyDescent="0.25">
      <c r="A21">
        <v>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L21">
        <v>3</v>
      </c>
      <c r="M21" cm="1">
        <f t="array" ref="M21">SUM(B15:D19*$M$7:$O$11)+$M$15</f>
        <v>-0.4649069713646985</v>
      </c>
      <c r="N21" cm="1">
        <f t="array" ref="N21">SUM(C15:E19*$M$7:$O$11)+$M$15</f>
        <v>0.67094254342507265</v>
      </c>
      <c r="O21" cm="1">
        <f t="array" ref="O21">SUM(D15:F19*$M$7:$O$11)+$M$15</f>
        <v>-0.16107718134977622</v>
      </c>
      <c r="P21" cm="1">
        <f t="array" ref="P21">SUM(E15:G19*$M$7:$O$11)+$M$15</f>
        <v>1.7105413350170124</v>
      </c>
      <c r="Q21" cm="1">
        <f t="array" ref="Q21">SUM(F15:H19*$M$7:$O$11)+$M$15</f>
        <v>1.416690997049842</v>
      </c>
      <c r="S21" s="4"/>
      <c r="T21" s="52" t="s">
        <v>58</v>
      </c>
    </row>
    <row r="22" spans="1:25" x14ac:dyDescent="0.25">
      <c r="A22">
        <v>10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L22">
        <v>4</v>
      </c>
      <c r="M22" cm="1">
        <f t="array" ref="M22">SUM(B16:D20*$M$7:$O$11)+$M$15</f>
        <v>1.6523140754728043</v>
      </c>
      <c r="N22" cm="1">
        <f t="array" ref="N22">SUM(C16:E20*$M$7:$O$11)+$M$15</f>
        <v>1.5855602674362408</v>
      </c>
      <c r="O22" cm="1">
        <f t="array" ref="O22">SUM(D16:F20*$M$7:$O$11)+$M$15</f>
        <v>-1.6211448257583263</v>
      </c>
      <c r="P22" cm="1">
        <f t="array" ref="P22">SUM(E16:G20*$M$7:$O$11)+$M$15</f>
        <v>0.10284468015586901</v>
      </c>
      <c r="Q22" cm="1">
        <f t="array" ref="Q22">SUM(F16:H20*$M$7:$O$11)+$M$15</f>
        <v>-6.4431991778522768E-2</v>
      </c>
      <c r="S22" s="7"/>
      <c r="T22" s="8">
        <v>1</v>
      </c>
    </row>
    <row r="23" spans="1:25" x14ac:dyDescent="0.25">
      <c r="L23">
        <v>5</v>
      </c>
      <c r="M23" cm="1">
        <f t="array" ref="M23">SUM(B17:D21*$M$7:$O$11)+$M$15</f>
        <v>1.3357469490607339</v>
      </c>
      <c r="N23" cm="1">
        <f t="array" ref="N23">SUM(C17:E21*$M$7:$O$11)+$M$15</f>
        <v>1.0484107612243856</v>
      </c>
      <c r="O23" cm="1">
        <f t="array" ref="O23">SUM(D17:F21*$M$7:$O$11)+$M$15</f>
        <v>-0.3723615204861368</v>
      </c>
      <c r="P23" cm="1">
        <f t="array" ref="P23">SUM(E17:G21*$M$7:$O$11)+$M$15</f>
        <v>0.19670478432350247</v>
      </c>
      <c r="Q23" cm="1">
        <f t="array" ref="Q23">SUM(F17:H21*$M$7:$O$11)+$M$15</f>
        <v>0.8068026703736475</v>
      </c>
      <c r="S23" s="7">
        <v>1</v>
      </c>
      <c r="T23" s="87" cm="1">
        <f t="array" ref="T23:T28">TRANSPOSE(T19:Y19)</f>
        <v>0.78382050703596939</v>
      </c>
    </row>
    <row r="24" spans="1:25" x14ac:dyDescent="0.25">
      <c r="B24" t="s">
        <v>60</v>
      </c>
      <c r="L24">
        <v>6</v>
      </c>
      <c r="M24" cm="1">
        <f t="array" ref="M24">SUM(B18:D22*$M$7:$O$11)+$M$15</f>
        <v>3.088263378953064</v>
      </c>
      <c r="N24" cm="1">
        <f t="array" ref="N24">SUM(C18:E22*$M$7:$O$11)+$M$15</f>
        <v>0.86464667149134078</v>
      </c>
      <c r="O24" cm="1">
        <f t="array" ref="O24">SUM(D18:F22*$M$7:$O$11)+$M$15</f>
        <v>-0.88505809066495011</v>
      </c>
      <c r="P24" cm="1">
        <f t="array" ref="P24">SUM(E18:G22*$M$7:$O$11)+$M$15</f>
        <v>1.1421114735717528</v>
      </c>
      <c r="Q24" cm="1">
        <f t="array" ref="Q24">SUM(F18:H22*$M$7:$O$11)+$M$15</f>
        <v>1.2184001139198264</v>
      </c>
      <c r="S24" s="7">
        <v>2</v>
      </c>
      <c r="T24" s="87">
        <v>0.97119528412029688</v>
      </c>
    </row>
    <row r="25" spans="1:25" x14ac:dyDescent="0.25">
      <c r="B25">
        <v>1</v>
      </c>
      <c r="S25" s="7">
        <v>3</v>
      </c>
      <c r="T25" s="87">
        <v>1.5410487903909853</v>
      </c>
    </row>
    <row r="26" spans="1:25" x14ac:dyDescent="0.25">
      <c r="A26">
        <v>1</v>
      </c>
      <c r="B26">
        <f>AVERAGE(B4:F4)</f>
        <v>0.54876651054069536</v>
      </c>
      <c r="M26" t="s">
        <v>53</v>
      </c>
      <c r="S26" s="7">
        <v>4</v>
      </c>
      <c r="T26" s="87">
        <v>1.4666328109352353</v>
      </c>
    </row>
    <row r="27" spans="1:25" x14ac:dyDescent="0.25">
      <c r="A27">
        <v>2</v>
      </c>
      <c r="B27">
        <f t="shared" ref="B27:B31" si="1">AVERAGE(B5:F5)</f>
        <v>0.51109827267454389</v>
      </c>
      <c r="M27">
        <v>1</v>
      </c>
      <c r="N27">
        <v>2</v>
      </c>
      <c r="O27">
        <v>3</v>
      </c>
      <c r="P27">
        <v>4</v>
      </c>
      <c r="Q27">
        <v>5</v>
      </c>
      <c r="S27" s="7">
        <v>5</v>
      </c>
      <c r="T27" s="87">
        <v>1.1924632048467632</v>
      </c>
    </row>
    <row r="28" spans="1:25" ht="15.75" thickBot="1" x14ac:dyDescent="0.3">
      <c r="A28">
        <v>3</v>
      </c>
      <c r="B28">
        <f t="shared" si="1"/>
        <v>0.36794364264660445</v>
      </c>
      <c r="L28">
        <v>1</v>
      </c>
      <c r="M28">
        <f>MAX(0,M19)</f>
        <v>0</v>
      </c>
      <c r="N28">
        <f t="shared" ref="N28:Q28" si="2">MAX(0,N19)</f>
        <v>4.0825026955254895</v>
      </c>
      <c r="O28">
        <f t="shared" si="2"/>
        <v>0</v>
      </c>
      <c r="P28">
        <f t="shared" si="2"/>
        <v>0</v>
      </c>
      <c r="Q28">
        <f t="shared" si="2"/>
        <v>5.1213373543300822</v>
      </c>
      <c r="S28" s="9">
        <v>6</v>
      </c>
      <c r="T28" s="88">
        <v>0.64739640664357267</v>
      </c>
    </row>
    <row r="29" spans="1:25" x14ac:dyDescent="0.25">
      <c r="A29">
        <v>4</v>
      </c>
      <c r="B29">
        <f t="shared" si="1"/>
        <v>-0.2956354979724084</v>
      </c>
      <c r="L29">
        <v>2</v>
      </c>
      <c r="M29">
        <f t="shared" ref="M29:Q29" si="3">MAX(0,M20)</f>
        <v>0</v>
      </c>
      <c r="N29">
        <f t="shared" si="3"/>
        <v>1.6317135398318718</v>
      </c>
      <c r="O29">
        <f t="shared" si="3"/>
        <v>0</v>
      </c>
      <c r="P29">
        <f t="shared" si="3"/>
        <v>0.2924473978452905</v>
      </c>
      <c r="Q29">
        <f t="shared" si="3"/>
        <v>3.798356725321963</v>
      </c>
    </row>
    <row r="30" spans="1:25" x14ac:dyDescent="0.25">
      <c r="A30">
        <v>5</v>
      </c>
      <c r="B30">
        <f t="shared" si="1"/>
        <v>-0.58781126252416827</v>
      </c>
      <c r="L30">
        <v>3</v>
      </c>
      <c r="M30">
        <f t="shared" ref="M30:Q30" si="4">MAX(0,M21)</f>
        <v>0</v>
      </c>
      <c r="N30">
        <f t="shared" si="4"/>
        <v>0.67094254342507265</v>
      </c>
      <c r="O30">
        <f t="shared" si="4"/>
        <v>0</v>
      </c>
      <c r="P30">
        <f t="shared" si="4"/>
        <v>1.7105413350170124</v>
      </c>
      <c r="Q30">
        <f t="shared" si="4"/>
        <v>1.416690997049842</v>
      </c>
    </row>
    <row r="31" spans="1:25" x14ac:dyDescent="0.25">
      <c r="A31">
        <v>6</v>
      </c>
      <c r="B31">
        <f t="shared" si="1"/>
        <v>-0.54436166536526909</v>
      </c>
      <c r="L31">
        <v>4</v>
      </c>
      <c r="M31">
        <f t="shared" ref="M31:Q31" si="5">MAX(0,M22)</f>
        <v>1.6523140754728043</v>
      </c>
      <c r="N31">
        <f t="shared" si="5"/>
        <v>1.5855602674362408</v>
      </c>
      <c r="O31">
        <f t="shared" si="5"/>
        <v>0</v>
      </c>
      <c r="P31">
        <f t="shared" si="5"/>
        <v>0.10284468015586901</v>
      </c>
      <c r="Q31">
        <f t="shared" si="5"/>
        <v>0</v>
      </c>
    </row>
    <row r="32" spans="1:25" x14ac:dyDescent="0.25">
      <c r="L32">
        <v>5</v>
      </c>
      <c r="M32">
        <f t="shared" ref="M32:Q32" si="6">MAX(0,M23)</f>
        <v>1.3357469490607339</v>
      </c>
      <c r="N32">
        <f t="shared" si="6"/>
        <v>1.0484107612243856</v>
      </c>
      <c r="O32">
        <f t="shared" si="6"/>
        <v>0</v>
      </c>
      <c r="P32">
        <f t="shared" si="6"/>
        <v>0.19670478432350247</v>
      </c>
      <c r="Q32">
        <f t="shared" si="6"/>
        <v>0.8068026703736475</v>
      </c>
    </row>
    <row r="33" spans="1:17" x14ac:dyDescent="0.25">
      <c r="B33" t="s">
        <v>61</v>
      </c>
      <c r="L33">
        <v>6</v>
      </c>
      <c r="M33">
        <f t="shared" ref="M33:Q33" si="7">MAX(0,M24)</f>
        <v>3.088263378953064</v>
      </c>
      <c r="N33">
        <f t="shared" si="7"/>
        <v>0.86464667149134078</v>
      </c>
      <c r="O33">
        <f t="shared" si="7"/>
        <v>0</v>
      </c>
      <c r="P33">
        <f t="shared" si="7"/>
        <v>1.1421114735717528</v>
      </c>
      <c r="Q33">
        <f t="shared" si="7"/>
        <v>1.2184001139198264</v>
      </c>
    </row>
    <row r="34" spans="1:17" x14ac:dyDescent="0.25">
      <c r="B34">
        <v>1</v>
      </c>
      <c r="C34">
        <v>2</v>
      </c>
      <c r="D34">
        <v>3</v>
      </c>
      <c r="E34">
        <v>4</v>
      </c>
      <c r="F34">
        <v>5</v>
      </c>
      <c r="G34">
        <v>6</v>
      </c>
    </row>
    <row r="35" spans="1:17" ht="15.75" thickBot="1" x14ac:dyDescent="0.3">
      <c r="A35">
        <v>1</v>
      </c>
      <c r="B35" cm="1">
        <f t="array" ref="B35:G35">TRANSPOSE(B26:B31)</f>
        <v>0.54876651054069536</v>
      </c>
      <c r="C35">
        <v>0.51109827267454389</v>
      </c>
      <c r="D35">
        <v>0.36794364264660445</v>
      </c>
      <c r="E35">
        <v>-0.2956354979724084</v>
      </c>
      <c r="F35">
        <v>-0.58781126252416827</v>
      </c>
      <c r="G35">
        <v>-0.54436166536526909</v>
      </c>
    </row>
    <row r="36" spans="1:17" x14ac:dyDescent="0.25">
      <c r="L36" s="4"/>
      <c r="M36" s="53" t="s">
        <v>54</v>
      </c>
      <c r="N36" s="6"/>
    </row>
    <row r="37" spans="1:17" x14ac:dyDescent="0.25">
      <c r="B37" t="s">
        <v>62</v>
      </c>
      <c r="L37" s="7"/>
      <c r="M37" t="s">
        <v>55</v>
      </c>
      <c r="N37" s="8"/>
    </row>
    <row r="38" spans="1:17" x14ac:dyDescent="0.25">
      <c r="B38">
        <v>1</v>
      </c>
      <c r="C38">
        <v>2</v>
      </c>
      <c r="D38">
        <v>3</v>
      </c>
      <c r="E38">
        <v>4</v>
      </c>
      <c r="F38">
        <v>5</v>
      </c>
      <c r="G38">
        <v>6</v>
      </c>
      <c r="H38">
        <v>7</v>
      </c>
      <c r="I38">
        <v>8</v>
      </c>
      <c r="L38" s="7"/>
      <c r="M38">
        <v>1</v>
      </c>
      <c r="N38" s="8"/>
    </row>
    <row r="39" spans="1:17" x14ac:dyDescent="0.25">
      <c r="A39">
        <v>1</v>
      </c>
      <c r="B39">
        <v>0</v>
      </c>
      <c r="C39">
        <f>B35</f>
        <v>0.54876651054069536</v>
      </c>
      <c r="D39">
        <f t="shared" ref="D39:G39" si="8">C35</f>
        <v>0.51109827267454389</v>
      </c>
      <c r="E39">
        <f t="shared" si="8"/>
        <v>0.36794364264660445</v>
      </c>
      <c r="F39">
        <f t="shared" si="8"/>
        <v>-0.2956354979724084</v>
      </c>
      <c r="G39">
        <f t="shared" si="8"/>
        <v>-0.58781126252416827</v>
      </c>
      <c r="H39">
        <f>G35</f>
        <v>-0.54436166536526909</v>
      </c>
      <c r="I39">
        <v>0</v>
      </c>
      <c r="L39" s="7">
        <v>1</v>
      </c>
      <c r="M39" s="85">
        <f>MAX(M28:Q28)</f>
        <v>5.1213373543300822</v>
      </c>
      <c r="N39" s="8"/>
    </row>
    <row r="40" spans="1:17" x14ac:dyDescent="0.25">
      <c r="L40" s="7">
        <v>2</v>
      </c>
      <c r="M40" s="85">
        <f t="shared" ref="M40:M44" si="9">MAX(M29:Q29)</f>
        <v>3.798356725321963</v>
      </c>
      <c r="N40" s="8"/>
    </row>
    <row r="41" spans="1:17" x14ac:dyDescent="0.25">
      <c r="L41" s="7">
        <v>3</v>
      </c>
      <c r="M41" s="85">
        <f t="shared" si="9"/>
        <v>1.7105413350170124</v>
      </c>
      <c r="N41" s="8"/>
    </row>
    <row r="42" spans="1:17" x14ac:dyDescent="0.25">
      <c r="L42" s="7">
        <v>4</v>
      </c>
      <c r="M42" s="85">
        <f t="shared" si="9"/>
        <v>1.6523140754728043</v>
      </c>
      <c r="N42" s="8"/>
    </row>
    <row r="43" spans="1:17" x14ac:dyDescent="0.25">
      <c r="L43" s="7">
        <v>5</v>
      </c>
      <c r="M43" s="85">
        <f t="shared" si="9"/>
        <v>1.3357469490607339</v>
      </c>
      <c r="N43" s="8"/>
    </row>
    <row r="44" spans="1:17" ht="15.75" thickBot="1" x14ac:dyDescent="0.3">
      <c r="L44" s="9">
        <v>6</v>
      </c>
      <c r="M44" s="86">
        <f t="shared" si="9"/>
        <v>3.088263378953064</v>
      </c>
      <c r="N44" s="11"/>
    </row>
    <row r="46" spans="1:17" ht="15.75" thickBot="1" x14ac:dyDescent="0.3"/>
    <row r="47" spans="1:17" x14ac:dyDescent="0.25">
      <c r="L47" s="4"/>
      <c r="M47" s="53" t="s">
        <v>63</v>
      </c>
      <c r="N47" s="6"/>
    </row>
    <row r="48" spans="1:17" x14ac:dyDescent="0.25">
      <c r="L48" s="7"/>
      <c r="M48">
        <v>1</v>
      </c>
      <c r="N48" s="8">
        <v>2</v>
      </c>
    </row>
    <row r="49" spans="12:14" x14ac:dyDescent="0.25">
      <c r="L49" s="7">
        <v>1</v>
      </c>
      <c r="M49" s="85">
        <f>M39</f>
        <v>5.1213373543300822</v>
      </c>
      <c r="N49" s="87">
        <f t="shared" ref="N49:N54" si="10">T23</f>
        <v>0.78382050703596939</v>
      </c>
    </row>
    <row r="50" spans="12:14" x14ac:dyDescent="0.25">
      <c r="L50" s="7">
        <v>2</v>
      </c>
      <c r="M50" s="85">
        <f t="shared" ref="M50:M54" si="11">M40</f>
        <v>3.798356725321963</v>
      </c>
      <c r="N50" s="87">
        <f t="shared" si="10"/>
        <v>0.97119528412029688</v>
      </c>
    </row>
    <row r="51" spans="12:14" x14ac:dyDescent="0.25">
      <c r="L51" s="7">
        <v>3</v>
      </c>
      <c r="M51" s="85">
        <f t="shared" si="11"/>
        <v>1.7105413350170124</v>
      </c>
      <c r="N51" s="87">
        <f t="shared" si="10"/>
        <v>1.5410487903909853</v>
      </c>
    </row>
    <row r="52" spans="12:14" x14ac:dyDescent="0.25">
      <c r="L52" s="7">
        <v>4</v>
      </c>
      <c r="M52" s="85">
        <f t="shared" si="11"/>
        <v>1.6523140754728043</v>
      </c>
      <c r="N52" s="87">
        <f t="shared" si="10"/>
        <v>1.4666328109352353</v>
      </c>
    </row>
    <row r="53" spans="12:14" x14ac:dyDescent="0.25">
      <c r="L53" s="7">
        <v>5</v>
      </c>
      <c r="M53" s="85">
        <f t="shared" si="11"/>
        <v>1.3357469490607339</v>
      </c>
      <c r="N53" s="87">
        <f t="shared" si="10"/>
        <v>1.1924632048467632</v>
      </c>
    </row>
    <row r="54" spans="12:14" ht="15.75" thickBot="1" x14ac:dyDescent="0.3">
      <c r="L54" s="9">
        <v>6</v>
      </c>
      <c r="M54" s="86">
        <f t="shared" si="11"/>
        <v>3.088263378953064</v>
      </c>
      <c r="N54" s="88">
        <f t="shared" si="10"/>
        <v>0.64739640664357267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772A31-BCA1-42FB-B9A3-5280F010A639}">
  <dimension ref="B1:AS76"/>
  <sheetViews>
    <sheetView tabSelected="1" topLeftCell="M1" zoomScale="115" zoomScaleNormal="115" workbookViewId="0">
      <selection activeCell="U41" sqref="U41"/>
    </sheetView>
  </sheetViews>
  <sheetFormatPr defaultRowHeight="15" x14ac:dyDescent="0.25"/>
  <cols>
    <col min="1" max="2" width="9.140625" style="57"/>
    <col min="3" max="6" width="12.5703125" style="57" customWidth="1"/>
    <col min="7" max="8" width="9.140625" style="57"/>
    <col min="9" max="10" width="12.140625" style="57" customWidth="1"/>
    <col min="11" max="12" width="9.140625" style="57"/>
    <col min="13" max="13" width="15" style="57" customWidth="1"/>
    <col min="14" max="21" width="9.140625" style="57"/>
    <col min="22" max="22" width="13.5703125" style="57" customWidth="1"/>
    <col min="23" max="16384" width="9.140625" style="57"/>
  </cols>
  <sheetData>
    <row r="1" spans="2:42" ht="15.75" thickBot="1" x14ac:dyDescent="0.3"/>
    <row r="2" spans="2:42" ht="26.25" x14ac:dyDescent="0.4">
      <c r="B2" s="58"/>
      <c r="C2" s="59" t="s">
        <v>63</v>
      </c>
      <c r="D2" s="60"/>
      <c r="I2" s="61" t="s">
        <v>49</v>
      </c>
      <c r="M2" s="61" t="s">
        <v>49</v>
      </c>
      <c r="U2" s="61" t="s">
        <v>79</v>
      </c>
      <c r="AA2" s="61" t="s">
        <v>79</v>
      </c>
    </row>
    <row r="3" spans="2:42" ht="26.25" x14ac:dyDescent="0.4">
      <c r="B3" s="62"/>
      <c r="C3" s="57">
        <v>1</v>
      </c>
      <c r="D3" s="63">
        <v>2</v>
      </c>
      <c r="I3" s="61" t="s">
        <v>48</v>
      </c>
      <c r="M3" s="61" t="s">
        <v>67</v>
      </c>
      <c r="U3" s="61" t="s">
        <v>67</v>
      </c>
      <c r="AA3" s="61" t="s">
        <v>107</v>
      </c>
      <c r="AI3" s="57">
        <v>0</v>
      </c>
      <c r="AJ3" s="57">
        <v>0</v>
      </c>
      <c r="AK3" s="57">
        <v>0</v>
      </c>
      <c r="AL3" s="57">
        <v>0</v>
      </c>
      <c r="AM3" s="57">
        <v>0</v>
      </c>
      <c r="AN3" s="57">
        <v>0</v>
      </c>
      <c r="AO3" s="57">
        <v>0</v>
      </c>
      <c r="AP3" s="57">
        <v>0</v>
      </c>
    </row>
    <row r="4" spans="2:42" ht="15.75" thickBot="1" x14ac:dyDescent="0.3">
      <c r="B4" s="62">
        <v>1</v>
      </c>
      <c r="C4" s="79" cm="1">
        <f t="array" ref="C4:D9">FRONTEND!M49:N54</f>
        <v>5.1213373543300822</v>
      </c>
      <c r="D4" s="82">
        <v>0.78382050703596939</v>
      </c>
      <c r="AI4" s="57">
        <v>0</v>
      </c>
      <c r="AJ4" s="57">
        <v>0</v>
      </c>
      <c r="AK4" s="57">
        <v>0</v>
      </c>
      <c r="AL4" s="57">
        <v>0</v>
      </c>
      <c r="AM4" s="57">
        <v>0</v>
      </c>
      <c r="AN4" s="57">
        <v>0</v>
      </c>
      <c r="AO4" s="57">
        <v>0</v>
      </c>
      <c r="AP4" s="57">
        <v>0</v>
      </c>
    </row>
    <row r="5" spans="2:42" ht="15.75" thickBot="1" x14ac:dyDescent="0.3">
      <c r="B5" s="62">
        <v>2</v>
      </c>
      <c r="C5" s="79">
        <v>3.798356725321963</v>
      </c>
      <c r="D5" s="82">
        <v>0.97119528412029688</v>
      </c>
      <c r="H5" s="58"/>
      <c r="I5" s="64" t="s">
        <v>50</v>
      </c>
      <c r="J5" s="60"/>
      <c r="M5" s="57" t="s">
        <v>46</v>
      </c>
      <c r="O5" s="58"/>
      <c r="P5" s="64" t="s">
        <v>68</v>
      </c>
      <c r="Q5" s="59"/>
      <c r="R5" s="60"/>
      <c r="T5" s="58"/>
      <c r="U5" s="64" t="s">
        <v>68</v>
      </c>
      <c r="V5" s="59"/>
      <c r="W5" s="60"/>
      <c r="AA5" s="57" t="s">
        <v>92</v>
      </c>
      <c r="AI5" s="57">
        <v>0</v>
      </c>
      <c r="AJ5" s="57">
        <v>0</v>
      </c>
      <c r="AK5" s="57">
        <v>0</v>
      </c>
      <c r="AL5" s="57">
        <v>0</v>
      </c>
      <c r="AM5" s="57">
        <v>0</v>
      </c>
      <c r="AN5" s="57">
        <v>0</v>
      </c>
      <c r="AO5" s="57">
        <v>0</v>
      </c>
      <c r="AP5" s="57">
        <v>0</v>
      </c>
    </row>
    <row r="6" spans="2:42" x14ac:dyDescent="0.25">
      <c r="B6" s="62">
        <v>3</v>
      </c>
      <c r="C6" s="79">
        <v>1.7105413350170124</v>
      </c>
      <c r="D6" s="82">
        <v>1.5410487903909853</v>
      </c>
      <c r="H6" s="62"/>
      <c r="I6" s="57">
        <v>1</v>
      </c>
      <c r="J6" s="63">
        <v>2</v>
      </c>
      <c r="M6" s="57">
        <v>1</v>
      </c>
      <c r="O6" s="62"/>
      <c r="P6" s="57">
        <v>1</v>
      </c>
      <c r="Q6" s="57">
        <v>2</v>
      </c>
      <c r="R6" s="63">
        <v>3</v>
      </c>
      <c r="T6" s="62"/>
      <c r="U6" s="57">
        <v>1</v>
      </c>
      <c r="V6" s="57">
        <v>2</v>
      </c>
      <c r="W6" s="63">
        <v>3</v>
      </c>
      <c r="AA6" s="57">
        <v>1</v>
      </c>
      <c r="AB6" s="57">
        <v>2</v>
      </c>
      <c r="AI6" s="57">
        <v>0</v>
      </c>
      <c r="AJ6" s="57">
        <v>0</v>
      </c>
      <c r="AK6" s="57">
        <v>0</v>
      </c>
      <c r="AL6" s="58">
        <f t="shared" ref="AL6:AM11" si="0">C4</f>
        <v>5.1213373543300822</v>
      </c>
      <c r="AM6" s="60">
        <f t="shared" si="0"/>
        <v>0.78382050703596939</v>
      </c>
      <c r="AN6" s="57">
        <v>0</v>
      </c>
      <c r="AO6" s="57">
        <v>0</v>
      </c>
      <c r="AP6" s="57">
        <v>0</v>
      </c>
    </row>
    <row r="7" spans="2:42" x14ac:dyDescent="0.25">
      <c r="B7" s="62">
        <v>4</v>
      </c>
      <c r="C7" s="79">
        <v>1.6523140754728043</v>
      </c>
      <c r="D7" s="82">
        <v>1.4666328109352353</v>
      </c>
      <c r="H7" s="62">
        <v>1</v>
      </c>
      <c r="I7" s="57">
        <v>-0.20399999999999999</v>
      </c>
      <c r="J7" s="63">
        <v>-0.74</v>
      </c>
      <c r="L7" s="57">
        <v>1</v>
      </c>
      <c r="M7" s="79">
        <f t="shared" ref="M7:M18" si="1">I55</f>
        <v>5.4291635154417559</v>
      </c>
      <c r="O7" s="62">
        <v>1</v>
      </c>
      <c r="P7" s="57">
        <v>-0.13400000000000001</v>
      </c>
      <c r="Q7" s="57">
        <v>-0.67100000000000004</v>
      </c>
      <c r="R7" s="63">
        <v>-0.77800000000000002</v>
      </c>
      <c r="T7" s="62">
        <v>1</v>
      </c>
      <c r="U7" s="57" cm="1">
        <f t="array" ref="U7:U18">M34*P7:P18</f>
        <v>-8.4761361163845101E-3</v>
      </c>
      <c r="V7" s="57" cm="1">
        <f t="array" ref="V7:V18">M35*Q7:Q18</f>
        <v>-4.3312002281869058E-2</v>
      </c>
      <c r="W7" s="63" cm="1">
        <f t="array" ref="W7:W18">M36*R7:R18</f>
        <v>-9.6754762794677637E-2</v>
      </c>
      <c r="Z7" s="57">
        <v>1</v>
      </c>
      <c r="AA7" s="79">
        <f>U61*IF(U61&gt;0,1,0)</f>
        <v>0</v>
      </c>
      <c r="AB7" s="78">
        <f>V61*IF(V61&gt;0,1,0)</f>
        <v>0</v>
      </c>
      <c r="AI7" s="57">
        <v>0</v>
      </c>
      <c r="AJ7" s="57">
        <v>0</v>
      </c>
      <c r="AK7" s="57">
        <v>0</v>
      </c>
      <c r="AL7" s="62">
        <f t="shared" si="0"/>
        <v>3.798356725321963</v>
      </c>
      <c r="AM7" s="63">
        <f t="shared" si="0"/>
        <v>0.97119528412029688</v>
      </c>
      <c r="AN7" s="57">
        <v>0</v>
      </c>
      <c r="AO7" s="57">
        <v>0</v>
      </c>
      <c r="AP7" s="57">
        <v>0</v>
      </c>
    </row>
    <row r="8" spans="2:42" x14ac:dyDescent="0.25">
      <c r="B8" s="62">
        <v>5</v>
      </c>
      <c r="C8" s="79">
        <v>1.3357469490607339</v>
      </c>
      <c r="D8" s="82">
        <v>1.1924632048467632</v>
      </c>
      <c r="H8" s="62">
        <v>2</v>
      </c>
      <c r="I8" s="57">
        <v>0.80500000000000005</v>
      </c>
      <c r="J8" s="63">
        <v>-0.97699999999999998</v>
      </c>
      <c r="L8" s="57">
        <v>2</v>
      </c>
      <c r="M8" s="79">
        <f t="shared" si="1"/>
        <v>0.95816011026011405</v>
      </c>
      <c r="O8" s="62">
        <v>2</v>
      </c>
      <c r="P8" s="57">
        <v>-0.94499999999999995</v>
      </c>
      <c r="Q8" s="57">
        <v>-0.04</v>
      </c>
      <c r="R8" s="63">
        <v>0.99099999999999999</v>
      </c>
      <c r="T8" s="62">
        <v>2</v>
      </c>
      <c r="U8" s="57">
        <v>-5.9775736044651952E-2</v>
      </c>
      <c r="V8" s="57">
        <v>-2.5819375428834013E-3</v>
      </c>
      <c r="W8" s="63">
        <v>0.1232441772873079</v>
      </c>
      <c r="Z8" s="57">
        <v>2</v>
      </c>
      <c r="AA8" s="79">
        <f t="shared" ref="AA8:AB8" si="2">U62*IF(U62&gt;0,1,0)</f>
        <v>0</v>
      </c>
      <c r="AB8" s="78">
        <f t="shared" si="2"/>
        <v>5.2632346483010448E-2</v>
      </c>
      <c r="AI8" s="57">
        <v>0</v>
      </c>
      <c r="AJ8" s="57">
        <v>0</v>
      </c>
      <c r="AK8" s="57">
        <v>0</v>
      </c>
      <c r="AL8" s="62">
        <f t="shared" si="0"/>
        <v>1.7105413350170124</v>
      </c>
      <c r="AM8" s="63">
        <f t="shared" si="0"/>
        <v>1.5410487903909853</v>
      </c>
      <c r="AN8" s="57">
        <v>0</v>
      </c>
      <c r="AO8" s="57">
        <v>0</v>
      </c>
      <c r="AP8" s="57">
        <v>0</v>
      </c>
    </row>
    <row r="9" spans="2:42" ht="15.75" thickBot="1" x14ac:dyDescent="0.3">
      <c r="B9" s="65">
        <v>6</v>
      </c>
      <c r="C9" s="81">
        <v>3.088263378953064</v>
      </c>
      <c r="D9" s="83">
        <v>0.64739640664357267</v>
      </c>
      <c r="H9" s="65">
        <v>3</v>
      </c>
      <c r="I9" s="66">
        <v>0.51600000000000001</v>
      </c>
      <c r="J9" s="67">
        <v>-0.91400000000000003</v>
      </c>
      <c r="L9" s="57">
        <v>3</v>
      </c>
      <c r="M9" s="79">
        <f t="shared" si="1"/>
        <v>0</v>
      </c>
      <c r="O9" s="62">
        <v>3</v>
      </c>
      <c r="P9" s="57">
        <v>-0.62</v>
      </c>
      <c r="Q9" s="57">
        <v>0.312</v>
      </c>
      <c r="R9" s="63">
        <v>-0.121</v>
      </c>
      <c r="T9" s="62">
        <v>3</v>
      </c>
      <c r="U9" s="57">
        <v>-3.9217943225062661E-2</v>
      </c>
      <c r="V9" s="57">
        <v>2.0139112834490529E-2</v>
      </c>
      <c r="W9" s="63">
        <v>-1.5047977246987138E-2</v>
      </c>
      <c r="Z9" s="57">
        <v>3</v>
      </c>
      <c r="AA9" s="79">
        <f t="shared" ref="AA9:AB9" si="3">U63*IF(U63&gt;0,1,0)</f>
        <v>0</v>
      </c>
      <c r="AB9" s="78">
        <f t="shared" si="3"/>
        <v>0</v>
      </c>
      <c r="AI9" s="57">
        <v>0</v>
      </c>
      <c r="AJ9" s="57">
        <v>0</v>
      </c>
      <c r="AK9" s="57">
        <v>0</v>
      </c>
      <c r="AL9" s="62">
        <f t="shared" si="0"/>
        <v>1.6523140754728043</v>
      </c>
      <c r="AM9" s="63">
        <f t="shared" si="0"/>
        <v>1.4666328109352353</v>
      </c>
      <c r="AN9" s="57">
        <v>0</v>
      </c>
      <c r="AO9" s="57">
        <v>0</v>
      </c>
      <c r="AP9" s="57">
        <v>0</v>
      </c>
    </row>
    <row r="10" spans="2:42" ht="15.75" thickBot="1" x14ac:dyDescent="0.3">
      <c r="B10" s="57" t="s">
        <v>229</v>
      </c>
      <c r="L10" s="57">
        <v>4</v>
      </c>
      <c r="M10" s="79">
        <f t="shared" si="1"/>
        <v>0</v>
      </c>
      <c r="O10" s="62">
        <v>4</v>
      </c>
      <c r="P10" s="57">
        <v>-0.29099999999999998</v>
      </c>
      <c r="Q10" s="57">
        <v>-0.20200000000000001</v>
      </c>
      <c r="R10" s="63">
        <v>0.186</v>
      </c>
      <c r="T10" s="62">
        <v>4</v>
      </c>
      <c r="U10" s="57">
        <v>-1.8407131416924568E-2</v>
      </c>
      <c r="V10" s="57">
        <v>-1.3038784591561178E-2</v>
      </c>
      <c r="W10" s="63">
        <v>2.3131601387930644E-2</v>
      </c>
      <c r="Z10" s="57">
        <v>4</v>
      </c>
      <c r="AA10" s="79">
        <f t="shared" ref="AA10:AB10" si="4">U64*IF(U64&gt;0,1,0)</f>
        <v>5.4273967211748066E-3</v>
      </c>
      <c r="AB10" s="78">
        <f t="shared" si="4"/>
        <v>1.3741711341729907E-2</v>
      </c>
      <c r="AI10" s="57">
        <v>0</v>
      </c>
      <c r="AJ10" s="57">
        <v>0</v>
      </c>
      <c r="AK10" s="57">
        <v>0</v>
      </c>
      <c r="AL10" s="62">
        <f t="shared" si="0"/>
        <v>1.3357469490607339</v>
      </c>
      <c r="AM10" s="63">
        <f t="shared" si="0"/>
        <v>1.1924632048467632</v>
      </c>
      <c r="AN10" s="57">
        <v>0</v>
      </c>
      <c r="AO10" s="57">
        <v>0</v>
      </c>
      <c r="AP10" s="57">
        <v>0</v>
      </c>
    </row>
    <row r="11" spans="2:42" ht="15.75" thickBot="1" x14ac:dyDescent="0.3">
      <c r="H11" s="58"/>
      <c r="I11" s="68" t="s">
        <v>52</v>
      </c>
      <c r="L11" s="57">
        <v>5</v>
      </c>
      <c r="M11" s="79">
        <f t="shared" si="1"/>
        <v>0.48968297923763271</v>
      </c>
      <c r="O11" s="62">
        <v>5</v>
      </c>
      <c r="P11" s="57">
        <v>-0.57699999999999996</v>
      </c>
      <c r="Q11" s="57">
        <v>-0.185</v>
      </c>
      <c r="R11" s="63">
        <v>0.17299999999999999</v>
      </c>
      <c r="T11" s="62">
        <v>5</v>
      </c>
      <c r="U11" s="57">
        <v>-3.6497989098163146E-2</v>
      </c>
      <c r="V11" s="57">
        <v>-1.194146113583573E-2</v>
      </c>
      <c r="W11" s="63">
        <v>2.1514876559741943E-2</v>
      </c>
      <c r="Z11" s="57">
        <v>5</v>
      </c>
      <c r="AA11" s="79">
        <f t="shared" ref="AA11:AB11" si="5">U65*IF(U65&gt;0,1,0)</f>
        <v>2.2934377258082377E-2</v>
      </c>
      <c r="AB11" s="78">
        <f t="shared" si="5"/>
        <v>0</v>
      </c>
      <c r="AI11" s="57">
        <v>0</v>
      </c>
      <c r="AJ11" s="57">
        <v>0</v>
      </c>
      <c r="AK11" s="57">
        <v>0</v>
      </c>
      <c r="AL11" s="65">
        <f t="shared" si="0"/>
        <v>3.088263378953064</v>
      </c>
      <c r="AM11" s="67">
        <f t="shared" si="0"/>
        <v>0.64739640664357267</v>
      </c>
      <c r="AN11" s="57">
        <v>0</v>
      </c>
      <c r="AO11" s="57">
        <v>0</v>
      </c>
      <c r="AP11" s="57">
        <v>0</v>
      </c>
    </row>
    <row r="12" spans="2:42" x14ac:dyDescent="0.25">
      <c r="C12" s="57" t="s">
        <v>64</v>
      </c>
      <c r="H12" s="62"/>
      <c r="I12" s="63">
        <v>1</v>
      </c>
      <c r="L12" s="57">
        <v>6</v>
      </c>
      <c r="M12" s="79">
        <f t="shared" si="1"/>
        <v>1.6986305815714517</v>
      </c>
      <c r="O12" s="62">
        <v>6</v>
      </c>
      <c r="P12" s="57">
        <v>0.57199999999999995</v>
      </c>
      <c r="Q12" s="57">
        <v>0.89200000000000002</v>
      </c>
      <c r="R12" s="63">
        <v>0.75700000000000001</v>
      </c>
      <c r="T12" s="62">
        <v>6</v>
      </c>
      <c r="U12" s="57">
        <v>3.6181715362477163E-2</v>
      </c>
      <c r="V12" s="57">
        <v>5.7577207206299851E-2</v>
      </c>
      <c r="W12" s="63">
        <v>9.4143130379911275E-2</v>
      </c>
      <c r="Z12" s="57">
        <v>6</v>
      </c>
      <c r="AA12" s="79">
        <f t="shared" ref="AA12:AB12" si="6">U66*IF(U66&gt;0,1,0)</f>
        <v>0</v>
      </c>
      <c r="AB12" s="78">
        <f t="shared" si="6"/>
        <v>0.16897689387991249</v>
      </c>
      <c r="AI12" s="57">
        <v>0</v>
      </c>
      <c r="AJ12" s="57">
        <v>0</v>
      </c>
      <c r="AK12" s="57">
        <v>0</v>
      </c>
      <c r="AL12" s="57">
        <v>0</v>
      </c>
      <c r="AM12" s="57">
        <v>0</v>
      </c>
      <c r="AN12" s="57">
        <v>0</v>
      </c>
      <c r="AO12" s="57">
        <v>0</v>
      </c>
      <c r="AP12" s="57">
        <v>0</v>
      </c>
    </row>
    <row r="13" spans="2:42" ht="15.75" thickBot="1" x14ac:dyDescent="0.3">
      <c r="C13" s="57">
        <v>1</v>
      </c>
      <c r="D13" s="57">
        <v>2</v>
      </c>
      <c r="E13" s="57">
        <v>3</v>
      </c>
      <c r="F13" s="57">
        <v>4</v>
      </c>
      <c r="H13" s="65">
        <v>1</v>
      </c>
      <c r="I13" s="67">
        <v>1</v>
      </c>
      <c r="L13" s="57">
        <v>7</v>
      </c>
      <c r="M13" s="78">
        <f t="shared" si="1"/>
        <v>2.714581757720878</v>
      </c>
      <c r="O13" s="62">
        <v>7</v>
      </c>
      <c r="P13" s="57">
        <v>-0.21</v>
      </c>
      <c r="Q13" s="57">
        <v>-0.86299999999999999</v>
      </c>
      <c r="R13" s="63">
        <v>0.252</v>
      </c>
      <c r="T13" s="62">
        <v>7</v>
      </c>
      <c r="U13" s="57">
        <v>-1.3283496898811545E-2</v>
      </c>
      <c r="V13" s="57">
        <v>-5.5705302487709385E-2</v>
      </c>
      <c r="W13" s="63">
        <v>3.1339588977196353E-2</v>
      </c>
      <c r="AI13" s="57">
        <v>0</v>
      </c>
      <c r="AJ13" s="57">
        <v>0</v>
      </c>
      <c r="AK13" s="57">
        <v>0</v>
      </c>
      <c r="AL13" s="57">
        <v>0</v>
      </c>
      <c r="AM13" s="57">
        <v>0</v>
      </c>
      <c r="AN13" s="57">
        <v>0</v>
      </c>
      <c r="AO13" s="57">
        <v>0</v>
      </c>
      <c r="AP13" s="57">
        <v>0</v>
      </c>
    </row>
    <row r="14" spans="2:42" x14ac:dyDescent="0.25">
      <c r="B14" s="57">
        <v>1</v>
      </c>
      <c r="C14" s="57">
        <v>0</v>
      </c>
      <c r="D14" s="57">
        <v>0</v>
      </c>
      <c r="E14" s="57">
        <v>0</v>
      </c>
      <c r="F14" s="57">
        <v>0</v>
      </c>
      <c r="L14" s="57">
        <v>8</v>
      </c>
      <c r="M14" s="78">
        <f t="shared" si="1"/>
        <v>0.47908005513005703</v>
      </c>
      <c r="O14" s="62">
        <v>8</v>
      </c>
      <c r="P14" s="57">
        <v>0.54900000000000004</v>
      </c>
      <c r="Q14" s="57">
        <v>0.185</v>
      </c>
      <c r="R14" s="63">
        <v>-0.50800000000000001</v>
      </c>
      <c r="T14" s="62">
        <v>8</v>
      </c>
      <c r="U14" s="57">
        <v>3.4726856178321615E-2</v>
      </c>
      <c r="V14" s="57">
        <v>1.194146113583573E-2</v>
      </c>
      <c r="W14" s="63">
        <v>-6.3176631747681539E-2</v>
      </c>
      <c r="Z14" s="58"/>
      <c r="AA14" s="64" t="s">
        <v>50</v>
      </c>
      <c r="AB14" s="60"/>
      <c r="AD14" s="58"/>
      <c r="AE14" s="68" t="s">
        <v>52</v>
      </c>
      <c r="AI14" s="57">
        <v>0</v>
      </c>
      <c r="AJ14" s="57">
        <v>0</v>
      </c>
      <c r="AK14" s="57">
        <v>0</v>
      </c>
      <c r="AL14" s="57">
        <v>0</v>
      </c>
      <c r="AM14" s="57">
        <v>0</v>
      </c>
      <c r="AN14" s="57">
        <v>0</v>
      </c>
      <c r="AO14" s="57">
        <v>0</v>
      </c>
      <c r="AP14" s="57">
        <v>0</v>
      </c>
    </row>
    <row r="15" spans="2:42" x14ac:dyDescent="0.25">
      <c r="B15" s="57">
        <v>2</v>
      </c>
      <c r="C15" s="57">
        <v>0</v>
      </c>
      <c r="D15" s="79">
        <f>C4</f>
        <v>5.1213373543300822</v>
      </c>
      <c r="E15" s="78">
        <f>D4</f>
        <v>0.78382050703596939</v>
      </c>
      <c r="F15" s="57">
        <v>0</v>
      </c>
      <c r="I15" s="57" t="s">
        <v>51</v>
      </c>
      <c r="L15" s="57">
        <v>9</v>
      </c>
      <c r="M15" s="78">
        <f t="shared" si="1"/>
        <v>0</v>
      </c>
      <c r="O15" s="62">
        <v>9</v>
      </c>
      <c r="P15" s="57">
        <v>0.99</v>
      </c>
      <c r="Q15" s="57">
        <v>-0.94699999999999995</v>
      </c>
      <c r="R15" s="63">
        <v>-0.90500000000000003</v>
      </c>
      <c r="T15" s="62">
        <v>9</v>
      </c>
      <c r="U15" s="57">
        <v>6.2622199665825856E-2</v>
      </c>
      <c r="V15" s="57">
        <v>-6.1127371327764524E-2</v>
      </c>
      <c r="W15" s="63">
        <v>-0.11254892073159803</v>
      </c>
      <c r="Z15" s="62"/>
      <c r="AA15" s="57">
        <v>1</v>
      </c>
      <c r="AB15" s="63">
        <v>2</v>
      </c>
      <c r="AD15" s="62"/>
      <c r="AE15" s="63">
        <v>1</v>
      </c>
      <c r="AI15" s="57" t="s">
        <v>86</v>
      </c>
    </row>
    <row r="16" spans="2:42" ht="15.75" thickBot="1" x14ac:dyDescent="0.3">
      <c r="B16" s="57">
        <v>3</v>
      </c>
      <c r="C16" s="57">
        <v>0</v>
      </c>
      <c r="D16" s="79">
        <f t="shared" ref="D16:E16" si="7">C5</f>
        <v>3.798356725321963</v>
      </c>
      <c r="E16" s="78">
        <f t="shared" si="7"/>
        <v>0.97119528412029688</v>
      </c>
      <c r="F16" s="57">
        <v>0</v>
      </c>
      <c r="I16" s="57">
        <v>1</v>
      </c>
      <c r="J16" s="57">
        <v>2</v>
      </c>
      <c r="L16" s="57">
        <v>10</v>
      </c>
      <c r="M16" s="78">
        <f t="shared" si="1"/>
        <v>0</v>
      </c>
      <c r="O16" s="62">
        <v>10</v>
      </c>
      <c r="P16" s="57">
        <v>0.46899999999999997</v>
      </c>
      <c r="Q16" s="57">
        <v>0.36499999999999999</v>
      </c>
      <c r="R16" s="63">
        <v>-0.20699999999999999</v>
      </c>
      <c r="T16" s="62">
        <v>10</v>
      </c>
      <c r="U16" s="57">
        <v>2.9666476407345783E-2</v>
      </c>
      <c r="V16" s="57">
        <v>2.3560180078811038E-2</v>
      </c>
      <c r="W16" s="63">
        <v>-2.5743233802697007E-2</v>
      </c>
      <c r="Z16" s="62">
        <v>1</v>
      </c>
      <c r="AA16" s="57" cm="1">
        <f t="array" ref="AA16">SUM($AA$7:$AB$12*AK5:AL10)</f>
        <v>0.51876413781523856</v>
      </c>
      <c r="AB16" s="63" cm="1">
        <f t="array" ref="AB16">SUM($AA$7:$AB$12*AL5:AM10)</f>
        <v>0.31110826935781111</v>
      </c>
      <c r="AD16" s="65">
        <v>1</v>
      </c>
      <c r="AE16" s="67">
        <f>SUM(AA7:AB12)</f>
        <v>0.26371272568391002</v>
      </c>
    </row>
    <row r="17" spans="2:42" x14ac:dyDescent="0.25">
      <c r="B17" s="57">
        <v>4</v>
      </c>
      <c r="C17" s="57">
        <v>0</v>
      </c>
      <c r="D17" s="79">
        <f t="shared" ref="D17:E17" si="8">C6</f>
        <v>1.7105413350170124</v>
      </c>
      <c r="E17" s="78">
        <f t="shared" si="8"/>
        <v>1.5410487903909853</v>
      </c>
      <c r="F17" s="57">
        <v>0</v>
      </c>
      <c r="H17" s="57">
        <v>1</v>
      </c>
      <c r="I17" s="57" cm="1">
        <f t="array" ref="I17">SUM(C14:D16*$I$7:$J$9)+$I$13</f>
        <v>-7.475244642124764</v>
      </c>
      <c r="J17" s="57" cm="1">
        <f t="array" ref="J17">SUM(D14:E16*$I$7:$J$9)+$I$13</f>
        <v>5.4291635154417559</v>
      </c>
      <c r="L17" s="57">
        <v>11</v>
      </c>
      <c r="M17" s="78">
        <f t="shared" si="1"/>
        <v>0.24484148961881635</v>
      </c>
      <c r="O17" s="62">
        <v>11</v>
      </c>
      <c r="P17" s="57">
        <v>0.24099999999999999</v>
      </c>
      <c r="Q17" s="57">
        <v>0.48599999999999999</v>
      </c>
      <c r="R17" s="63">
        <v>-6.0000000000000001E-3</v>
      </c>
      <c r="T17" s="62">
        <v>11</v>
      </c>
      <c r="U17" s="57">
        <v>1.5244394060064679E-2</v>
      </c>
      <c r="V17" s="57">
        <v>3.1370541146033326E-2</v>
      </c>
      <c r="W17" s="63">
        <v>-7.4618068993324654E-4</v>
      </c>
      <c r="Z17" s="62">
        <v>2</v>
      </c>
      <c r="AA17" s="57" cm="1">
        <f t="array" ref="AA17">SUM($AA$7:$AB$12*AK6:AL11)</f>
        <v>0.74446720356281493</v>
      </c>
      <c r="AB17" s="63" cm="1">
        <f t="array" ref="AB17">SUM($AA$7:$AB$12*AL6:AM11)</f>
        <v>0.22026765377897833</v>
      </c>
      <c r="AI17" s="57">
        <v>0</v>
      </c>
      <c r="AJ17" s="57">
        <v>0</v>
      </c>
      <c r="AK17" s="57">
        <v>0</v>
      </c>
      <c r="AL17" s="57">
        <v>0</v>
      </c>
      <c r="AM17" s="57">
        <v>0</v>
      </c>
      <c r="AN17" s="57">
        <v>0</v>
      </c>
      <c r="AO17" s="57">
        <v>0</v>
      </c>
      <c r="AP17" s="57">
        <v>0</v>
      </c>
    </row>
    <row r="18" spans="2:42" ht="15.75" thickBot="1" x14ac:dyDescent="0.3">
      <c r="B18" s="57">
        <v>5</v>
      </c>
      <c r="C18" s="57">
        <v>0</v>
      </c>
      <c r="D18" s="79">
        <f t="shared" ref="D18:E18" si="9">C7</f>
        <v>1.6523140754728043</v>
      </c>
      <c r="E18" s="78">
        <f t="shared" si="9"/>
        <v>1.4666328109352353</v>
      </c>
      <c r="F18" s="57">
        <v>0</v>
      </c>
      <c r="H18" s="57">
        <v>2</v>
      </c>
      <c r="I18" s="57" cm="1">
        <f t="array" ref="I18">SUM(C15:D17*$I$7:$J$9)+$I$13</f>
        <v>-8.0642189430493669</v>
      </c>
      <c r="J18" s="57" cm="1">
        <f t="array" ref="J18">SUM(D15:E17*$I$7:$J$9)+$I$13</f>
        <v>0.95816011026011405</v>
      </c>
      <c r="L18" s="57">
        <v>12</v>
      </c>
      <c r="M18" s="78">
        <f t="shared" si="1"/>
        <v>0.84931529078572587</v>
      </c>
      <c r="O18" s="65">
        <v>12</v>
      </c>
      <c r="P18" s="66">
        <v>-0.16700000000000001</v>
      </c>
      <c r="Q18" s="66">
        <v>-0.442</v>
      </c>
      <c r="R18" s="67">
        <v>0.01</v>
      </c>
      <c r="T18" s="65">
        <v>12</v>
      </c>
      <c r="U18" s="66">
        <v>-1.056354277191204E-2</v>
      </c>
      <c r="V18" s="66">
        <v>-2.8530409848861585E-2</v>
      </c>
      <c r="W18" s="67">
        <v>1.2436344832220776E-3</v>
      </c>
      <c r="Z18" s="65">
        <v>3</v>
      </c>
      <c r="AA18" s="66" cm="1">
        <f t="array" ref="AA18">SUM($AA$7:$AB$12*AK7:AL12)</f>
        <v>0.10838525321771565</v>
      </c>
      <c r="AB18" s="67" cm="1">
        <f t="array" ref="AB18">SUM($AA$7:$AB$12*AL7:AM12)</f>
        <v>0.17557252504660209</v>
      </c>
      <c r="AI18" s="57">
        <v>0</v>
      </c>
      <c r="AJ18" s="57">
        <v>0</v>
      </c>
      <c r="AK18" s="57">
        <v>0</v>
      </c>
      <c r="AL18" s="57">
        <v>0</v>
      </c>
      <c r="AM18" s="57">
        <v>0</v>
      </c>
      <c r="AN18" s="57">
        <v>0</v>
      </c>
      <c r="AO18" s="57">
        <v>0</v>
      </c>
      <c r="AP18" s="57">
        <v>0</v>
      </c>
    </row>
    <row r="19" spans="2:42" ht="15.75" thickBot="1" x14ac:dyDescent="0.3">
      <c r="B19" s="57">
        <v>6</v>
      </c>
      <c r="C19" s="57">
        <v>0</v>
      </c>
      <c r="D19" s="79">
        <f t="shared" ref="D19:E19" si="10">C8</f>
        <v>1.3357469490607339</v>
      </c>
      <c r="E19" s="78">
        <f t="shared" si="10"/>
        <v>1.1924632048467632</v>
      </c>
      <c r="F19" s="57">
        <v>0</v>
      </c>
      <c r="H19" s="57">
        <v>3</v>
      </c>
      <c r="I19" s="57" cm="1">
        <f t="array" ref="I19">SUM(C16:D18*$I$7:$J$9)+$I$13</f>
        <v>-4.9921979260320164</v>
      </c>
      <c r="J19" s="57" cm="1">
        <f t="array" ref="J19">SUM(D16:E18*$I$7:$J$9)+$I$13</f>
        <v>-1.1100765019888357</v>
      </c>
      <c r="AI19" s="57">
        <v>0</v>
      </c>
      <c r="AJ19" s="57">
        <v>0</v>
      </c>
      <c r="AK19" s="57">
        <v>0</v>
      </c>
      <c r="AL19" s="57">
        <v>0</v>
      </c>
      <c r="AM19" s="57">
        <v>0</v>
      </c>
      <c r="AN19" s="57">
        <v>0</v>
      </c>
      <c r="AO19" s="57">
        <v>0</v>
      </c>
      <c r="AP19" s="57">
        <v>0</v>
      </c>
    </row>
    <row r="20" spans="2:42" x14ac:dyDescent="0.25">
      <c r="B20" s="57">
        <v>7</v>
      </c>
      <c r="C20" s="57">
        <v>0</v>
      </c>
      <c r="D20" s="79">
        <f t="shared" ref="D20:E20" si="11">C9</f>
        <v>3.088263378953064</v>
      </c>
      <c r="E20" s="78">
        <f t="shared" si="11"/>
        <v>0.64739640664357267</v>
      </c>
      <c r="F20" s="57">
        <v>0</v>
      </c>
      <c r="H20" s="57">
        <v>4</v>
      </c>
      <c r="I20" s="57" cm="1">
        <f t="array" ref="I20">SUM(C17:D19*$I$7:$J$9)+$I$13</f>
        <v>-3.1009841510910299</v>
      </c>
      <c r="J20" s="57" cm="1">
        <f t="array" ref="J20">SUM(D17:E19*$I$7:$J$9)+$I$13</f>
        <v>-0.9927799062755196</v>
      </c>
      <c r="M20" s="57" t="s">
        <v>69</v>
      </c>
      <c r="O20" s="58"/>
      <c r="P20" s="68" t="s">
        <v>52</v>
      </c>
      <c r="T20" s="58"/>
      <c r="U20" s="68" t="s">
        <v>52</v>
      </c>
      <c r="Z20" s="58"/>
      <c r="AA20" s="64" t="s">
        <v>81</v>
      </c>
      <c r="AB20" s="60"/>
      <c r="AI20" s="57">
        <v>0</v>
      </c>
      <c r="AJ20" s="57">
        <v>0</v>
      </c>
      <c r="AK20" s="57">
        <v>0</v>
      </c>
      <c r="AL20" s="58">
        <f>AB12</f>
        <v>0.16897689387991249</v>
      </c>
      <c r="AM20" s="60">
        <f>AA12</f>
        <v>0</v>
      </c>
      <c r="AN20" s="57">
        <v>0</v>
      </c>
      <c r="AO20" s="57">
        <v>0</v>
      </c>
      <c r="AP20" s="57">
        <v>0</v>
      </c>
    </row>
    <row r="21" spans="2:42" x14ac:dyDescent="0.25">
      <c r="B21" s="57">
        <v>8</v>
      </c>
      <c r="C21" s="57">
        <v>0</v>
      </c>
      <c r="D21" s="57">
        <v>0</v>
      </c>
      <c r="E21" s="57">
        <v>0</v>
      </c>
      <c r="F21" s="57">
        <v>0</v>
      </c>
      <c r="H21" s="57">
        <v>5</v>
      </c>
      <c r="I21" s="57" cm="1">
        <f t="array" ref="I21">SUM(C18:D20*$I$7:$J$9)+$I$13</f>
        <v>-4.3504099134453131</v>
      </c>
      <c r="J21" s="57" cm="1">
        <f t="array" ref="J21">SUM(D18:E20*$I$7:$J$9)+$I$13</f>
        <v>0.48968297923763271</v>
      </c>
      <c r="M21" s="57">
        <v>1</v>
      </c>
      <c r="O21" s="62"/>
      <c r="P21" s="63">
        <v>1</v>
      </c>
      <c r="T21" s="62"/>
      <c r="U21" s="63">
        <v>1</v>
      </c>
      <c r="Z21" s="62"/>
      <c r="AA21" s="69">
        <v>1</v>
      </c>
      <c r="AB21" s="63">
        <v>2</v>
      </c>
      <c r="AI21" s="57">
        <v>0</v>
      </c>
      <c r="AJ21" s="57">
        <v>0</v>
      </c>
      <c r="AK21" s="57">
        <v>0</v>
      </c>
      <c r="AL21" s="62">
        <f>AB11</f>
        <v>0</v>
      </c>
      <c r="AM21" s="63">
        <f>AA11</f>
        <v>2.2934377258082377E-2</v>
      </c>
      <c r="AN21" s="57">
        <v>0</v>
      </c>
      <c r="AO21" s="57">
        <v>0</v>
      </c>
      <c r="AP21" s="57">
        <v>0</v>
      </c>
    </row>
    <row r="22" spans="2:42" x14ac:dyDescent="0.25">
      <c r="H22" s="57">
        <v>6</v>
      </c>
      <c r="I22" s="57" cm="1">
        <f t="array" ref="I22">SUM(C19:D21*$I$7:$J$9)+$I$13</f>
        <v>-3.005686063542087</v>
      </c>
      <c r="J22" s="57" cm="1">
        <f t="array" ref="J22">SUM(D19:E21*$I$7:$J$9)+$I$13</f>
        <v>1.6986305815714517</v>
      </c>
      <c r="L22" s="57">
        <v>1</v>
      </c>
      <c r="M22" s="57" cm="1">
        <f t="array" ref="M22:M24">TRANSPOSE(MMULT(TRANSPOSE(M7:M18),P7:R18)+TRANSPOSE(P22:P24))</f>
        <v>-0.33377567504431149</v>
      </c>
      <c r="O22" s="62">
        <v>1</v>
      </c>
      <c r="P22" s="63">
        <v>1</v>
      </c>
      <c r="T22" s="62">
        <v>1</v>
      </c>
      <c r="U22" s="63">
        <f>M34</f>
        <v>6.3254747137197836E-2</v>
      </c>
      <c r="Z22" s="62">
        <v>1</v>
      </c>
      <c r="AA22" s="80" cm="1">
        <f t="array" ref="AA22">SUM(AK19:AL21*$AA$16:$AB$18)</f>
        <v>3.7220143957787728E-2</v>
      </c>
      <c r="AB22" s="82" cm="1">
        <f t="array" ref="AB22">SUM(AL19:AM21*$AA$16:$AB$18)</f>
        <v>0.12982440217908187</v>
      </c>
      <c r="AI22" s="57">
        <v>0</v>
      </c>
      <c r="AJ22" s="57">
        <v>0</v>
      </c>
      <c r="AK22" s="57">
        <v>0</v>
      </c>
      <c r="AL22" s="62">
        <f>AB10</f>
        <v>1.3741711341729907E-2</v>
      </c>
      <c r="AM22" s="63">
        <f>AA10</f>
        <v>5.4273967211748066E-3</v>
      </c>
      <c r="AN22" s="57">
        <v>0</v>
      </c>
      <c r="AO22" s="57">
        <v>0</v>
      </c>
      <c r="AP22" s="57">
        <v>0</v>
      </c>
    </row>
    <row r="23" spans="2:42" x14ac:dyDescent="0.25">
      <c r="L23" s="57">
        <v>2</v>
      </c>
      <c r="M23" s="57">
        <v>-3.7671666369556531</v>
      </c>
      <c r="O23" s="62">
        <v>2</v>
      </c>
      <c r="P23" s="63">
        <v>1</v>
      </c>
      <c r="T23" s="62">
        <v>2</v>
      </c>
      <c r="U23" s="63">
        <f>M35</f>
        <v>6.4548438572085032E-2</v>
      </c>
      <c r="Z23" s="62">
        <v>2</v>
      </c>
      <c r="AA23" s="80" cm="1">
        <f t="array" ref="AA23">SUM(AK20:AL22*$AA$16:$AB$18)</f>
        <v>5.4982775975167125E-2</v>
      </c>
      <c r="AB23" s="82" cm="1">
        <f t="array" ref="AB23">SUM(AL20:AM22*$AA$16:$AB$18)</f>
        <v>9.5153154744014076E-2</v>
      </c>
      <c r="AI23" s="57">
        <v>0</v>
      </c>
      <c r="AJ23" s="57">
        <v>0</v>
      </c>
      <c r="AK23" s="57">
        <v>0</v>
      </c>
      <c r="AL23" s="62">
        <f>AB9</f>
        <v>0</v>
      </c>
      <c r="AM23" s="63">
        <f>AA9</f>
        <v>0</v>
      </c>
      <c r="AN23" s="57">
        <v>0</v>
      </c>
      <c r="AO23" s="57">
        <v>0</v>
      </c>
      <c r="AP23" s="57">
        <v>0</v>
      </c>
    </row>
    <row r="24" spans="2:42" ht="15.75" thickBot="1" x14ac:dyDescent="0.3">
      <c r="I24" s="57" t="s">
        <v>53</v>
      </c>
      <c r="L24" s="57">
        <v>3</v>
      </c>
      <c r="M24" s="57">
        <v>-0.45604800117847755</v>
      </c>
      <c r="O24" s="65">
        <v>3</v>
      </c>
      <c r="P24" s="67">
        <v>1</v>
      </c>
      <c r="T24" s="65">
        <v>3</v>
      </c>
      <c r="U24" s="67">
        <f>M36</f>
        <v>0.12436344832220776</v>
      </c>
      <c r="Z24" s="62">
        <v>3</v>
      </c>
      <c r="AA24" s="80" cm="1">
        <f t="array" ref="AA24">SUM(AK21:AL23*$AA$16:$AB$18)</f>
        <v>3.0268545161508229E-3</v>
      </c>
      <c r="AB24" s="82" cm="1">
        <f t="array" ref="AB24">SUM(AL21:AM23*$AA$16:$AB$18)</f>
        <v>1.8560807774207124E-2</v>
      </c>
      <c r="AI24" s="57">
        <v>0</v>
      </c>
      <c r="AJ24" s="57">
        <v>0</v>
      </c>
      <c r="AK24" s="57">
        <v>0</v>
      </c>
      <c r="AL24" s="62">
        <f>AB8</f>
        <v>5.2632346483010448E-2</v>
      </c>
      <c r="AM24" s="63">
        <f>AA8</f>
        <v>0</v>
      </c>
      <c r="AN24" s="57">
        <v>0</v>
      </c>
      <c r="AO24" s="57">
        <v>0</v>
      </c>
      <c r="AP24" s="57">
        <v>0</v>
      </c>
    </row>
    <row r="25" spans="2:42" ht="15.75" thickBot="1" x14ac:dyDescent="0.3">
      <c r="I25" s="57">
        <v>1</v>
      </c>
      <c r="J25" s="57">
        <v>2</v>
      </c>
      <c r="Z25" s="62">
        <v>4</v>
      </c>
      <c r="AA25" s="80" cm="1">
        <f t="array" ref="AA25">SUM(AK22:AL24*$AA$16:$AB$18)</f>
        <v>1.3515954004689988E-2</v>
      </c>
      <c r="AB25" s="82" cm="1">
        <f t="array" ref="AB25">SUM(AL22:AM24*$AA$16:$AB$18)</f>
        <v>1.4521785238344985E-2</v>
      </c>
      <c r="AI25" s="57">
        <v>0</v>
      </c>
      <c r="AJ25" s="57">
        <v>0</v>
      </c>
      <c r="AK25" s="57">
        <v>0</v>
      </c>
      <c r="AL25" s="65">
        <f>AB7</f>
        <v>0</v>
      </c>
      <c r="AM25" s="67">
        <f>AA7</f>
        <v>0</v>
      </c>
      <c r="AN25" s="57">
        <v>0</v>
      </c>
      <c r="AO25" s="57">
        <v>0</v>
      </c>
      <c r="AP25" s="57">
        <v>0</v>
      </c>
    </row>
    <row r="26" spans="2:42" x14ac:dyDescent="0.25">
      <c r="H26" s="57">
        <v>1</v>
      </c>
      <c r="I26" s="57">
        <f>MAX(0,I17)</f>
        <v>0</v>
      </c>
      <c r="J26" s="57">
        <f>MAX(0,J17)</f>
        <v>5.4291635154417559</v>
      </c>
      <c r="L26" s="58"/>
      <c r="M26" s="64" t="s">
        <v>70</v>
      </c>
      <c r="N26" s="60"/>
      <c r="U26" s="57" t="s">
        <v>82</v>
      </c>
      <c r="Z26" s="62">
        <v>5</v>
      </c>
      <c r="AA26" s="80" cm="1">
        <f t="array" ref="AA26">SUM(AK23:AL25*$AA$16:$AB$18)</f>
        <v>1.1593203472694973E-2</v>
      </c>
      <c r="AB26" s="82" cm="1">
        <f t="array" ref="AB26">SUM(AL23:AM25*$AA$16:$AB$18)</f>
        <v>3.9183055803155946E-2</v>
      </c>
      <c r="AI26" s="57">
        <v>0</v>
      </c>
      <c r="AJ26" s="57">
        <v>0</v>
      </c>
      <c r="AK26" s="57">
        <v>0</v>
      </c>
      <c r="AL26" s="57">
        <v>0</v>
      </c>
      <c r="AM26" s="57">
        <v>0</v>
      </c>
      <c r="AN26" s="57">
        <v>0</v>
      </c>
      <c r="AO26" s="57">
        <v>0</v>
      </c>
      <c r="AP26" s="57">
        <v>0</v>
      </c>
    </row>
    <row r="27" spans="2:42" ht="15.75" thickBot="1" x14ac:dyDescent="0.3">
      <c r="H27" s="57">
        <v>2</v>
      </c>
      <c r="I27" s="57">
        <f t="shared" ref="I27:J27" si="12">MAX(0,I18)</f>
        <v>0</v>
      </c>
      <c r="J27" s="57">
        <f t="shared" si="12"/>
        <v>0.95816011026011405</v>
      </c>
      <c r="L27" s="62"/>
      <c r="M27" s="57">
        <v>1</v>
      </c>
      <c r="N27" s="63"/>
      <c r="U27" s="57">
        <v>1</v>
      </c>
      <c r="Z27" s="65">
        <v>6</v>
      </c>
      <c r="AA27" s="81" cm="1">
        <f t="array" ref="AA27">SUM(AK24:AL26*$AA$16:$AB$18)</f>
        <v>1.6374358226570056E-2</v>
      </c>
      <c r="AB27" s="83" cm="1">
        <f t="array" ref="AB27">SUM(AL24:AM26*$AA$16:$AB$18)</f>
        <v>2.7303773844451817E-2</v>
      </c>
      <c r="AI27" s="57">
        <v>0</v>
      </c>
      <c r="AJ27" s="57">
        <v>0</v>
      </c>
      <c r="AK27" s="57">
        <v>0</v>
      </c>
      <c r="AL27" s="57">
        <v>0</v>
      </c>
      <c r="AM27" s="57">
        <v>0</v>
      </c>
      <c r="AN27" s="57">
        <v>0</v>
      </c>
      <c r="AO27" s="57">
        <v>0</v>
      </c>
      <c r="AP27" s="57">
        <v>0</v>
      </c>
    </row>
    <row r="28" spans="2:42" x14ac:dyDescent="0.25">
      <c r="H28" s="57">
        <v>3</v>
      </c>
      <c r="I28" s="57">
        <f t="shared" ref="I28:J28" si="13">MAX(0,I19)</f>
        <v>0</v>
      </c>
      <c r="J28" s="57">
        <f t="shared" si="13"/>
        <v>0</v>
      </c>
      <c r="L28" s="62">
        <v>1</v>
      </c>
      <c r="M28" s="57">
        <f>1/(1+EXP(-M22))</f>
        <v>0.41732222785501649</v>
      </c>
      <c r="N28" s="63" t="s">
        <v>42</v>
      </c>
      <c r="T28" s="57">
        <v>1</v>
      </c>
      <c r="U28" s="79" cm="1">
        <f t="array" ref="U28">SUM(MMULT(TRANSPOSE($M$34:$M$36),TRANSPOSE(P7:R7)))</f>
        <v>-0.1485429011929312</v>
      </c>
      <c r="AI28" s="57">
        <v>0</v>
      </c>
      <c r="AJ28" s="57">
        <v>0</v>
      </c>
      <c r="AK28" s="57">
        <v>0</v>
      </c>
      <c r="AL28" s="57">
        <v>0</v>
      </c>
      <c r="AM28" s="57">
        <v>0</v>
      </c>
      <c r="AN28" s="57">
        <v>0</v>
      </c>
      <c r="AO28" s="57">
        <v>0</v>
      </c>
      <c r="AP28" s="57">
        <v>0</v>
      </c>
    </row>
    <row r="29" spans="2:42" x14ac:dyDescent="0.25">
      <c r="H29" s="57">
        <v>4</v>
      </c>
      <c r="I29" s="57">
        <f t="shared" ref="I29:J29" si="14">MAX(0,I20)</f>
        <v>0</v>
      </c>
      <c r="J29" s="57">
        <f t="shared" si="14"/>
        <v>0</v>
      </c>
      <c r="L29" s="62">
        <v>2</v>
      </c>
      <c r="M29" s="57">
        <f t="shared" ref="M29" si="15">1/(1+EXP(-M23))</f>
        <v>2.2595128545573613E-2</v>
      </c>
      <c r="N29" s="63" t="s">
        <v>43</v>
      </c>
      <c r="T29" s="57">
        <v>2</v>
      </c>
      <c r="U29" s="79" cm="1">
        <f t="array" ref="U29">SUM(MMULT(TRANSPOSE($M$34:$M$36),TRANSPOSE(P8:R8)))</f>
        <v>6.088650369977254E-2</v>
      </c>
      <c r="AI29" s="57" t="s">
        <v>85</v>
      </c>
    </row>
    <row r="30" spans="2:42" ht="15.75" thickBot="1" x14ac:dyDescent="0.3">
      <c r="H30" s="57">
        <v>5</v>
      </c>
      <c r="I30" s="57">
        <f t="shared" ref="I30:J30" si="16">MAX(0,I21)</f>
        <v>0</v>
      </c>
      <c r="J30" s="57">
        <f t="shared" si="16"/>
        <v>0.48968297923763271</v>
      </c>
      <c r="L30" s="65">
        <v>3</v>
      </c>
      <c r="M30" s="66">
        <f>1/(1+EXP(-M24))</f>
        <v>0.38792376552476071</v>
      </c>
      <c r="N30" s="67" t="s">
        <v>44</v>
      </c>
      <c r="T30" s="57">
        <v>3</v>
      </c>
      <c r="U30" s="79" cm="1">
        <f t="array" ref="U30">SUM(MMULT(TRANSPOSE($M$34:$M$36),TRANSPOSE(P9:R9)))</f>
        <v>-3.4126807637559271E-2</v>
      </c>
    </row>
    <row r="31" spans="2:42" ht="15.75" thickBot="1" x14ac:dyDescent="0.3">
      <c r="H31" s="57">
        <v>6</v>
      </c>
      <c r="I31" s="57">
        <f t="shared" ref="I31:J31" si="17">MAX(0,I22)</f>
        <v>0</v>
      </c>
      <c r="J31" s="57">
        <f t="shared" si="17"/>
        <v>1.6986305815714517</v>
      </c>
      <c r="T31" s="57">
        <v>4</v>
      </c>
      <c r="U31" s="79" cm="1">
        <f t="array" ref="U31">SUM(MMULT(TRANSPOSE($M$34:$M$36),TRANSPOSE(P10:R10)))</f>
        <v>-8.3143146205551001E-3</v>
      </c>
    </row>
    <row r="32" spans="2:42" ht="26.25" x14ac:dyDescent="0.4">
      <c r="L32" s="58"/>
      <c r="M32" s="64" t="s">
        <v>73</v>
      </c>
      <c r="N32" s="60"/>
      <c r="T32" s="57">
        <v>5</v>
      </c>
      <c r="U32" s="79" cm="1">
        <f t="array" ref="U32">SUM(MMULT(TRANSPOSE($M$34:$M$36),TRANSPOSE(P11:R11)))</f>
        <v>-2.6924573674256935E-2</v>
      </c>
      <c r="AA32" s="61" t="s">
        <v>87</v>
      </c>
    </row>
    <row r="33" spans="8:45" ht="26.25" x14ac:dyDescent="0.4">
      <c r="I33" s="57" t="s">
        <v>54</v>
      </c>
      <c r="L33" s="62"/>
      <c r="M33" s="57">
        <v>1</v>
      </c>
      <c r="N33" s="70" t="s">
        <v>78</v>
      </c>
      <c r="T33" s="57">
        <v>6</v>
      </c>
      <c r="U33" s="79" cm="1">
        <f t="array" ref="U33">SUM(MMULT(TRANSPOSE($M$34:$M$36),TRANSPOSE(P12:R12)))</f>
        <v>0.18790205294868828</v>
      </c>
      <c r="AA33" s="61" t="s">
        <v>48</v>
      </c>
    </row>
    <row r="34" spans="8:45" x14ac:dyDescent="0.25">
      <c r="I34" s="57" t="s">
        <v>66</v>
      </c>
      <c r="L34" s="71" t="s">
        <v>77</v>
      </c>
      <c r="M34" s="72">
        <f>-1/3*((2/(1+DATA!I14))*N34*LOG(M28)+((2*DATA!I14)/(1+DATA!I14))*(1-N34)*LOG(1-M28))</f>
        <v>6.3254747137197836E-2</v>
      </c>
      <c r="N34" s="63">
        <v>1</v>
      </c>
      <c r="T34" s="57">
        <v>7</v>
      </c>
      <c r="U34" s="78" cm="1">
        <f t="array" ref="U34">SUM(MMULT(TRANSPOSE($M$34:$M$36),TRANSPOSE(P13:R13)))</f>
        <v>-3.7649210409324577E-2</v>
      </c>
      <c r="AA34" s="57" t="s">
        <v>93</v>
      </c>
      <c r="AC34" s="57" t="s">
        <v>51</v>
      </c>
      <c r="AI34" s="57">
        <v>0</v>
      </c>
      <c r="AJ34" s="57">
        <v>0</v>
      </c>
      <c r="AK34" s="57">
        <v>0</v>
      </c>
      <c r="AL34" s="57">
        <v>0</v>
      </c>
      <c r="AM34" s="57">
        <v>0</v>
      </c>
      <c r="AN34" s="57">
        <v>0</v>
      </c>
      <c r="AO34" s="57">
        <v>0</v>
      </c>
      <c r="AP34" s="57">
        <v>0</v>
      </c>
      <c r="AQ34" s="57">
        <v>0</v>
      </c>
      <c r="AR34" s="57">
        <v>0</v>
      </c>
      <c r="AS34" s="57">
        <v>0</v>
      </c>
    </row>
    <row r="35" spans="8:45" x14ac:dyDescent="0.25">
      <c r="I35" s="57">
        <v>1</v>
      </c>
      <c r="L35" s="62">
        <v>2</v>
      </c>
      <c r="M35" s="72">
        <f>-1/3*((2/(1+DATA!I15))*N35*LOG(M29)+((2*DATA!I15)/(1+DATA!I15))*(1-N35)*LOG(1-M29))</f>
        <v>6.4548438572085032E-2</v>
      </c>
      <c r="N35" s="63">
        <v>1</v>
      </c>
      <c r="T35" s="57">
        <v>8</v>
      </c>
      <c r="U35" s="78" cm="1">
        <f t="array" ref="U35">SUM(MMULT(TRANSPOSE($M$34:$M$36),TRANSPOSE(P14:R14)))</f>
        <v>-1.6508314433524192E-2</v>
      </c>
      <c r="AA35" s="57">
        <v>1</v>
      </c>
      <c r="AB35" s="73" t="s">
        <v>83</v>
      </c>
      <c r="AC35" s="57">
        <v>1</v>
      </c>
      <c r="AD35" s="57">
        <v>2</v>
      </c>
      <c r="AE35" s="57">
        <v>3</v>
      </c>
      <c r="AF35" s="57">
        <v>4</v>
      </c>
      <c r="AG35" s="57">
        <v>5</v>
      </c>
      <c r="AI35" s="57">
        <v>0</v>
      </c>
      <c r="AJ35" s="57">
        <v>0</v>
      </c>
      <c r="AK35" s="57">
        <v>0</v>
      </c>
      <c r="AL35" s="57">
        <v>0</v>
      </c>
      <c r="AM35" s="57">
        <v>0</v>
      </c>
      <c r="AN35" s="57">
        <v>0</v>
      </c>
      <c r="AO35" s="57">
        <v>0</v>
      </c>
      <c r="AP35" s="57">
        <v>0</v>
      </c>
      <c r="AQ35" s="57">
        <v>0</v>
      </c>
      <c r="AR35" s="57">
        <v>0</v>
      </c>
      <c r="AS35" s="57">
        <v>0</v>
      </c>
    </row>
    <row r="36" spans="8:45" ht="15.75" thickBot="1" x14ac:dyDescent="0.3">
      <c r="H36" s="57">
        <v>1</v>
      </c>
      <c r="I36" s="79">
        <f>MAX(I26:J26)</f>
        <v>5.4291635154417559</v>
      </c>
      <c r="L36" s="65">
        <v>3</v>
      </c>
      <c r="M36" s="74">
        <f>-1/3*((2/(1+DATA!I16))*N36*LOG(M30)+((2*DATA!I16)/(1+DATA!I16))*(1-N36)*LOG(1-M30))</f>
        <v>0.12436344832220776</v>
      </c>
      <c r="N36" s="67">
        <v>0</v>
      </c>
      <c r="T36" s="57">
        <v>9</v>
      </c>
      <c r="U36" s="78" cm="1">
        <f t="array" ref="U36">SUM(MMULT(TRANSPOSE($M$34:$M$36),TRANSPOSE(P15:R15)))</f>
        <v>-0.1110540923935367</v>
      </c>
      <c r="Z36" s="57">
        <v>1</v>
      </c>
      <c r="AA36" s="79">
        <f t="shared" ref="AA36:AA41" si="18">AA22</f>
        <v>3.7220143957787728E-2</v>
      </c>
      <c r="AB36" s="57">
        <f>MATCH(MAX(FRONTEND!M28:Q28),FRONTEND!M28:Q28,0)</f>
        <v>5</v>
      </c>
      <c r="AC36" s="57">
        <f t="shared" ref="AC36:AG41" si="19">IF($AB36=AC$35,$AA36,0)</f>
        <v>0</v>
      </c>
      <c r="AD36" s="57">
        <f t="shared" si="19"/>
        <v>0</v>
      </c>
      <c r="AE36" s="57">
        <f t="shared" si="19"/>
        <v>0</v>
      </c>
      <c r="AF36" s="57">
        <f t="shared" si="19"/>
        <v>0</v>
      </c>
      <c r="AG36" s="57">
        <f t="shared" si="19"/>
        <v>3.7220143957787728E-2</v>
      </c>
      <c r="AI36" s="57">
        <v>0</v>
      </c>
      <c r="AJ36" s="57">
        <v>0</v>
      </c>
      <c r="AK36" s="57">
        <v>0</v>
      </c>
      <c r="AL36" s="57">
        <v>0</v>
      </c>
      <c r="AM36" s="57">
        <v>0</v>
      </c>
      <c r="AN36" s="57">
        <v>0</v>
      </c>
      <c r="AO36" s="57">
        <v>0</v>
      </c>
      <c r="AP36" s="57">
        <v>0</v>
      </c>
      <c r="AQ36" s="57">
        <v>0</v>
      </c>
      <c r="AR36" s="57">
        <v>0</v>
      </c>
      <c r="AS36" s="57">
        <v>0</v>
      </c>
    </row>
    <row r="37" spans="8:45" x14ac:dyDescent="0.25">
      <c r="H37" s="57">
        <v>2</v>
      </c>
      <c r="I37" s="79">
        <f t="shared" ref="I37:I41" si="20">MAX(I27:J27)</f>
        <v>0.95816011026011405</v>
      </c>
      <c r="T37" s="57">
        <v>10</v>
      </c>
      <c r="U37" s="78" cm="1">
        <f t="array" ref="U37">SUM(MMULT(TRANSPOSE($M$34:$M$36),TRANSPOSE(P16:R16)))</f>
        <v>2.7483422683459813E-2</v>
      </c>
      <c r="Z37" s="57">
        <v>2</v>
      </c>
      <c r="AA37" s="79">
        <f t="shared" si="18"/>
        <v>5.4982775975167125E-2</v>
      </c>
      <c r="AB37" s="57">
        <f>MATCH(MAX(FRONTEND!M29:Q29),FRONTEND!M29:Q29,0)</f>
        <v>5</v>
      </c>
      <c r="AC37" s="57">
        <f t="shared" si="19"/>
        <v>0</v>
      </c>
      <c r="AD37" s="57">
        <f t="shared" si="19"/>
        <v>0</v>
      </c>
      <c r="AE37" s="57">
        <f t="shared" si="19"/>
        <v>0</v>
      </c>
      <c r="AF37" s="57">
        <f t="shared" si="19"/>
        <v>0</v>
      </c>
      <c r="AG37" s="57">
        <f t="shared" si="19"/>
        <v>5.4982775975167125E-2</v>
      </c>
      <c r="AI37" s="57">
        <v>0</v>
      </c>
      <c r="AJ37" s="57">
        <v>0</v>
      </c>
      <c r="AK37" s="57">
        <v>0</v>
      </c>
      <c r="AL37" s="58" cm="1">
        <f t="array" ref="AL37:AP42">FRONTEND!B4:F9</f>
        <v>-0.98912614845213298</v>
      </c>
      <c r="AM37" s="59">
        <v>1.2524064692339041</v>
      </c>
      <c r="AN37" s="59">
        <v>-0.12847843518120475</v>
      </c>
      <c r="AO37" s="59">
        <v>1.03222097393131</v>
      </c>
      <c r="AP37" s="60">
        <v>1.5768096931716007</v>
      </c>
      <c r="AQ37" s="57">
        <v>0</v>
      </c>
      <c r="AR37" s="57">
        <v>0</v>
      </c>
      <c r="AS37" s="57">
        <v>0</v>
      </c>
    </row>
    <row r="38" spans="8:45" x14ac:dyDescent="0.25">
      <c r="H38" s="57">
        <v>3</v>
      </c>
      <c r="I38" s="79">
        <f t="shared" si="20"/>
        <v>0</v>
      </c>
      <c r="T38" s="57">
        <v>11</v>
      </c>
      <c r="U38" s="78" cm="1">
        <f t="array" ref="U38">SUM(MMULT(TRANSPOSE($M$34:$M$36),TRANSPOSE(P17:R17)))</f>
        <v>4.5868754516164754E-2</v>
      </c>
      <c r="Z38" s="57">
        <v>3</v>
      </c>
      <c r="AA38" s="79">
        <f t="shared" si="18"/>
        <v>3.0268545161508229E-3</v>
      </c>
      <c r="AB38" s="57">
        <f>MATCH(MAX(FRONTEND!M30:Q30),FRONTEND!M30:Q30,0)</f>
        <v>4</v>
      </c>
      <c r="AC38" s="57">
        <f t="shared" si="19"/>
        <v>0</v>
      </c>
      <c r="AD38" s="57">
        <f t="shared" si="19"/>
        <v>0</v>
      </c>
      <c r="AE38" s="57">
        <f t="shared" si="19"/>
        <v>0</v>
      </c>
      <c r="AF38" s="57">
        <f t="shared" si="19"/>
        <v>3.0268545161508229E-3</v>
      </c>
      <c r="AG38" s="57">
        <f t="shared" si="19"/>
        <v>0</v>
      </c>
      <c r="AI38" s="57">
        <v>0</v>
      </c>
      <c r="AJ38" s="57">
        <v>0</v>
      </c>
      <c r="AK38" s="57">
        <v>0</v>
      </c>
      <c r="AL38" s="62">
        <v>0.37651776460212311</v>
      </c>
      <c r="AM38" s="57">
        <v>1.0409057846509018</v>
      </c>
      <c r="AN38" s="57">
        <v>-1.6276300267484027</v>
      </c>
      <c r="AO38" s="57">
        <v>1.6111657826358685</v>
      </c>
      <c r="AP38" s="63">
        <v>1.1545320582322287</v>
      </c>
      <c r="AQ38" s="57">
        <v>0</v>
      </c>
      <c r="AR38" s="57">
        <v>0</v>
      </c>
      <c r="AS38" s="57">
        <v>0</v>
      </c>
    </row>
    <row r="39" spans="8:45" x14ac:dyDescent="0.25">
      <c r="H39" s="57">
        <v>4</v>
      </c>
      <c r="I39" s="79">
        <f t="shared" si="20"/>
        <v>0</v>
      </c>
      <c r="L39" s="73"/>
      <c r="T39" s="57">
        <v>12</v>
      </c>
      <c r="U39" s="78" cm="1">
        <f t="array" ref="U39">SUM(MMULT(TRANSPOSE($M$34:$M$36),TRANSPOSE(P18:R18)))</f>
        <v>-3.7850318137551547E-2</v>
      </c>
      <c r="Z39" s="57">
        <v>4</v>
      </c>
      <c r="AA39" s="79">
        <f t="shared" si="18"/>
        <v>1.3515954004689988E-2</v>
      </c>
      <c r="AB39" s="57">
        <f>MATCH(MAX(FRONTEND!M31:Q31),FRONTEND!M31:Q31,0)</f>
        <v>1</v>
      </c>
      <c r="AC39" s="57">
        <f t="shared" si="19"/>
        <v>1.3515954004689988E-2</v>
      </c>
      <c r="AD39" s="57">
        <f t="shared" si="19"/>
        <v>0</v>
      </c>
      <c r="AE39" s="57">
        <f t="shared" si="19"/>
        <v>0</v>
      </c>
      <c r="AF39" s="57">
        <f t="shared" si="19"/>
        <v>0</v>
      </c>
      <c r="AG39" s="57">
        <f t="shared" si="19"/>
        <v>0</v>
      </c>
      <c r="AI39" s="57">
        <v>0</v>
      </c>
      <c r="AJ39" s="57">
        <v>0</v>
      </c>
      <c r="AK39" s="57">
        <v>0</v>
      </c>
      <c r="AL39" s="62">
        <v>-0.73854381563096749</v>
      </c>
      <c r="AM39" s="57">
        <v>-0.38067852686190223</v>
      </c>
      <c r="AN39" s="57">
        <v>1.7025691581994165</v>
      </c>
      <c r="AO39" s="57">
        <v>0.92174507286591334</v>
      </c>
      <c r="AP39" s="63">
        <v>0.33462632466056236</v>
      </c>
      <c r="AQ39" s="57">
        <v>0</v>
      </c>
      <c r="AR39" s="57">
        <v>0</v>
      </c>
      <c r="AS39" s="57">
        <v>0</v>
      </c>
    </row>
    <row r="40" spans="8:45" x14ac:dyDescent="0.25">
      <c r="H40" s="57">
        <v>5</v>
      </c>
      <c r="I40" s="79">
        <f t="shared" si="20"/>
        <v>0.48968297923763271</v>
      </c>
      <c r="Z40" s="57">
        <v>5</v>
      </c>
      <c r="AA40" s="79">
        <f t="shared" si="18"/>
        <v>1.1593203472694973E-2</v>
      </c>
      <c r="AB40" s="57">
        <f>MATCH(MAX(FRONTEND!M32:Q32),FRONTEND!M32:Q32,0)</f>
        <v>1</v>
      </c>
      <c r="AC40" s="57">
        <f t="shared" si="19"/>
        <v>1.1593203472694973E-2</v>
      </c>
      <c r="AD40" s="57">
        <f t="shared" si="19"/>
        <v>0</v>
      </c>
      <c r="AE40" s="57">
        <f t="shared" si="19"/>
        <v>0</v>
      </c>
      <c r="AF40" s="57">
        <f t="shared" si="19"/>
        <v>0</v>
      </c>
      <c r="AG40" s="57">
        <f t="shared" si="19"/>
        <v>0</v>
      </c>
      <c r="AI40" s="57">
        <v>0</v>
      </c>
      <c r="AJ40" s="57">
        <v>0</v>
      </c>
      <c r="AK40" s="57">
        <v>0</v>
      </c>
      <c r="AL40" s="62">
        <v>0.62033105377419506</v>
      </c>
      <c r="AM40" s="57">
        <v>-0.54798885101874573</v>
      </c>
      <c r="AN40" s="57">
        <v>0.14228331078254203</v>
      </c>
      <c r="AO40" s="57">
        <v>-0.90402351792044611</v>
      </c>
      <c r="AP40" s="63">
        <v>-0.78877948547958721</v>
      </c>
      <c r="AQ40" s="57">
        <v>0</v>
      </c>
      <c r="AR40" s="57">
        <v>0</v>
      </c>
      <c r="AS40" s="57">
        <v>0</v>
      </c>
    </row>
    <row r="41" spans="8:45" x14ac:dyDescent="0.25">
      <c r="H41" s="57">
        <v>6</v>
      </c>
      <c r="I41" s="79">
        <f t="shared" si="20"/>
        <v>1.6986305815714517</v>
      </c>
      <c r="U41" s="79" t="s">
        <v>54</v>
      </c>
      <c r="W41" s="73" t="s">
        <v>51</v>
      </c>
      <c r="Z41" s="57">
        <v>6</v>
      </c>
      <c r="AA41" s="79">
        <f t="shared" si="18"/>
        <v>1.6374358226570056E-2</v>
      </c>
      <c r="AB41" s="57">
        <f>MATCH(MAX(FRONTEND!M33:Q33),FRONTEND!M33:Q33,0)</f>
        <v>1</v>
      </c>
      <c r="AC41" s="57">
        <f t="shared" si="19"/>
        <v>1.6374358226570056E-2</v>
      </c>
      <c r="AD41" s="57">
        <f t="shared" si="19"/>
        <v>0</v>
      </c>
      <c r="AE41" s="57">
        <f t="shared" si="19"/>
        <v>0</v>
      </c>
      <c r="AF41" s="57">
        <f t="shared" si="19"/>
        <v>0</v>
      </c>
      <c r="AG41" s="57">
        <f t="shared" si="19"/>
        <v>0</v>
      </c>
      <c r="AI41" s="57">
        <v>0</v>
      </c>
      <c r="AJ41" s="57">
        <v>0</v>
      </c>
      <c r="AK41" s="57">
        <v>0</v>
      </c>
      <c r="AL41" s="62">
        <v>-0.75834007535944881</v>
      </c>
      <c r="AM41" s="57">
        <v>-2.072718061607192E-2</v>
      </c>
      <c r="AN41" s="57">
        <v>-1.0835521787269116</v>
      </c>
      <c r="AO41" s="57">
        <v>-0.87494643105044001</v>
      </c>
      <c r="AP41" s="63">
        <v>-0.20149044686796963</v>
      </c>
      <c r="AQ41" s="57">
        <v>0</v>
      </c>
      <c r="AR41" s="57">
        <v>0</v>
      </c>
      <c r="AS41" s="57">
        <v>0</v>
      </c>
    </row>
    <row r="42" spans="8:45" ht="15.75" thickBot="1" x14ac:dyDescent="0.3">
      <c r="U42" s="57">
        <v>1</v>
      </c>
      <c r="V42" s="73" t="s">
        <v>83</v>
      </c>
      <c r="W42" s="57">
        <v>1</v>
      </c>
      <c r="X42" s="57">
        <v>2</v>
      </c>
      <c r="AI42" s="57">
        <v>0</v>
      </c>
      <c r="AJ42" s="57">
        <v>0</v>
      </c>
      <c r="AK42" s="57">
        <v>0</v>
      </c>
      <c r="AL42" s="65">
        <v>-0.44083361287554584</v>
      </c>
      <c r="AM42" s="66">
        <v>-1.4637255107168889</v>
      </c>
      <c r="AN42" s="66">
        <v>-1.5763300418606174</v>
      </c>
      <c r="AO42" s="66">
        <v>1.307069689645453</v>
      </c>
      <c r="AP42" s="67">
        <v>-0.54798885101874573</v>
      </c>
      <c r="AQ42" s="57">
        <v>0</v>
      </c>
      <c r="AR42" s="57">
        <v>0</v>
      </c>
      <c r="AS42" s="57">
        <v>0</v>
      </c>
    </row>
    <row r="43" spans="8:45" x14ac:dyDescent="0.25">
      <c r="I43" s="57" t="s">
        <v>57</v>
      </c>
      <c r="T43" s="57">
        <v>1</v>
      </c>
      <c r="U43" s="72">
        <f>U28</f>
        <v>-0.1485429011929312</v>
      </c>
      <c r="V43" s="57">
        <f>MATCH(MAX(I26:J26),I26:J26,0)</f>
        <v>2</v>
      </c>
      <c r="W43" s="57">
        <f>IF($V43=W$42,$U43,0)</f>
        <v>0</v>
      </c>
      <c r="X43" s="57">
        <f>IF($V43=X$42,$U43,0)</f>
        <v>-0.1485429011929312</v>
      </c>
      <c r="AA43" s="57" t="s">
        <v>92</v>
      </c>
      <c r="AI43" s="57">
        <v>0</v>
      </c>
      <c r="AJ43" s="57">
        <v>0</v>
      </c>
      <c r="AK43" s="57">
        <v>0</v>
      </c>
      <c r="AL43" s="57">
        <v>0</v>
      </c>
      <c r="AM43" s="57">
        <v>0</v>
      </c>
      <c r="AN43" s="57">
        <v>0</v>
      </c>
      <c r="AO43" s="57">
        <v>0</v>
      </c>
      <c r="AP43" s="57">
        <v>0</v>
      </c>
      <c r="AQ43" s="57">
        <v>0</v>
      </c>
      <c r="AR43" s="57">
        <v>0</v>
      </c>
      <c r="AS43" s="57">
        <v>0</v>
      </c>
    </row>
    <row r="44" spans="8:45" x14ac:dyDescent="0.25">
      <c r="I44" s="57" t="s">
        <v>66</v>
      </c>
      <c r="T44" s="57">
        <v>2</v>
      </c>
      <c r="U44" s="72">
        <f t="shared" ref="U44:U48" si="21">U29</f>
        <v>6.088650369977254E-2</v>
      </c>
      <c r="V44" s="57">
        <f t="shared" ref="V44:V48" si="22">MATCH(MAX(I27:J27),I27:J27,0)</f>
        <v>2</v>
      </c>
      <c r="W44" s="57">
        <f t="shared" ref="W44:X48" si="23">IF($V44=W$42,$U44,0)</f>
        <v>0</v>
      </c>
      <c r="X44" s="57">
        <f t="shared" si="23"/>
        <v>6.088650369977254E-2</v>
      </c>
      <c r="AA44" s="57">
        <v>1</v>
      </c>
      <c r="AB44" s="57">
        <v>2</v>
      </c>
      <c r="AC44" s="57">
        <v>3</v>
      </c>
      <c r="AD44" s="57">
        <v>4</v>
      </c>
      <c r="AE44" s="57">
        <v>5</v>
      </c>
      <c r="AI44" s="57">
        <v>0</v>
      </c>
      <c r="AJ44" s="57">
        <v>0</v>
      </c>
      <c r="AK44" s="57">
        <v>0</v>
      </c>
      <c r="AL44" s="57">
        <v>0</v>
      </c>
      <c r="AM44" s="57">
        <v>0</v>
      </c>
      <c r="AN44" s="57">
        <v>0</v>
      </c>
      <c r="AO44" s="57">
        <v>0</v>
      </c>
      <c r="AP44" s="57">
        <v>0</v>
      </c>
      <c r="AQ44" s="57">
        <v>0</v>
      </c>
      <c r="AR44" s="57">
        <v>0</v>
      </c>
      <c r="AS44" s="57">
        <v>0</v>
      </c>
    </row>
    <row r="45" spans="8:45" x14ac:dyDescent="0.25">
      <c r="I45" s="57">
        <v>1</v>
      </c>
      <c r="T45" s="57">
        <v>3</v>
      </c>
      <c r="U45" s="72">
        <f t="shared" si="21"/>
        <v>-3.4126807637559271E-2</v>
      </c>
      <c r="V45" s="57">
        <f t="shared" si="22"/>
        <v>1</v>
      </c>
      <c r="W45" s="57">
        <f t="shared" si="23"/>
        <v>-3.4126807637559271E-2</v>
      </c>
      <c r="X45" s="57">
        <f t="shared" si="23"/>
        <v>0</v>
      </c>
      <c r="Z45" s="57">
        <v>1</v>
      </c>
      <c r="AA45" s="57">
        <f>AC36*IF(AC36&gt;0,1,0)</f>
        <v>0</v>
      </c>
      <c r="AB45" s="57">
        <f t="shared" ref="AB45:AE45" si="24">AD36*IF(AD36&gt;0,1,0)</f>
        <v>0</v>
      </c>
      <c r="AC45" s="57">
        <f t="shared" si="24"/>
        <v>0</v>
      </c>
      <c r="AD45" s="57">
        <f t="shared" si="24"/>
        <v>0</v>
      </c>
      <c r="AE45" s="57">
        <f t="shared" si="24"/>
        <v>3.7220143957787728E-2</v>
      </c>
      <c r="AI45" s="57">
        <v>0</v>
      </c>
      <c r="AJ45" s="57">
        <v>0</v>
      </c>
      <c r="AK45" s="57">
        <v>0</v>
      </c>
      <c r="AL45" s="57">
        <v>0</v>
      </c>
      <c r="AM45" s="57">
        <v>0</v>
      </c>
      <c r="AN45" s="57">
        <v>0</v>
      </c>
      <c r="AO45" s="57">
        <v>0</v>
      </c>
      <c r="AP45" s="57">
        <v>0</v>
      </c>
      <c r="AQ45" s="57">
        <v>0</v>
      </c>
      <c r="AR45" s="57">
        <v>0</v>
      </c>
      <c r="AS45" s="57">
        <v>0</v>
      </c>
    </row>
    <row r="46" spans="8:45" x14ac:dyDescent="0.25">
      <c r="H46" s="57">
        <v>1</v>
      </c>
      <c r="I46" s="78">
        <f>AVERAGE(I26:J26)</f>
        <v>2.714581757720878</v>
      </c>
      <c r="T46" s="57">
        <v>4</v>
      </c>
      <c r="U46" s="72">
        <f t="shared" si="21"/>
        <v>-8.3143146205551001E-3</v>
      </c>
      <c r="V46" s="57">
        <f t="shared" si="22"/>
        <v>1</v>
      </c>
      <c r="W46" s="57">
        <f t="shared" si="23"/>
        <v>-8.3143146205551001E-3</v>
      </c>
      <c r="X46" s="57">
        <f t="shared" si="23"/>
        <v>0</v>
      </c>
      <c r="Z46" s="57">
        <v>2</v>
      </c>
      <c r="AA46" s="57">
        <f t="shared" ref="AA46:AA50" si="25">AC37*IF(AC37&gt;0,1,0)</f>
        <v>0</v>
      </c>
      <c r="AB46" s="57">
        <f t="shared" ref="AB46:AB50" si="26">AD37*IF(AD37&gt;0,1,0)</f>
        <v>0</v>
      </c>
      <c r="AC46" s="57">
        <f t="shared" ref="AC46:AC50" si="27">AE37*IF(AE37&gt;0,1,0)</f>
        <v>0</v>
      </c>
      <c r="AD46" s="57">
        <f t="shared" ref="AD46:AD50" si="28">AF37*IF(AF37&gt;0,1,0)</f>
        <v>0</v>
      </c>
      <c r="AE46" s="57">
        <f t="shared" ref="AE46:AE50" si="29">AG37*IF(AG37&gt;0,1,0)</f>
        <v>5.4982775975167125E-2</v>
      </c>
    </row>
    <row r="47" spans="8:45" x14ac:dyDescent="0.25">
      <c r="H47" s="57">
        <v>2</v>
      </c>
      <c r="I47" s="78">
        <f t="shared" ref="I47:I51" si="30">AVERAGE(I27:J27)</f>
        <v>0.47908005513005703</v>
      </c>
      <c r="T47" s="57">
        <v>5</v>
      </c>
      <c r="U47" s="72">
        <f t="shared" si="21"/>
        <v>-2.6924573674256935E-2</v>
      </c>
      <c r="V47" s="57">
        <f t="shared" si="22"/>
        <v>2</v>
      </c>
      <c r="W47" s="57">
        <f t="shared" si="23"/>
        <v>0</v>
      </c>
      <c r="X47" s="57">
        <f t="shared" si="23"/>
        <v>-2.6924573674256935E-2</v>
      </c>
      <c r="Z47" s="57">
        <v>3</v>
      </c>
      <c r="AA47" s="57">
        <f t="shared" si="25"/>
        <v>0</v>
      </c>
      <c r="AB47" s="57">
        <f t="shared" si="26"/>
        <v>0</v>
      </c>
      <c r="AC47" s="57">
        <f t="shared" si="27"/>
        <v>0</v>
      </c>
      <c r="AD47" s="57">
        <f t="shared" si="28"/>
        <v>3.0268545161508229E-3</v>
      </c>
      <c r="AE47" s="57">
        <f t="shared" si="29"/>
        <v>0</v>
      </c>
    </row>
    <row r="48" spans="8:45" x14ac:dyDescent="0.25">
      <c r="H48" s="57">
        <v>3</v>
      </c>
      <c r="I48" s="78">
        <f t="shared" si="30"/>
        <v>0</v>
      </c>
      <c r="T48" s="57">
        <v>6</v>
      </c>
      <c r="U48" s="72">
        <f t="shared" si="21"/>
        <v>0.18790205294868828</v>
      </c>
      <c r="V48" s="57">
        <f t="shared" si="22"/>
        <v>2</v>
      </c>
      <c r="W48" s="57">
        <f t="shared" si="23"/>
        <v>0</v>
      </c>
      <c r="X48" s="57">
        <f t="shared" si="23"/>
        <v>0.18790205294868828</v>
      </c>
      <c r="Z48" s="57">
        <v>4</v>
      </c>
      <c r="AA48" s="57">
        <f t="shared" si="25"/>
        <v>1.3515954004689988E-2</v>
      </c>
      <c r="AB48" s="57">
        <f t="shared" si="26"/>
        <v>0</v>
      </c>
      <c r="AC48" s="57">
        <f t="shared" si="27"/>
        <v>0</v>
      </c>
      <c r="AD48" s="57">
        <f t="shared" si="28"/>
        <v>0</v>
      </c>
      <c r="AE48" s="57">
        <f t="shared" si="29"/>
        <v>0</v>
      </c>
    </row>
    <row r="49" spans="8:37" x14ac:dyDescent="0.25">
      <c r="H49" s="57">
        <v>4</v>
      </c>
      <c r="I49" s="78">
        <f t="shared" si="30"/>
        <v>0</v>
      </c>
      <c r="Z49" s="57">
        <v>5</v>
      </c>
      <c r="AA49" s="57">
        <f t="shared" si="25"/>
        <v>1.1593203472694973E-2</v>
      </c>
      <c r="AB49" s="57">
        <f t="shared" si="26"/>
        <v>0</v>
      </c>
      <c r="AC49" s="57">
        <f t="shared" si="27"/>
        <v>0</v>
      </c>
      <c r="AD49" s="57">
        <f t="shared" si="28"/>
        <v>0</v>
      </c>
      <c r="AE49" s="57">
        <f t="shared" si="29"/>
        <v>0</v>
      </c>
    </row>
    <row r="50" spans="8:37" x14ac:dyDescent="0.25">
      <c r="H50" s="57">
        <v>5</v>
      </c>
      <c r="I50" s="78">
        <f t="shared" si="30"/>
        <v>0.24484148961881635</v>
      </c>
      <c r="U50" s="78" t="s">
        <v>57</v>
      </c>
      <c r="W50" s="73" t="s">
        <v>84</v>
      </c>
      <c r="Z50" s="57">
        <v>6</v>
      </c>
      <c r="AA50" s="57">
        <f t="shared" si="25"/>
        <v>1.6374358226570056E-2</v>
      </c>
      <c r="AB50" s="57">
        <f t="shared" si="26"/>
        <v>0</v>
      </c>
      <c r="AC50" s="57">
        <f t="shared" si="27"/>
        <v>0</v>
      </c>
      <c r="AD50" s="57">
        <f t="shared" si="28"/>
        <v>0</v>
      </c>
      <c r="AE50" s="57">
        <f t="shared" si="29"/>
        <v>0</v>
      </c>
    </row>
    <row r="51" spans="8:37" ht="15.75" thickBot="1" x14ac:dyDescent="0.3">
      <c r="H51" s="57">
        <v>6</v>
      </c>
      <c r="I51" s="78">
        <f t="shared" si="30"/>
        <v>0.84931529078572587</v>
      </c>
      <c r="U51" s="57">
        <v>1</v>
      </c>
      <c r="V51" s="57">
        <v>2</v>
      </c>
      <c r="W51" s="73">
        <v>2</v>
      </c>
    </row>
    <row r="52" spans="8:37" ht="15.75" thickBot="1" x14ac:dyDescent="0.3">
      <c r="T52" s="57">
        <v>1</v>
      </c>
      <c r="U52" s="57">
        <f>$U34*1/$W$51</f>
        <v>-1.8824605204662288E-2</v>
      </c>
      <c r="V52" s="57">
        <f>$U34*1/$W$51</f>
        <v>-1.8824605204662288E-2</v>
      </c>
      <c r="Z52" s="58"/>
      <c r="AA52" s="64" t="s">
        <v>50</v>
      </c>
      <c r="AB52" s="59"/>
      <c r="AC52" s="60"/>
      <c r="AE52" s="58"/>
      <c r="AF52" s="68" t="s">
        <v>52</v>
      </c>
    </row>
    <row r="53" spans="8:37" x14ac:dyDescent="0.25">
      <c r="H53" s="58"/>
      <c r="I53" s="64" t="s">
        <v>63</v>
      </c>
      <c r="J53" s="60"/>
      <c r="T53" s="57">
        <v>2</v>
      </c>
      <c r="U53" s="57">
        <f t="shared" ref="U53:V53" si="31">$U35*1/$W$51</f>
        <v>-8.2541572167620959E-3</v>
      </c>
      <c r="V53" s="57">
        <f t="shared" si="31"/>
        <v>-8.2541572167620959E-3</v>
      </c>
      <c r="Z53" s="62"/>
      <c r="AA53" s="57">
        <v>1</v>
      </c>
      <c r="AB53" s="57">
        <v>2</v>
      </c>
      <c r="AC53" s="63">
        <v>3</v>
      </c>
      <c r="AE53" s="62"/>
      <c r="AF53" s="63">
        <v>1</v>
      </c>
    </row>
    <row r="54" spans="8:37" ht="15.75" thickBot="1" x14ac:dyDescent="0.3">
      <c r="H54" s="62"/>
      <c r="I54" s="57">
        <v>1</v>
      </c>
      <c r="J54" s="63"/>
      <c r="T54" s="57">
        <v>3</v>
      </c>
      <c r="U54" s="57">
        <f t="shared" ref="U54:V54" si="32">$U36*1/$W$51</f>
        <v>-5.5527046196768348E-2</v>
      </c>
      <c r="V54" s="57">
        <f t="shared" si="32"/>
        <v>-5.5527046196768348E-2</v>
      </c>
      <c r="Z54" s="62">
        <v>1</v>
      </c>
      <c r="AA54" s="57" cm="1">
        <f t="array" ref="AA54">SUM($AA$45:$AE$50*AK35:AO40)</f>
        <v>-3.8888553175622033E-4</v>
      </c>
      <c r="AB54" s="57" cm="1">
        <f t="array" ref="AB54">SUM($AA$45:$AE$50*AL35:AP40)</f>
        <v>9.8088136703746096E-3</v>
      </c>
      <c r="AC54" s="63" cm="1">
        <f t="array" ref="AC54">SUM($AA$45:$AE$50*AM35:AQ40)</f>
        <v>5.4553588791008984E-3</v>
      </c>
      <c r="AE54" s="65">
        <v>1</v>
      </c>
      <c r="AF54" s="67">
        <f>SUM(AA22:AA27)</f>
        <v>0.13671329015306069</v>
      </c>
    </row>
    <row r="55" spans="8:37" x14ac:dyDescent="0.25">
      <c r="H55" s="62">
        <v>1</v>
      </c>
      <c r="I55" s="79">
        <f>I36</f>
        <v>5.4291635154417559</v>
      </c>
      <c r="J55" s="63"/>
      <c r="T55" s="57">
        <v>4</v>
      </c>
      <c r="U55" s="57">
        <f t="shared" ref="U55:V55" si="33">$U37*1/$W$51</f>
        <v>1.3741711341729907E-2</v>
      </c>
      <c r="V55" s="57">
        <f t="shared" si="33"/>
        <v>1.3741711341729907E-2</v>
      </c>
      <c r="Z55" s="62">
        <v>2</v>
      </c>
      <c r="AA55" s="57" cm="1">
        <f t="array" ref="AA55">SUM($AA$45:$AE$50*AK36:AO41)</f>
        <v>5.182777526944795E-2</v>
      </c>
      <c r="AB55" s="57" cm="1">
        <f t="array" ref="AB55">SUM($AA$45:$AE$50*AL36:AP41)</f>
        <v>7.6366306373384568E-2</v>
      </c>
      <c r="AC55" s="63" cm="1">
        <f t="array" ref="AC55">SUM($AA$45:$AE$50*AM36:AQ41)</f>
        <v>-8.3429734162005185E-3</v>
      </c>
    </row>
    <row r="56" spans="8:37" x14ac:dyDescent="0.25">
      <c r="H56" s="62">
        <v>2</v>
      </c>
      <c r="I56" s="79">
        <f t="shared" ref="I56:I60" si="34">I37</f>
        <v>0.95816011026011405</v>
      </c>
      <c r="J56" s="63"/>
      <c r="T56" s="57">
        <v>5</v>
      </c>
      <c r="U56" s="57">
        <f t="shared" ref="U56:V56" si="35">$U38*1/$W$51</f>
        <v>2.2934377258082377E-2</v>
      </c>
      <c r="V56" s="57">
        <f t="shared" si="35"/>
        <v>2.2934377258082377E-2</v>
      </c>
      <c r="Z56" s="62">
        <v>3</v>
      </c>
      <c r="AA56" s="57" cm="1">
        <f t="array" ref="AA56">SUM($AA$45:$AE$50*AK37:AO42)</f>
        <v>0.13215920967704897</v>
      </c>
      <c r="AB56" s="57" cm="1">
        <f t="array" ref="AB56">SUM($AA$45:$AE$50*AL37:AP42)</f>
        <v>0.11733285722417194</v>
      </c>
      <c r="AC56" s="63" cm="1">
        <f t="array" ref="AC56">SUM($AA$45:$AE$50*AM37:AQ42)</f>
        <v>-3.0601587183575474E-2</v>
      </c>
    </row>
    <row r="57" spans="8:37" x14ac:dyDescent="0.25">
      <c r="H57" s="62">
        <v>3</v>
      </c>
      <c r="I57" s="79">
        <f t="shared" si="34"/>
        <v>0</v>
      </c>
      <c r="J57" s="63"/>
      <c r="T57" s="57">
        <v>6</v>
      </c>
      <c r="U57" s="57">
        <f t="shared" ref="U57:V57" si="36">$U39*1/$W$51</f>
        <v>-1.8925159068775774E-2</v>
      </c>
      <c r="V57" s="57">
        <f t="shared" si="36"/>
        <v>-1.8925159068775774E-2</v>
      </c>
      <c r="Z57" s="62">
        <v>4</v>
      </c>
      <c r="AA57" s="57" cm="1">
        <f t="array" ref="AA57">SUM($AA$45:$AE$50*AK38:AO43)</f>
        <v>0.11107859609898441</v>
      </c>
      <c r="AB57" s="57" cm="1">
        <f t="array" ref="AB57">SUM($AA$45:$AE$50*AL38:AP43)</f>
        <v>4.3273822637424811E-2</v>
      </c>
      <c r="AC57" s="63" cm="1">
        <f t="array" ref="AC57">SUM($AA$45:$AE$50*AM38:AQ43)</f>
        <v>-1.9636936041640001E-2</v>
      </c>
    </row>
    <row r="58" spans="8:37" ht="15.75" thickBot="1" x14ac:dyDescent="0.3">
      <c r="H58" s="62">
        <v>4</v>
      </c>
      <c r="I58" s="79">
        <f t="shared" si="34"/>
        <v>0</v>
      </c>
      <c r="J58" s="63"/>
      <c r="Z58" s="65">
        <v>5</v>
      </c>
      <c r="AA58" s="66" cm="1">
        <f t="array" ref="AA58">SUM($AA$45:$AE$50*AK39:AO44)</f>
        <v>-1.8677993063316155E-2</v>
      </c>
      <c r="AB58" s="66" cm="1">
        <f t="array" ref="AB58">SUM($AA$45:$AE$50*AL39:AP44)</f>
        <v>-3.9521068159562446E-2</v>
      </c>
      <c r="AC58" s="67" cm="1">
        <f t="array" ref="AC58">SUM($AA$45:$AE$50*AM39:AQ44)</f>
        <v>-2.0393528947404396E-2</v>
      </c>
    </row>
    <row r="59" spans="8:37" x14ac:dyDescent="0.25">
      <c r="H59" s="62">
        <v>5</v>
      </c>
      <c r="I59" s="79">
        <f t="shared" si="34"/>
        <v>0.48968297923763271</v>
      </c>
      <c r="J59" s="63"/>
      <c r="T59" s="58"/>
      <c r="U59" s="64" t="s">
        <v>80</v>
      </c>
      <c r="V59" s="60"/>
    </row>
    <row r="60" spans="8:37" x14ac:dyDescent="0.25">
      <c r="H60" s="62">
        <v>6</v>
      </c>
      <c r="I60" s="79">
        <f t="shared" si="34"/>
        <v>1.6986305815714517</v>
      </c>
      <c r="J60" s="63"/>
      <c r="T60" s="62"/>
      <c r="U60" s="57">
        <v>1</v>
      </c>
      <c r="V60" s="63">
        <v>2</v>
      </c>
    </row>
    <row r="61" spans="8:37" ht="26.25" x14ac:dyDescent="0.4">
      <c r="H61" s="62">
        <v>7</v>
      </c>
      <c r="I61" s="78">
        <f>I46</f>
        <v>2.714581757720878</v>
      </c>
      <c r="J61" s="63"/>
      <c r="T61" s="62">
        <v>1</v>
      </c>
      <c r="U61" s="79">
        <f>W43+U52</f>
        <v>-1.8824605204662288E-2</v>
      </c>
      <c r="V61" s="82">
        <f>X43+V52</f>
        <v>-0.16736750639759349</v>
      </c>
      <c r="AA61" s="61" t="s">
        <v>87</v>
      </c>
    </row>
    <row r="62" spans="8:37" ht="27" thickBot="1" x14ac:dyDescent="0.45">
      <c r="H62" s="62">
        <v>8</v>
      </c>
      <c r="I62" s="78">
        <f t="shared" ref="I62:I66" si="37">I47</f>
        <v>0.47908005513005703</v>
      </c>
      <c r="J62" s="63"/>
      <c r="T62" s="62">
        <v>2</v>
      </c>
      <c r="U62" s="79">
        <f t="shared" ref="U62:V62" si="38">W44+U53</f>
        <v>-8.2541572167620959E-3</v>
      </c>
      <c r="V62" s="82">
        <f t="shared" si="38"/>
        <v>5.2632346483010448E-2</v>
      </c>
      <c r="AA62" s="61" t="s">
        <v>56</v>
      </c>
      <c r="AI62" s="57">
        <v>0</v>
      </c>
      <c r="AJ62" s="57">
        <v>0</v>
      </c>
      <c r="AK62" s="57">
        <v>0</v>
      </c>
    </row>
    <row r="63" spans="8:37" x14ac:dyDescent="0.25">
      <c r="H63" s="62">
        <v>9</v>
      </c>
      <c r="I63" s="78">
        <f t="shared" si="37"/>
        <v>0</v>
      </c>
      <c r="J63" s="63"/>
      <c r="T63" s="62">
        <v>3</v>
      </c>
      <c r="U63" s="79">
        <f t="shared" ref="U63:V63" si="39">W45+U54</f>
        <v>-8.9653853834327613E-2</v>
      </c>
      <c r="V63" s="82">
        <f t="shared" si="39"/>
        <v>-5.5527046196768348E-2</v>
      </c>
      <c r="AA63" s="57" t="s">
        <v>92</v>
      </c>
      <c r="AI63" s="57">
        <v>0</v>
      </c>
      <c r="AJ63" s="75" cm="1">
        <f t="array" ref="AJ63:AJ68">FRONTEND!B26:B31</f>
        <v>0.54876651054069536</v>
      </c>
      <c r="AK63" s="57">
        <v>0</v>
      </c>
    </row>
    <row r="64" spans="8:37" x14ac:dyDescent="0.25">
      <c r="H64" s="62">
        <v>10</v>
      </c>
      <c r="I64" s="78">
        <f t="shared" si="37"/>
        <v>0</v>
      </c>
      <c r="J64" s="63"/>
      <c r="T64" s="62">
        <v>4</v>
      </c>
      <c r="U64" s="79">
        <f t="shared" ref="U64:V64" si="40">W46+U55</f>
        <v>5.4273967211748066E-3</v>
      </c>
      <c r="V64" s="82">
        <f t="shared" si="40"/>
        <v>1.3741711341729907E-2</v>
      </c>
      <c r="AA64" s="57">
        <v>1</v>
      </c>
      <c r="AI64" s="57">
        <v>0</v>
      </c>
      <c r="AJ64" s="76">
        <v>0.51109827267454389</v>
      </c>
      <c r="AK64" s="57">
        <v>0</v>
      </c>
    </row>
    <row r="65" spans="8:37" x14ac:dyDescent="0.25">
      <c r="H65" s="62">
        <v>11</v>
      </c>
      <c r="I65" s="78">
        <f t="shared" si="37"/>
        <v>0.24484148961881635</v>
      </c>
      <c r="J65" s="63"/>
      <c r="T65" s="62">
        <v>5</v>
      </c>
      <c r="U65" s="79">
        <f t="shared" ref="U65:V65" si="41">W47+U56</f>
        <v>2.2934377258082377E-2</v>
      </c>
      <c r="V65" s="82">
        <f t="shared" si="41"/>
        <v>-3.990196416174558E-3</v>
      </c>
      <c r="Z65" s="57">
        <v>1</v>
      </c>
      <c r="AA65" s="78">
        <f t="shared" ref="AA65:AA70" si="42">AB22*IF(AB22&gt;0,1,0)</f>
        <v>0.12982440217908187</v>
      </c>
      <c r="AI65" s="57">
        <v>0</v>
      </c>
      <c r="AJ65" s="76">
        <v>0.36794364264660445</v>
      </c>
      <c r="AK65" s="57">
        <v>0</v>
      </c>
    </row>
    <row r="66" spans="8:37" ht="15.75" thickBot="1" x14ac:dyDescent="0.3">
      <c r="H66" s="65">
        <v>12</v>
      </c>
      <c r="I66" s="84">
        <f t="shared" si="37"/>
        <v>0.84931529078572587</v>
      </c>
      <c r="J66" s="67"/>
      <c r="T66" s="65">
        <v>6</v>
      </c>
      <c r="U66" s="81">
        <f t="shared" ref="U66:V66" si="43">W48+U57</f>
        <v>-1.8925159068775774E-2</v>
      </c>
      <c r="V66" s="83">
        <f t="shared" si="43"/>
        <v>0.16897689387991249</v>
      </c>
      <c r="Z66" s="57">
        <v>2</v>
      </c>
      <c r="AA66" s="78">
        <f t="shared" si="42"/>
        <v>9.5153154744014076E-2</v>
      </c>
      <c r="AI66" s="57">
        <v>0</v>
      </c>
      <c r="AJ66" s="76">
        <v>-0.2956354979724084</v>
      </c>
      <c r="AK66" s="57">
        <v>0</v>
      </c>
    </row>
    <row r="67" spans="8:37" x14ac:dyDescent="0.25">
      <c r="Z67" s="57">
        <v>3</v>
      </c>
      <c r="AA67" s="78">
        <f t="shared" si="42"/>
        <v>1.8560807774207124E-2</v>
      </c>
      <c r="AI67" s="57">
        <v>0</v>
      </c>
      <c r="AJ67" s="76">
        <v>-0.58781126252416827</v>
      </c>
      <c r="AK67" s="57">
        <v>0</v>
      </c>
    </row>
    <row r="68" spans="8:37" ht="15.75" thickBot="1" x14ac:dyDescent="0.3">
      <c r="Z68" s="57">
        <v>4</v>
      </c>
      <c r="AA68" s="78">
        <f t="shared" si="42"/>
        <v>1.4521785238344985E-2</v>
      </c>
      <c r="AI68" s="57">
        <v>0</v>
      </c>
      <c r="AJ68" s="77">
        <v>-0.54436166536526909</v>
      </c>
      <c r="AK68" s="57">
        <v>0</v>
      </c>
    </row>
    <row r="69" spans="8:37" x14ac:dyDescent="0.25">
      <c r="Z69" s="57">
        <v>5</v>
      </c>
      <c r="AA69" s="78">
        <f t="shared" si="42"/>
        <v>3.9183055803155946E-2</v>
      </c>
      <c r="AI69" s="57">
        <v>0</v>
      </c>
      <c r="AJ69" s="57">
        <v>0</v>
      </c>
      <c r="AK69" s="57">
        <v>0</v>
      </c>
    </row>
    <row r="70" spans="8:37" x14ac:dyDescent="0.25">
      <c r="Z70" s="57">
        <v>6</v>
      </c>
      <c r="AA70" s="78">
        <f t="shared" si="42"/>
        <v>2.7303773844451817E-2</v>
      </c>
    </row>
    <row r="71" spans="8:37" ht="15.75" thickBot="1" x14ac:dyDescent="0.3"/>
    <row r="72" spans="8:37" x14ac:dyDescent="0.25">
      <c r="Z72" s="58"/>
      <c r="AA72" s="68" t="s">
        <v>50</v>
      </c>
      <c r="AC72" s="58"/>
      <c r="AD72" s="68" t="s">
        <v>52</v>
      </c>
    </row>
    <row r="73" spans="8:37" x14ac:dyDescent="0.25">
      <c r="Z73" s="62"/>
      <c r="AA73" s="63">
        <v>1</v>
      </c>
      <c r="AC73" s="62"/>
      <c r="AD73" s="63">
        <v>1</v>
      </c>
    </row>
    <row r="74" spans="8:37" ht="15.75" thickBot="1" x14ac:dyDescent="0.3">
      <c r="Z74" s="62">
        <v>1</v>
      </c>
      <c r="AA74" s="63" cm="1">
        <f t="array" ref="AA74">SUM($AA$65:$AA$70*AJ62:AJ67)</f>
        <v>3.9413092057353008E-2</v>
      </c>
      <c r="AC74" s="65">
        <v>1</v>
      </c>
      <c r="AD74" s="67">
        <f>SUM(AB22:AB27)</f>
        <v>0.32454697958325585</v>
      </c>
    </row>
    <row r="75" spans="8:37" x14ac:dyDescent="0.25">
      <c r="Z75" s="62">
        <v>2</v>
      </c>
      <c r="AA75" s="63" cm="1">
        <f t="array" ref="AA75">SUM($AA$65:$AA$70*AJ63:AJ68)</f>
        <v>8.4516703906633961E-2</v>
      </c>
    </row>
    <row r="76" spans="8:37" ht="15.75" thickBot="1" x14ac:dyDescent="0.3">
      <c r="Z76" s="65">
        <v>3</v>
      </c>
      <c r="AA76" s="67" cm="1">
        <f t="array" ref="AA76">SUM($AA$65:$AA$70*AJ64:AJ69)</f>
        <v>6.6010969995302093E-2</v>
      </c>
    </row>
  </sheetData>
  <pageMargins left="0.7" right="0.7" top="0.75" bottom="0.75" header="0.3" footer="0.3"/>
  <ignoredErrors>
    <ignoredError sqref="U28:U39" formulaRange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EBF56A-20D9-424D-8A84-6D1B0450F81A}">
  <dimension ref="B1:CR83"/>
  <sheetViews>
    <sheetView topLeftCell="U26" zoomScaleNormal="100" workbookViewId="0">
      <selection activeCell="AE50" sqref="AE50"/>
    </sheetView>
  </sheetViews>
  <sheetFormatPr defaultRowHeight="15" x14ac:dyDescent="0.25"/>
  <cols>
    <col min="37" max="37" width="9.140625" customWidth="1"/>
    <col min="38" max="38" width="1.85546875" customWidth="1"/>
    <col min="39" max="39" width="9.5703125" customWidth="1"/>
    <col min="40" max="40" width="1.85546875" customWidth="1"/>
    <col min="41" max="41" width="13.140625" bestFit="1" customWidth="1"/>
    <col min="42" max="42" width="1.85546875" customWidth="1"/>
    <col min="44" max="44" width="1.85546875" customWidth="1"/>
    <col min="45" max="45" width="12" customWidth="1"/>
    <col min="46" max="46" width="1.85546875" customWidth="1"/>
    <col min="47" max="47" width="13.85546875" bestFit="1" customWidth="1"/>
    <col min="48" max="48" width="1.85546875" customWidth="1"/>
    <col min="49" max="49" width="13.85546875" bestFit="1" customWidth="1"/>
    <col min="50" max="50" width="1.85546875" customWidth="1"/>
    <col min="51" max="51" width="10.85546875" customWidth="1"/>
    <col min="52" max="52" width="1.85546875" customWidth="1"/>
    <col min="53" max="53" width="13.140625" bestFit="1" customWidth="1"/>
    <col min="55" max="55" width="1.85546875" customWidth="1"/>
    <col min="56" max="56" width="13.140625" bestFit="1" customWidth="1"/>
    <col min="58" max="58" width="1.85546875" customWidth="1"/>
    <col min="59" max="59" width="13.140625" bestFit="1" customWidth="1"/>
    <col min="60" max="60" width="1.85546875" customWidth="1"/>
    <col min="63" max="63" width="1.85546875" customWidth="1"/>
    <col min="64" max="64" width="13.85546875" bestFit="1" customWidth="1"/>
    <col min="66" max="66" width="1.85546875" customWidth="1"/>
    <col min="68" max="68" width="1.85546875" customWidth="1"/>
    <col min="69" max="69" width="13.85546875" bestFit="1" customWidth="1"/>
    <col min="71" max="71" width="1.85546875" customWidth="1"/>
    <col min="72" max="72" width="13.85546875" bestFit="1" customWidth="1"/>
    <col min="74" max="74" width="1.85546875" customWidth="1"/>
    <col min="75" max="75" width="13.85546875" bestFit="1" customWidth="1"/>
  </cols>
  <sheetData>
    <row r="1" spans="2:96" ht="15.75" thickBot="1" x14ac:dyDescent="0.3"/>
    <row r="2" spans="2:96" ht="26.25" x14ac:dyDescent="0.4">
      <c r="B2" s="4"/>
      <c r="C2" s="53" t="s">
        <v>63</v>
      </c>
      <c r="D2" s="6"/>
      <c r="L2" s="54" t="s">
        <v>49</v>
      </c>
      <c r="W2" s="54" t="s">
        <v>49</v>
      </c>
      <c r="AE2" s="54" t="s">
        <v>79</v>
      </c>
      <c r="AK2" s="54" t="s">
        <v>79</v>
      </c>
      <c r="BZ2" s="54" t="s">
        <v>87</v>
      </c>
    </row>
    <row r="3" spans="2:96" ht="27" thickBot="1" x14ac:dyDescent="0.45">
      <c r="B3" s="7"/>
      <c r="C3">
        <v>1</v>
      </c>
      <c r="D3" s="8">
        <v>2</v>
      </c>
      <c r="L3" s="54" t="s">
        <v>94</v>
      </c>
      <c r="W3" s="54" t="s">
        <v>67</v>
      </c>
      <c r="AE3" s="54" t="s">
        <v>67</v>
      </c>
      <c r="AK3" s="54" t="s">
        <v>94</v>
      </c>
      <c r="BZ3" s="54" t="s">
        <v>48</v>
      </c>
    </row>
    <row r="4" spans="2:96" ht="15.75" thickBot="1" x14ac:dyDescent="0.3">
      <c r="B4" s="7">
        <v>1</v>
      </c>
      <c r="C4" s="85" cm="1">
        <f t="array" ref="C4:D9">FRONTEND!M49:N54</f>
        <v>5.1213373543300822</v>
      </c>
      <c r="D4" s="87">
        <v>0.78382050703596939</v>
      </c>
      <c r="K4" s="4"/>
      <c r="L4" s="6" t="s">
        <v>95</v>
      </c>
      <c r="BZ4" t="s">
        <v>93</v>
      </c>
      <c r="CB4" t="s">
        <v>51</v>
      </c>
      <c r="CH4">
        <v>0</v>
      </c>
      <c r="CI4">
        <v>0</v>
      </c>
      <c r="CJ4">
        <v>0</v>
      </c>
      <c r="CK4">
        <v>0</v>
      </c>
      <c r="CL4">
        <v>0</v>
      </c>
      <c r="CM4">
        <v>0</v>
      </c>
      <c r="CN4">
        <v>0</v>
      </c>
      <c r="CO4">
        <v>0</v>
      </c>
      <c r="CP4">
        <v>0</v>
      </c>
      <c r="CQ4">
        <v>0</v>
      </c>
      <c r="CR4">
        <v>0</v>
      </c>
    </row>
    <row r="5" spans="2:96" ht="21" x14ac:dyDescent="0.35">
      <c r="B5" s="7">
        <v>2</v>
      </c>
      <c r="C5" s="85">
        <v>3.798356725321963</v>
      </c>
      <c r="D5" s="87">
        <v>0.97119528412029688</v>
      </c>
      <c r="K5" s="7"/>
      <c r="L5" s="8">
        <v>1</v>
      </c>
      <c r="W5" t="s">
        <v>46</v>
      </c>
      <c r="Y5" s="4"/>
      <c r="Z5" s="53" t="s">
        <v>68</v>
      </c>
      <c r="AA5" s="5"/>
      <c r="AB5" s="6"/>
      <c r="AD5" s="4"/>
      <c r="AE5" s="53" t="s">
        <v>68</v>
      </c>
      <c r="AF5" s="5"/>
      <c r="AG5" s="6"/>
      <c r="AK5" s="55" t="s">
        <v>110</v>
      </c>
      <c r="BA5" s="55" t="s">
        <v>110</v>
      </c>
      <c r="BZ5">
        <v>1</v>
      </c>
      <c r="CA5" s="13" t="s">
        <v>83</v>
      </c>
      <c r="CB5">
        <v>1</v>
      </c>
      <c r="CC5">
        <v>2</v>
      </c>
      <c r="CD5">
        <v>3</v>
      </c>
      <c r="CE5">
        <v>4</v>
      </c>
      <c r="CF5">
        <v>5</v>
      </c>
      <c r="CH5">
        <v>0</v>
      </c>
      <c r="CI5">
        <v>0</v>
      </c>
      <c r="CJ5">
        <v>0</v>
      </c>
      <c r="CK5">
        <v>0</v>
      </c>
      <c r="CL5">
        <v>0</v>
      </c>
      <c r="CM5">
        <v>0</v>
      </c>
      <c r="CN5">
        <v>0</v>
      </c>
      <c r="CO5">
        <v>0</v>
      </c>
      <c r="CP5">
        <v>0</v>
      </c>
      <c r="CQ5">
        <v>0</v>
      </c>
      <c r="CR5">
        <v>0</v>
      </c>
    </row>
    <row r="6" spans="2:96" ht="15.75" thickBot="1" x14ac:dyDescent="0.3">
      <c r="B6" s="7">
        <v>3</v>
      </c>
      <c r="C6" s="85">
        <v>1.7105413350170124</v>
      </c>
      <c r="D6" s="87">
        <v>1.5410487903909853</v>
      </c>
      <c r="K6" s="7">
        <v>1</v>
      </c>
      <c r="L6" s="8">
        <v>0.80500000000000005</v>
      </c>
      <c r="W6">
        <v>1</v>
      </c>
      <c r="Y6" s="7"/>
      <c r="Z6">
        <v>1</v>
      </c>
      <c r="AA6">
        <v>2</v>
      </c>
      <c r="AB6" s="8">
        <v>3</v>
      </c>
      <c r="AD6" s="7"/>
      <c r="AE6">
        <v>1</v>
      </c>
      <c r="AF6">
        <v>2</v>
      </c>
      <c r="AG6" s="8">
        <v>3</v>
      </c>
      <c r="AK6" s="25" t="s">
        <v>109</v>
      </c>
      <c r="AL6" s="25"/>
      <c r="AM6" t="s">
        <v>116</v>
      </c>
      <c r="AO6" t="s">
        <v>117</v>
      </c>
      <c r="AQ6" t="s">
        <v>118</v>
      </c>
      <c r="AS6" t="s">
        <v>119</v>
      </c>
      <c r="AU6" t="s">
        <v>120</v>
      </c>
      <c r="AW6" t="s">
        <v>121</v>
      </c>
      <c r="AY6" s="25" t="s">
        <v>126</v>
      </c>
      <c r="AZ6" s="25"/>
      <c r="BA6" t="s">
        <v>127</v>
      </c>
      <c r="BD6" t="s">
        <v>128</v>
      </c>
      <c r="BG6" t="s">
        <v>129</v>
      </c>
      <c r="BI6" t="s">
        <v>134</v>
      </c>
      <c r="BL6" t="s">
        <v>132</v>
      </c>
      <c r="BO6" t="s">
        <v>130</v>
      </c>
      <c r="BQ6" t="s">
        <v>135</v>
      </c>
      <c r="BT6" t="s">
        <v>133</v>
      </c>
      <c r="BW6" t="s">
        <v>131</v>
      </c>
      <c r="BY6">
        <v>1</v>
      </c>
      <c r="BZ6" s="85" cm="1">
        <f t="array" ref="BZ6:BZ11">BA56:BA61</f>
        <v>2.2230621010709779E-2</v>
      </c>
      <c r="CA6">
        <f>MATCH(MAX(FRONTEND!$M28:$Q28),FRONTEND!$M28:$Q28,0)</f>
        <v>5</v>
      </c>
      <c r="CB6">
        <f>IF($CA6=CB$5,$BZ6,0)</f>
        <v>0</v>
      </c>
      <c r="CC6">
        <f t="shared" ref="CC6:CF11" si="0">IF($CA6=CC$5,$BZ6,0)</f>
        <v>0</v>
      </c>
      <c r="CD6">
        <f t="shared" si="0"/>
        <v>0</v>
      </c>
      <c r="CE6">
        <f t="shared" si="0"/>
        <v>0</v>
      </c>
      <c r="CF6">
        <f t="shared" si="0"/>
        <v>2.2230621010709779E-2</v>
      </c>
      <c r="CH6">
        <v>0</v>
      </c>
      <c r="CI6">
        <v>0</v>
      </c>
      <c r="CJ6">
        <v>0</v>
      </c>
      <c r="CK6">
        <v>0</v>
      </c>
      <c r="CL6">
        <v>0</v>
      </c>
      <c r="CM6">
        <v>0</v>
      </c>
      <c r="CN6">
        <v>0</v>
      </c>
      <c r="CO6">
        <v>0</v>
      </c>
      <c r="CP6">
        <v>0</v>
      </c>
      <c r="CQ6">
        <v>0</v>
      </c>
      <c r="CR6">
        <v>0</v>
      </c>
    </row>
    <row r="7" spans="2:96" ht="15.75" thickBot="1" x14ac:dyDescent="0.3">
      <c r="B7" s="7">
        <v>4</v>
      </c>
      <c r="C7" s="85">
        <v>1.6523140754728043</v>
      </c>
      <c r="D7" s="87">
        <v>1.4666328109352353</v>
      </c>
      <c r="K7" s="9">
        <v>2</v>
      </c>
      <c r="L7" s="11">
        <v>-0.97699999999999998</v>
      </c>
      <c r="V7">
        <v>1</v>
      </c>
      <c r="W7" s="85">
        <f t="shared" ref="W7:W18" si="1">K72</f>
        <v>7.8496859436071875E-2</v>
      </c>
      <c r="Y7" s="7">
        <v>1</v>
      </c>
      <c r="Z7" s="2">
        <v>-0.13400000000000001</v>
      </c>
      <c r="AA7" s="2">
        <v>-0.67100000000000004</v>
      </c>
      <c r="AB7" s="12">
        <v>-0.77800000000000002</v>
      </c>
      <c r="AD7" s="7">
        <v>1</v>
      </c>
      <c r="AE7" cm="1">
        <f t="array" ref="AE7:AE18">W34*Z7:Z18</f>
        <v>-5.5087416603705319E-3</v>
      </c>
      <c r="AF7" cm="1">
        <f t="array" ref="AF7:AF18">W35*AA7:AA18</f>
        <v>-2.034283258038914E-3</v>
      </c>
      <c r="AG7" s="8" cm="1">
        <f t="array" ref="AG7:AG18">W36*AB7:AB18</f>
        <v>-0.42552055194785599</v>
      </c>
      <c r="AK7" s="25">
        <v>1</v>
      </c>
      <c r="AL7" s="25"/>
      <c r="AM7">
        <v>1</v>
      </c>
      <c r="AO7">
        <v>1</v>
      </c>
      <c r="AQ7">
        <v>1</v>
      </c>
      <c r="AS7">
        <v>1</v>
      </c>
      <c r="AU7">
        <v>1</v>
      </c>
      <c r="AW7">
        <v>1</v>
      </c>
      <c r="AY7" s="25">
        <v>1</v>
      </c>
      <c r="AZ7" s="25"/>
      <c r="BA7">
        <v>1</v>
      </c>
      <c r="BB7">
        <v>2</v>
      </c>
      <c r="BD7">
        <v>1</v>
      </c>
      <c r="BE7">
        <v>2</v>
      </c>
      <c r="BG7">
        <v>1</v>
      </c>
      <c r="BI7">
        <v>1</v>
      </c>
      <c r="BJ7">
        <v>2</v>
      </c>
      <c r="BL7">
        <v>1</v>
      </c>
      <c r="BM7">
        <v>2</v>
      </c>
      <c r="BO7">
        <v>1</v>
      </c>
      <c r="BQ7">
        <v>1</v>
      </c>
      <c r="BR7">
        <v>2</v>
      </c>
      <c r="BT7">
        <v>1</v>
      </c>
      <c r="BU7">
        <v>2</v>
      </c>
      <c r="BW7">
        <v>1</v>
      </c>
      <c r="BY7">
        <v>2</v>
      </c>
      <c r="BZ7" s="85">
        <v>7.7845931222533152E-2</v>
      </c>
      <c r="CA7">
        <f>MATCH(MAX(FRONTEND!$M29:$Q29),FRONTEND!$M29:$Q29,0)</f>
        <v>5</v>
      </c>
      <c r="CB7">
        <f t="shared" ref="CB7:CB11" si="2">IF($CA7=CB$5,$BZ7,0)</f>
        <v>0</v>
      </c>
      <c r="CC7">
        <f t="shared" si="0"/>
        <v>0</v>
      </c>
      <c r="CD7">
        <f t="shared" si="0"/>
        <v>0</v>
      </c>
      <c r="CE7">
        <f t="shared" si="0"/>
        <v>0</v>
      </c>
      <c r="CF7">
        <f t="shared" si="0"/>
        <v>7.7845931222533152E-2</v>
      </c>
      <c r="CH7">
        <v>0</v>
      </c>
      <c r="CI7">
        <v>0</v>
      </c>
      <c r="CJ7">
        <v>0</v>
      </c>
      <c r="CK7" s="4" cm="1">
        <f t="array" ref="CK7:CO12">FRONTEND!$B$4:$F$9</f>
        <v>-0.98912614845213298</v>
      </c>
      <c r="CL7" s="5">
        <v>1.2524064692339041</v>
      </c>
      <c r="CM7" s="5">
        <v>-0.12847843518120475</v>
      </c>
      <c r="CN7" s="5">
        <v>1.03222097393131</v>
      </c>
      <c r="CO7" s="6">
        <v>1.5768096931716007</v>
      </c>
      <c r="CP7">
        <v>0</v>
      </c>
      <c r="CQ7">
        <v>0</v>
      </c>
      <c r="CR7">
        <v>0</v>
      </c>
    </row>
    <row r="8" spans="2:96" ht="15.75" thickBot="1" x14ac:dyDescent="0.3">
      <c r="B8" s="7">
        <v>5</v>
      </c>
      <c r="C8" s="85">
        <v>1.3357469490607339</v>
      </c>
      <c r="D8" s="87">
        <v>1.1924632048467632</v>
      </c>
      <c r="V8">
        <v>2</v>
      </c>
      <c r="W8" s="85">
        <f t="shared" si="1"/>
        <v>0.76324299735479773</v>
      </c>
      <c r="Y8" s="7">
        <v>2</v>
      </c>
      <c r="Z8" s="2">
        <v>-0.94499999999999995</v>
      </c>
      <c r="AA8" s="2">
        <v>-0.04</v>
      </c>
      <c r="AB8" s="12">
        <v>0.99099999999999999</v>
      </c>
      <c r="AD8" s="7">
        <v>2</v>
      </c>
      <c r="AE8">
        <v>-3.8848961709329492E-2</v>
      </c>
      <c r="AF8">
        <v>-1.2126874861632868E-4</v>
      </c>
      <c r="AG8" s="8">
        <v>0.54201910922920982</v>
      </c>
      <c r="AJ8">
        <v>1</v>
      </c>
      <c r="AK8" s="104" cm="1">
        <f t="array" ref="AK8:AK9">TRANSPOSE(_xlfn.ANCHORARRAY(AE70))</f>
        <v>-1.3679879533364183E-3</v>
      </c>
      <c r="AL8" s="25"/>
      <c r="AM8" cm="1">
        <f t="array" ref="AM8:AM9">_xlfn.ANCHORARRAY(AK8)*(1-$O$57:$O$58)</f>
        <v>-2.5102025814591222E-4</v>
      </c>
      <c r="AO8" cm="1">
        <f t="array" ref="AO8:AO9">_xlfn.ANCHORARRAY(AM8)*(1-$R$57:$R$58*$R$57:$R$58)</f>
        <v>-1.5008429683810185E-4</v>
      </c>
      <c r="AQ8" cm="1">
        <f t="array" ref="AQ8:AQ9">_xlfn.ANCHORARRAY(AK8)*(_xlfn.ANCHORARRAY(T51)-$R$57:$R$58)</f>
        <v>6.3983369818413922E-4</v>
      </c>
      <c r="AS8" cm="1">
        <f t="array" ref="AS8:AS9">_xlfn.ANCHORARRAY(AQ8)*($O$57:$O$58*(1-$O$57:$O$58))</f>
        <v>9.5863205735313334E-5</v>
      </c>
      <c r="AU8" cm="1">
        <f t="array" ref="AU8:AU9">MMULT(TRANSPOSE($P$21:$Q$22),_xlfn.ANCHORARRAY($AO$8))*_xlfn.ANCHORARRAY($T$51)</f>
        <v>-3.4852885351512322E-5</v>
      </c>
      <c r="AW8" cm="1">
        <f t="array" ref="AW8:AW9">_xlfn.ANCHORARRAY($AU$8)*($L$57:$L$58*(1-$L$57:$L$58))</f>
        <v>-2.0310801610827113E-6</v>
      </c>
      <c r="AY8" s="25" cm="1">
        <f t="array" ref="AY8:AY9">_xlfn.ANCHORARRAY(AK8)*$O$57:$O$58+MMULT(TRANSPOSE($P$21:$Q$22),_xlfn.ANCHORARRAY(AO8))*$L$57:$L$58+MMULT(TRANSPOSE($P$16:$Q$17),_xlfn.ANCHORARRAY(AS8))+MMULT(TRANSPOSE($P$11:$Q$12),_xlfn.ANCHORARRAY(AW8))</f>
        <v>-2.0133554465539077E-3</v>
      </c>
      <c r="AZ8" s="25"/>
      <c r="BA8" cm="1">
        <f t="array" ref="BA8:BB9">MMULT(_xlfn.ANCHORARRAY(AO8),TRANSPOSE($H$14:$H$15))</f>
        <v>-4.6349983768103107E-4</v>
      </c>
      <c r="BB8">
        <v>-9.7164034466614452E-5</v>
      </c>
      <c r="BD8" cm="1">
        <f t="array" ref="BD8:BE9">MMULT(_xlfn.ANCHORARRAY(AO8),TRANSPOSE($L$57:$L$58*_xlfn.ANCHORARRAY($T$51)))</f>
        <v>-2.342179762096632E-5</v>
      </c>
      <c r="BE8">
        <v>-1.2807167932029839E-4</v>
      </c>
      <c r="BG8" cm="1">
        <f t="array" ref="BG8:BG9">_xlfn.ANCHORARRAY(AO8)</f>
        <v>-1.5008429683810185E-4</v>
      </c>
      <c r="BI8" cm="1">
        <f t="array" ref="BI8:BJ9">MMULT(_xlfn.ANCHORARRAY(AS8),TRANSPOSE(H14:H15))</f>
        <v>2.9605082766141148E-4</v>
      </c>
      <c r="BJ8">
        <v>6.2061494922375382E-5</v>
      </c>
      <c r="BL8" cm="1">
        <f t="array" ref="BL8:BM9">MMULT(_xlfn.ANCHORARRAY(AS8),TRANSPOSE(_xlfn.ANCHORARRAY($T$51)))</f>
        <v>1.5951349042752092E-5</v>
      </c>
      <c r="BM8">
        <v>9.5109369058354027E-5</v>
      </c>
      <c r="BO8" cm="1">
        <f t="array" ref="BO8:BO9">_xlfn.ANCHORARRAY(AS8)</f>
        <v>9.5863205735313334E-5</v>
      </c>
      <c r="BQ8" cm="1">
        <f t="array" ref="BQ8:BR9">MMULT(_xlfn.ANCHORARRAY(AW8),TRANSPOSE($H$14:$H$15))</f>
        <v>-6.2725104811898276E-6</v>
      </c>
      <c r="BR8">
        <v>-1.3149139978899961E-6</v>
      </c>
      <c r="BT8" cm="1">
        <f t="array" ref="BT8:BU9">MMULT(_xlfn.ANCHORARRAY(AW8),TRANSPOSE(_xlfn.ANCHORARRAY($T$51)))</f>
        <v>-3.3796562857176367E-7</v>
      </c>
      <c r="BU8">
        <v>-2.0151084156406061E-6</v>
      </c>
      <c r="BW8" cm="1">
        <f t="array" ref="BW8:BW9">_xlfn.ANCHORARRAY(AW8)</f>
        <v>-2.0310801610827113E-6</v>
      </c>
      <c r="BY8">
        <v>3</v>
      </c>
      <c r="BZ8" s="85">
        <v>-9.9729404233188275E-3</v>
      </c>
      <c r="CA8">
        <f>MATCH(MAX(FRONTEND!$M30:$Q30),FRONTEND!$M30:$Q30,0)</f>
        <v>4</v>
      </c>
      <c r="CB8">
        <f t="shared" si="2"/>
        <v>0</v>
      </c>
      <c r="CC8">
        <f t="shared" si="0"/>
        <v>0</v>
      </c>
      <c r="CD8">
        <f t="shared" si="0"/>
        <v>0</v>
      </c>
      <c r="CE8">
        <f t="shared" si="0"/>
        <v>-9.9729404233188275E-3</v>
      </c>
      <c r="CF8">
        <f t="shared" si="0"/>
        <v>0</v>
      </c>
      <c r="CH8">
        <v>0</v>
      </c>
      <c r="CI8">
        <v>0</v>
      </c>
      <c r="CJ8">
        <v>0</v>
      </c>
      <c r="CK8" s="7">
        <v>0.37651776460212311</v>
      </c>
      <c r="CL8">
        <v>1.0409057846509018</v>
      </c>
      <c r="CM8">
        <v>-1.6276300267484027</v>
      </c>
      <c r="CN8">
        <v>1.6111657826358685</v>
      </c>
      <c r="CO8" s="8">
        <v>1.1545320582322287</v>
      </c>
      <c r="CP8">
        <v>0</v>
      </c>
      <c r="CQ8">
        <v>0</v>
      </c>
      <c r="CR8">
        <v>0</v>
      </c>
    </row>
    <row r="9" spans="2:96" ht="15.75" thickBot="1" x14ac:dyDescent="0.3">
      <c r="B9" s="9">
        <v>6</v>
      </c>
      <c r="C9" s="86">
        <v>3.088263378953064</v>
      </c>
      <c r="D9" s="88">
        <v>0.64739640664357267</v>
      </c>
      <c r="K9" s="4"/>
      <c r="L9" s="5" t="s">
        <v>96</v>
      </c>
      <c r="M9" s="6"/>
      <c r="O9" s="4"/>
      <c r="P9" s="5" t="s">
        <v>97</v>
      </c>
      <c r="Q9" s="6"/>
      <c r="S9" s="4"/>
      <c r="T9" s="6" t="s">
        <v>122</v>
      </c>
      <c r="V9">
        <v>3</v>
      </c>
      <c r="W9" s="85">
        <f t="shared" si="1"/>
        <v>0.94033310107595769</v>
      </c>
      <c r="Y9" s="7">
        <v>3</v>
      </c>
      <c r="Z9" s="2">
        <v>-0.62</v>
      </c>
      <c r="AA9" s="2">
        <v>0.312</v>
      </c>
      <c r="AB9" s="12">
        <v>-0.121</v>
      </c>
      <c r="AD9" s="7">
        <v>3</v>
      </c>
      <c r="AE9">
        <v>-2.5488207682311415E-2</v>
      </c>
      <c r="AF9">
        <v>9.4589623920736377E-4</v>
      </c>
      <c r="AG9" s="8">
        <v>-6.6179931601144687E-2</v>
      </c>
      <c r="AJ9">
        <v>2</v>
      </c>
      <c r="AK9" s="105">
        <v>0.43888601092312424</v>
      </c>
      <c r="AL9" s="25"/>
      <c r="AM9">
        <v>0.25614467063597718</v>
      </c>
      <c r="AO9">
        <v>2.1420034579121966E-4</v>
      </c>
      <c r="AQ9">
        <v>-3.2677079909809543E-3</v>
      </c>
      <c r="AS9">
        <v>-7.9407567726110287E-4</v>
      </c>
      <c r="AU9">
        <v>7.9013781065580998E-5</v>
      </c>
      <c r="AW9">
        <v>9.5078456749424564E-6</v>
      </c>
      <c r="AY9" s="25">
        <v>0.18301991948542901</v>
      </c>
      <c r="AZ9" s="25"/>
      <c r="BA9">
        <v>6.6150708366610679E-4</v>
      </c>
      <c r="BB9">
        <v>1.3867253416704632E-4</v>
      </c>
      <c r="BD9">
        <v>3.342759539244014E-5</v>
      </c>
      <c r="BE9">
        <v>1.8278393259264487E-4</v>
      </c>
      <c r="BG9">
        <v>2.1420034579121966E-4</v>
      </c>
      <c r="BI9">
        <v>-2.4523148342028163E-3</v>
      </c>
      <c r="BJ9">
        <v>-5.1408174006189935E-4</v>
      </c>
      <c r="BL9">
        <v>-1.3213180382601786E-4</v>
      </c>
      <c r="BM9">
        <v>-7.878313276672293E-4</v>
      </c>
      <c r="BO9">
        <v>-7.9407567726110287E-4</v>
      </c>
      <c r="BQ9">
        <v>2.9362731610662065E-5</v>
      </c>
      <c r="BR9">
        <v>6.1553451248793802E-6</v>
      </c>
      <c r="BT9">
        <v>1.5820769172312329E-6</v>
      </c>
      <c r="BU9">
        <v>9.4330791080029963E-6</v>
      </c>
      <c r="BW9">
        <v>9.5078456749424564E-6</v>
      </c>
      <c r="BY9">
        <v>4</v>
      </c>
      <c r="BZ9" s="85">
        <v>-3.8489382132347139E-4</v>
      </c>
      <c r="CA9">
        <f>MATCH(MAX(FRONTEND!$M31:$Q31),FRONTEND!$M31:$Q31,0)</f>
        <v>1</v>
      </c>
      <c r="CB9">
        <f t="shared" si="2"/>
        <v>-3.8489382132347139E-4</v>
      </c>
      <c r="CC9">
        <f t="shared" si="0"/>
        <v>0</v>
      </c>
      <c r="CD9">
        <f t="shared" si="0"/>
        <v>0</v>
      </c>
      <c r="CE9">
        <f t="shared" si="0"/>
        <v>0</v>
      </c>
      <c r="CF9">
        <f t="shared" si="0"/>
        <v>0</v>
      </c>
      <c r="CH9">
        <v>0</v>
      </c>
      <c r="CI9">
        <v>0</v>
      </c>
      <c r="CJ9">
        <v>0</v>
      </c>
      <c r="CK9" s="7">
        <v>-0.73854381563096749</v>
      </c>
      <c r="CL9">
        <v>-0.38067852686190223</v>
      </c>
      <c r="CM9">
        <v>1.7025691581994165</v>
      </c>
      <c r="CN9">
        <v>0.92174507286591334</v>
      </c>
      <c r="CO9" s="8">
        <v>0.33462632466056236</v>
      </c>
      <c r="CP9">
        <v>0</v>
      </c>
      <c r="CQ9">
        <v>0</v>
      </c>
      <c r="CR9">
        <v>0</v>
      </c>
    </row>
    <row r="10" spans="2:96" x14ac:dyDescent="0.25">
      <c r="B10" t="s">
        <v>229</v>
      </c>
      <c r="K10" s="7"/>
      <c r="L10">
        <v>1</v>
      </c>
      <c r="M10" s="8">
        <v>2</v>
      </c>
      <c r="O10" s="7"/>
      <c r="P10">
        <v>1</v>
      </c>
      <c r="Q10" s="8">
        <v>2</v>
      </c>
      <c r="S10" s="7"/>
      <c r="T10" s="8">
        <v>1</v>
      </c>
      <c r="V10">
        <v>4</v>
      </c>
      <c r="W10" s="85">
        <f t="shared" si="1"/>
        <v>0.98218533221089732</v>
      </c>
      <c r="Y10" s="7">
        <v>4</v>
      </c>
      <c r="Z10" s="2">
        <v>-0.29099999999999998</v>
      </c>
      <c r="AA10" s="2">
        <v>-0.20200000000000001</v>
      </c>
      <c r="AB10" s="12">
        <v>0.186</v>
      </c>
      <c r="AD10" s="7">
        <v>4</v>
      </c>
      <c r="AE10">
        <v>-1.1963013605730034E-2</v>
      </c>
      <c r="AF10">
        <v>-6.1240718051245994E-4</v>
      </c>
      <c r="AG10" s="8">
        <v>0.10173113452737945</v>
      </c>
      <c r="AK10" s="25"/>
      <c r="AL10" s="25"/>
      <c r="AY10" s="25"/>
      <c r="AZ10" s="25"/>
      <c r="BY10">
        <v>5</v>
      </c>
      <c r="BZ10" s="85">
        <v>4.5913197977198717E-4</v>
      </c>
      <c r="CA10">
        <f>MATCH(MAX(FRONTEND!$M32:$Q32),FRONTEND!$M32:$Q32,0)</f>
        <v>1</v>
      </c>
      <c r="CB10">
        <f t="shared" si="2"/>
        <v>4.5913197977198717E-4</v>
      </c>
      <c r="CC10">
        <f t="shared" si="0"/>
        <v>0</v>
      </c>
      <c r="CD10">
        <f t="shared" si="0"/>
        <v>0</v>
      </c>
      <c r="CE10">
        <f t="shared" si="0"/>
        <v>0</v>
      </c>
      <c r="CF10">
        <f t="shared" si="0"/>
        <v>0</v>
      </c>
      <c r="CH10">
        <v>0</v>
      </c>
      <c r="CI10">
        <v>0</v>
      </c>
      <c r="CJ10">
        <v>0</v>
      </c>
      <c r="CK10" s="7">
        <v>0.62033105377419506</v>
      </c>
      <c r="CL10">
        <v>-0.54798885101874573</v>
      </c>
      <c r="CM10">
        <v>0.14228331078254203</v>
      </c>
      <c r="CN10">
        <v>-0.90402351792044611</v>
      </c>
      <c r="CO10" s="8">
        <v>-0.78877948547958721</v>
      </c>
      <c r="CP10">
        <v>0</v>
      </c>
      <c r="CQ10">
        <v>0</v>
      </c>
      <c r="CR10">
        <v>0</v>
      </c>
    </row>
    <row r="11" spans="2:96" ht="21" x14ac:dyDescent="0.35">
      <c r="K11" s="7">
        <v>1</v>
      </c>
      <c r="L11">
        <v>0.878</v>
      </c>
      <c r="M11" s="8">
        <v>-0.13900000000000001</v>
      </c>
      <c r="O11" s="7">
        <v>1</v>
      </c>
      <c r="P11">
        <v>-0.253</v>
      </c>
      <c r="Q11" s="8">
        <v>-0.872</v>
      </c>
      <c r="S11" s="7">
        <v>1</v>
      </c>
      <c r="T11" s="8">
        <v>1</v>
      </c>
      <c r="V11">
        <v>5</v>
      </c>
      <c r="W11" s="85">
        <f t="shared" si="1"/>
        <v>0.99213632935413487</v>
      </c>
      <c r="Y11" s="7">
        <v>5</v>
      </c>
      <c r="Z11" s="2">
        <v>-0.57699999999999996</v>
      </c>
      <c r="AA11" s="2">
        <v>-0.185</v>
      </c>
      <c r="AB11" s="12">
        <v>0.17299999999999999</v>
      </c>
      <c r="AD11" s="7">
        <v>5</v>
      </c>
      <c r="AE11">
        <v>-2.3720477149505943E-2</v>
      </c>
      <c r="AF11">
        <v>-5.6086796235052018E-4</v>
      </c>
      <c r="AG11" s="8">
        <v>9.4620893942132495E-2</v>
      </c>
      <c r="AK11" s="56" t="s">
        <v>111</v>
      </c>
      <c r="AL11" s="25"/>
      <c r="AY11" s="25"/>
      <c r="AZ11" s="25"/>
      <c r="BA11" s="55" t="s">
        <v>111</v>
      </c>
      <c r="BY11">
        <v>6</v>
      </c>
      <c r="BZ11" s="85">
        <v>3.9854808286241531E-4</v>
      </c>
      <c r="CA11">
        <f>MATCH(MAX(FRONTEND!$M33:$Q33),FRONTEND!$M33:$Q33,0)</f>
        <v>1</v>
      </c>
      <c r="CB11">
        <f t="shared" si="2"/>
        <v>3.9854808286241531E-4</v>
      </c>
      <c r="CC11">
        <f t="shared" si="0"/>
        <v>0</v>
      </c>
      <c r="CD11">
        <f t="shared" si="0"/>
        <v>0</v>
      </c>
      <c r="CE11">
        <f t="shared" si="0"/>
        <v>0</v>
      </c>
      <c r="CF11">
        <f t="shared" si="0"/>
        <v>0</v>
      </c>
      <c r="CH11">
        <v>0</v>
      </c>
      <c r="CI11">
        <v>0</v>
      </c>
      <c r="CJ11">
        <v>0</v>
      </c>
      <c r="CK11" s="7">
        <v>-0.75834007535944881</v>
      </c>
      <c r="CL11">
        <v>-2.072718061607192E-2</v>
      </c>
      <c r="CM11">
        <v>-1.0835521787269116</v>
      </c>
      <c r="CN11">
        <v>-0.87494643105044001</v>
      </c>
      <c r="CO11" s="8">
        <v>-0.20149044686796963</v>
      </c>
      <c r="CP11">
        <v>0</v>
      </c>
      <c r="CQ11">
        <v>0</v>
      </c>
      <c r="CR11">
        <v>0</v>
      </c>
    </row>
    <row r="12" spans="2:96" ht="15.75" thickBot="1" x14ac:dyDescent="0.3">
      <c r="C12" t="s">
        <v>58</v>
      </c>
      <c r="K12" s="9">
        <v>2</v>
      </c>
      <c r="L12" s="14">
        <v>-1.2999999999999999E-2</v>
      </c>
      <c r="M12" s="11">
        <v>0.997</v>
      </c>
      <c r="O12" s="9">
        <v>2</v>
      </c>
      <c r="P12" s="14">
        <v>-0.21199999999999999</v>
      </c>
      <c r="Q12" s="11">
        <v>0.248</v>
      </c>
      <c r="S12" s="9">
        <v>2</v>
      </c>
      <c r="T12" s="11">
        <v>1</v>
      </c>
      <c r="V12">
        <v>6</v>
      </c>
      <c r="W12" s="85">
        <f t="shared" si="1"/>
        <v>0.99648168260596803</v>
      </c>
      <c r="Y12" s="7">
        <v>6</v>
      </c>
      <c r="Z12" s="2">
        <v>0.57199999999999995</v>
      </c>
      <c r="AA12" s="2">
        <v>0.89200000000000002</v>
      </c>
      <c r="AB12" s="12">
        <v>0.75700000000000001</v>
      </c>
      <c r="AD12" s="7">
        <v>6</v>
      </c>
      <c r="AE12">
        <v>2.3514927087551818E-2</v>
      </c>
      <c r="AF12">
        <v>2.7042930941441295E-3</v>
      </c>
      <c r="AG12" s="8">
        <v>0.41403477869476474</v>
      </c>
      <c r="AK12" s="25" t="s">
        <v>109</v>
      </c>
      <c r="AL12" s="25"/>
      <c r="AM12" t="s">
        <v>116</v>
      </c>
      <c r="AO12" t="s">
        <v>117</v>
      </c>
      <c r="AQ12" t="s">
        <v>118</v>
      </c>
      <c r="AS12" t="s">
        <v>119</v>
      </c>
      <c r="AU12" t="s">
        <v>120</v>
      </c>
      <c r="AW12" t="s">
        <v>121</v>
      </c>
      <c r="AY12" s="25" t="s">
        <v>126</v>
      </c>
      <c r="AZ12" s="25"/>
      <c r="BA12" t="s">
        <v>127</v>
      </c>
      <c r="BD12" t="s">
        <v>128</v>
      </c>
      <c r="BG12" t="s">
        <v>129</v>
      </c>
      <c r="BI12" t="s">
        <v>134</v>
      </c>
      <c r="BL12" t="s">
        <v>132</v>
      </c>
      <c r="BO12" t="s">
        <v>130</v>
      </c>
      <c r="BQ12" t="s">
        <v>135</v>
      </c>
      <c r="BT12" t="s">
        <v>133</v>
      </c>
      <c r="BW12" t="s">
        <v>131</v>
      </c>
      <c r="CH12">
        <v>0</v>
      </c>
      <c r="CI12">
        <v>0</v>
      </c>
      <c r="CJ12">
        <v>0</v>
      </c>
      <c r="CK12" s="9">
        <v>-0.44083361287554584</v>
      </c>
      <c r="CL12" s="14">
        <v>-1.4637255107168889</v>
      </c>
      <c r="CM12" s="14">
        <v>-1.5763300418606174</v>
      </c>
      <c r="CN12" s="14">
        <v>1.307069689645453</v>
      </c>
      <c r="CO12" s="11">
        <v>-0.54798885101874573</v>
      </c>
      <c r="CP12">
        <v>0</v>
      </c>
      <c r="CQ12">
        <v>0</v>
      </c>
      <c r="CR12">
        <v>0</v>
      </c>
    </row>
    <row r="13" spans="2:96" ht="15.75" thickBot="1" x14ac:dyDescent="0.3">
      <c r="C13" s="13" t="s">
        <v>108</v>
      </c>
      <c r="D13">
        <v>2</v>
      </c>
      <c r="E13">
        <v>3</v>
      </c>
      <c r="F13">
        <v>4</v>
      </c>
      <c r="G13">
        <v>5</v>
      </c>
      <c r="H13">
        <v>6</v>
      </c>
      <c r="V13">
        <v>7</v>
      </c>
      <c r="W13" s="89">
        <f t="shared" si="1"/>
        <v>-9.98960000251915E-2</v>
      </c>
      <c r="Y13" s="7">
        <v>7</v>
      </c>
      <c r="Z13" s="2">
        <v>-0.21</v>
      </c>
      <c r="AA13" s="2">
        <v>-0.86299999999999999</v>
      </c>
      <c r="AB13" s="12">
        <v>0.252</v>
      </c>
      <c r="AD13" s="7">
        <v>7</v>
      </c>
      <c r="AE13">
        <v>-8.6331026020732195E-3</v>
      </c>
      <c r="AF13">
        <v>-2.6163732513972914E-3</v>
      </c>
      <c r="AG13" s="8">
        <v>0.13782927903709474</v>
      </c>
      <c r="AK13" s="25">
        <v>1</v>
      </c>
      <c r="AL13" s="25"/>
      <c r="AM13">
        <v>1</v>
      </c>
      <c r="AO13">
        <v>1</v>
      </c>
      <c r="AQ13">
        <v>1</v>
      </c>
      <c r="AS13">
        <v>1</v>
      </c>
      <c r="AU13">
        <v>1</v>
      </c>
      <c r="AW13">
        <v>1</v>
      </c>
      <c r="AY13" s="25">
        <v>1</v>
      </c>
      <c r="AZ13" s="25"/>
      <c r="BA13">
        <v>1</v>
      </c>
      <c r="BB13">
        <v>2</v>
      </c>
      <c r="BD13">
        <v>1</v>
      </c>
      <c r="BE13">
        <v>2</v>
      </c>
      <c r="BG13">
        <v>1</v>
      </c>
      <c r="BI13">
        <v>1</v>
      </c>
      <c r="BJ13">
        <v>2</v>
      </c>
      <c r="BL13">
        <v>1</v>
      </c>
      <c r="BM13">
        <v>2</v>
      </c>
      <c r="BO13">
        <v>1</v>
      </c>
      <c r="BQ13">
        <v>1</v>
      </c>
      <c r="BR13">
        <v>2</v>
      </c>
      <c r="BT13">
        <v>1</v>
      </c>
      <c r="BU13">
        <v>2</v>
      </c>
      <c r="BW13">
        <v>1</v>
      </c>
      <c r="BZ13" t="s">
        <v>92</v>
      </c>
      <c r="CH13">
        <v>0</v>
      </c>
      <c r="CI13">
        <v>0</v>
      </c>
      <c r="CJ13">
        <v>0</v>
      </c>
      <c r="CK13">
        <v>0</v>
      </c>
      <c r="CL13">
        <v>0</v>
      </c>
      <c r="CM13">
        <v>0</v>
      </c>
      <c r="CN13">
        <v>0</v>
      </c>
      <c r="CO13">
        <v>0</v>
      </c>
      <c r="CP13">
        <v>0</v>
      </c>
      <c r="CQ13">
        <v>0</v>
      </c>
      <c r="CR13">
        <v>0</v>
      </c>
    </row>
    <row r="14" spans="2:96" x14ac:dyDescent="0.25">
      <c r="B14">
        <v>1</v>
      </c>
      <c r="C14" s="85" cm="1">
        <f t="array" ref="C14:H15">TRANSPOSE(_xlfn.ANCHORARRAY(C4))</f>
        <v>5.1213373543300822</v>
      </c>
      <c r="D14" s="85">
        <v>3.798356725321963</v>
      </c>
      <c r="E14" s="85">
        <v>1.7105413350170124</v>
      </c>
      <c r="F14" s="85">
        <v>1.6523140754728043</v>
      </c>
      <c r="G14" s="85">
        <v>1.3357469490607339</v>
      </c>
      <c r="H14" s="85">
        <v>3.088263378953064</v>
      </c>
      <c r="K14" s="4"/>
      <c r="L14" s="5" t="s">
        <v>98</v>
      </c>
      <c r="M14" s="6"/>
      <c r="O14" s="4"/>
      <c r="P14" s="5" t="s">
        <v>100</v>
      </c>
      <c r="Q14" s="6"/>
      <c r="S14" s="4"/>
      <c r="T14" s="6" t="s">
        <v>123</v>
      </c>
      <c r="V14">
        <v>8</v>
      </c>
      <c r="W14" s="89">
        <f t="shared" si="1"/>
        <v>0.25875895193197807</v>
      </c>
      <c r="Y14" s="7">
        <v>8</v>
      </c>
      <c r="Z14" s="2">
        <v>0.54900000000000004</v>
      </c>
      <c r="AA14" s="2">
        <v>0.185</v>
      </c>
      <c r="AB14" s="12">
        <v>-0.50800000000000001</v>
      </c>
      <c r="AD14" s="7">
        <v>8</v>
      </c>
      <c r="AE14">
        <v>2.2569396802562851E-2</v>
      </c>
      <c r="AF14">
        <v>5.6086796235052018E-4</v>
      </c>
      <c r="AG14" s="8">
        <v>-0.27784632440811163</v>
      </c>
      <c r="AJ14">
        <v>1</v>
      </c>
      <c r="AK14" s="104" cm="1">
        <f t="array" ref="AK14:AK15">TRANSPOSE(_xlfn.ANCHORARRAY(AE71))+_xlfn.ANCHORARRAY(AY8)</f>
        <v>2.0362839439430802E-3</v>
      </c>
      <c r="AL14" s="25"/>
      <c r="AM14" cm="1">
        <f t="array" ref="AM14:AM15">_xlfn.ANCHORARRAY(AK14)*(1-$O$51:$O$52)</f>
        <v>2.4465024789923587E-4</v>
      </c>
      <c r="AO14" cm="1">
        <f t="array" ref="AO14:AO15">_xlfn.ANCHORARRAY(AM14)*(1-$R$51:$R$52*$R$51:$R$52)</f>
        <v>1.4762837419291856E-5</v>
      </c>
      <c r="AQ14" cm="1">
        <f t="array" ref="AQ14:AQ15">_xlfn.ANCHORARRAY(AK14)*(_xlfn.ANCHORARRAY(T51)-$R$51:$R$52)</f>
        <v>-1.6350591779226362E-3</v>
      </c>
      <c r="AS14" cm="1">
        <f t="array" ref="AS14:AS15">_xlfn.ANCHORARRAY(AQ14)*($O$51:$O$52*(1-$O$51:$O$52))</f>
        <v>-1.7284295555651581E-4</v>
      </c>
      <c r="AU14" cm="1">
        <f t="array" ref="AU14:AU15">MMULT(TRANSPOSE($P$21:$Q$22),_xlfn.ANCHORARRAY(AO14))*_xlfn.ANCHORARRAY(T45)</f>
        <v>-1.4067966344607318E-5</v>
      </c>
      <c r="AW14" cm="1">
        <f t="array" ref="AW14:AW15">_xlfn.ANCHORARRAY(AU14)*($L$51:$L$52*(1-$L$51:$L$52))</f>
        <v>-2.5879389317317375E-6</v>
      </c>
      <c r="AY14" s="25" cm="1">
        <f t="array" ref="AY14:AY15">_xlfn.ANCHORARRAY(AK14)*$O$51:$O$52+MMULT(TRANSPOSE($P$21:$Q$22),_xlfn.ANCHORARRAY(AO14))*$L$51:$L$52+MMULT(TRANSPOSE($P$16:$Q$17),_xlfn.ANCHORARRAY(AS14))+MMULT(TRANSPOSE($P$11:$Q$12),_xlfn.ANCHORARRAY(AW14))</f>
        <v>1.2645787709845847E-3</v>
      </c>
      <c r="AZ14" s="25"/>
      <c r="BA14" cm="1">
        <f t="array" ref="BA14:BB15">MMULT(_xlfn.ANCHORARRAY(AO14),TRANSPOSE($G$14:$G$15))</f>
        <v>1.9719415042298736E-5</v>
      </c>
      <c r="BB14">
        <v>1.7604140421640485E-5</v>
      </c>
      <c r="BD14" cm="1">
        <f t="array" ref="BD14:BE15">MMULT(_xlfn.ANCHORARRAY(AO14),TRANSPOSE($L$51:$L$52*_xlfn.ANCHORARRAY(T45)))</f>
        <v>6.3420812780112783E-7</v>
      </c>
      <c r="BE14">
        <v>1.3297243475817119E-5</v>
      </c>
      <c r="BG14" cm="1">
        <f t="array" ref="BG14:BG15">_xlfn.ANCHORARRAY(AO14)</f>
        <v>1.4762837419291856E-5</v>
      </c>
      <c r="BI14" cm="1">
        <f t="array" ref="BI14:BJ15">MMULT(_xlfn.ANCHORARRAY(AS14),TRANSPOSE($G$14:$G$15))</f>
        <v>-2.3087445055125602E-4</v>
      </c>
      <c r="BJ14">
        <v>-2.0610886471810949E-4</v>
      </c>
      <c r="BL14" cm="1">
        <f t="array" ref="BL14:BM15">MMULT(_xlfn.ANCHORARRAY(AS14),TRANSPOSE(_xlfn.ANCHORARRAY(T45)))</f>
        <v>-9.8090621686816123E-6</v>
      </c>
      <c r="BM14">
        <v>-1.6976381572358985E-4</v>
      </c>
      <c r="BO14" cm="1">
        <f t="array" ref="BO14:BO15">_xlfn.ANCHORARRAY(AS14)</f>
        <v>-1.7284295555651581E-4</v>
      </c>
      <c r="BQ14" cm="1">
        <f t="array" ref="BQ14:BR15">MMULT(_xlfn.ANCHORARRAY(AW14),TRANSPOSE($G$14:$G$15))</f>
        <v>-3.4568315324161631E-6</v>
      </c>
      <c r="BR14">
        <v>-3.0860219524805364E-6</v>
      </c>
      <c r="BT14" cm="1">
        <f t="array" ref="BT14:BU15">MMULT(_xlfn.ANCHORARRAY(AW14),TRANSPOSE(_xlfn.ANCHORARRAY(T45)))</f>
        <v>-1.468688948784359E-7</v>
      </c>
      <c r="BU14">
        <v>-2.5418356594044513E-6</v>
      </c>
      <c r="BW14" cm="1">
        <f t="array" ref="BW14:BW15">_xlfn.ANCHORARRAY(AW14)</f>
        <v>-2.5879389317317375E-6</v>
      </c>
      <c r="BZ14">
        <v>1</v>
      </c>
      <c r="CA14">
        <v>2</v>
      </c>
      <c r="CB14">
        <v>3</v>
      </c>
      <c r="CC14">
        <v>4</v>
      </c>
      <c r="CD14">
        <v>5</v>
      </c>
      <c r="CH14">
        <v>0</v>
      </c>
      <c r="CI14">
        <v>0</v>
      </c>
      <c r="CJ14">
        <v>0</v>
      </c>
      <c r="CK14">
        <v>0</v>
      </c>
      <c r="CL14">
        <v>0</v>
      </c>
      <c r="CM14">
        <v>0</v>
      </c>
      <c r="CN14">
        <v>0</v>
      </c>
      <c r="CO14">
        <v>0</v>
      </c>
      <c r="CP14">
        <v>0</v>
      </c>
      <c r="CQ14">
        <v>0</v>
      </c>
      <c r="CR14">
        <v>0</v>
      </c>
    </row>
    <row r="15" spans="2:96" x14ac:dyDescent="0.25">
      <c r="B15">
        <v>2</v>
      </c>
      <c r="C15" s="89">
        <v>0.78382050703596939</v>
      </c>
      <c r="D15" s="89">
        <v>0.97119528412029688</v>
      </c>
      <c r="E15" s="89">
        <v>1.5410487903909853</v>
      </c>
      <c r="F15" s="89">
        <v>1.4666328109352353</v>
      </c>
      <c r="G15" s="89">
        <v>1.1924632048467632</v>
      </c>
      <c r="H15" s="89">
        <v>0.64739640664357267</v>
      </c>
      <c r="K15" s="7"/>
      <c r="L15">
        <v>1</v>
      </c>
      <c r="M15" s="8">
        <v>2</v>
      </c>
      <c r="O15" s="7"/>
      <c r="P15">
        <v>1</v>
      </c>
      <c r="Q15" s="8">
        <v>2</v>
      </c>
      <c r="S15" s="7"/>
      <c r="T15" s="8">
        <v>1</v>
      </c>
      <c r="V15">
        <v>9</v>
      </c>
      <c r="W15" s="89">
        <f t="shared" si="1"/>
        <v>0.4337433532619559</v>
      </c>
      <c r="Y15" s="7">
        <v>9</v>
      </c>
      <c r="Z15" s="2">
        <v>0.99</v>
      </c>
      <c r="AA15" s="2">
        <v>-0.94699999999999995</v>
      </c>
      <c r="AB15" s="12">
        <v>-0.90500000000000003</v>
      </c>
      <c r="AD15" s="7">
        <v>9</v>
      </c>
      <c r="AE15">
        <v>4.0698912266916611E-2</v>
      </c>
      <c r="AF15">
        <v>-2.8710376234915816E-3</v>
      </c>
      <c r="AG15" s="8">
        <v>-0.49498213304988392</v>
      </c>
      <c r="AJ15">
        <v>2</v>
      </c>
      <c r="AK15" s="105">
        <v>0.25740910770620201</v>
      </c>
      <c r="AL15" s="25"/>
      <c r="AM15">
        <v>0.15806813139354267</v>
      </c>
      <c r="AO15">
        <v>5.0849829345028027E-4</v>
      </c>
      <c r="AQ15">
        <v>-1.6098099793245024E-3</v>
      </c>
      <c r="AS15">
        <v>-3.8150439035014729E-4</v>
      </c>
      <c r="AU15">
        <v>4.5574503586540046E-4</v>
      </c>
      <c r="AW15">
        <v>3.4663930673882032E-5</v>
      </c>
      <c r="AY15" s="25">
        <v>9.965806106026065E-2</v>
      </c>
      <c r="AZ15" s="25"/>
      <c r="BA15">
        <v>6.7922504407880158E-4</v>
      </c>
      <c r="BB15">
        <v>6.0636550466683099E-4</v>
      </c>
      <c r="BD15">
        <v>2.1844970686850533E-5</v>
      </c>
      <c r="BE15">
        <v>4.5801666867982213E-4</v>
      </c>
      <c r="BG15">
        <v>5.0849829345028027E-4</v>
      </c>
      <c r="BI15">
        <v>-5.0959332546348453E-4</v>
      </c>
      <c r="BJ15">
        <v>-4.5492994798004718E-4</v>
      </c>
      <c r="BL15">
        <v>-2.1650869545250028E-5</v>
      </c>
      <c r="BM15">
        <v>-3.7470801637597525E-4</v>
      </c>
      <c r="BO15">
        <v>-3.8150439035014729E-4</v>
      </c>
      <c r="BQ15">
        <v>4.6302239640090715E-5</v>
      </c>
      <c r="BR15">
        <v>4.1335461863963385E-5</v>
      </c>
      <c r="BT15">
        <v>1.9672230777134514E-6</v>
      </c>
      <c r="BU15">
        <v>3.404640426466234E-5</v>
      </c>
      <c r="BW15">
        <v>3.4663930673882032E-5</v>
      </c>
      <c r="BY15">
        <v>1</v>
      </c>
      <c r="BZ15">
        <f>CB6*IF(CB6&gt;0,1,0)</f>
        <v>0</v>
      </c>
      <c r="CA15">
        <f t="shared" ref="CA15:CD20" si="3">CC6*IF(CC6&gt;0,1,0)</f>
        <v>0</v>
      </c>
      <c r="CB15">
        <f t="shared" si="3"/>
        <v>0</v>
      </c>
      <c r="CC15">
        <f t="shared" si="3"/>
        <v>0</v>
      </c>
      <c r="CD15">
        <f t="shared" si="3"/>
        <v>2.2230621010709779E-2</v>
      </c>
      <c r="CH15">
        <v>0</v>
      </c>
      <c r="CI15">
        <v>0</v>
      </c>
      <c r="CJ15">
        <v>0</v>
      </c>
      <c r="CK15">
        <v>0</v>
      </c>
      <c r="CL15">
        <v>0</v>
      </c>
      <c r="CM15">
        <v>0</v>
      </c>
      <c r="CN15">
        <v>0</v>
      </c>
      <c r="CO15">
        <v>0</v>
      </c>
      <c r="CP15">
        <v>0</v>
      </c>
      <c r="CQ15">
        <v>0</v>
      </c>
      <c r="CR15">
        <v>0</v>
      </c>
    </row>
    <row r="16" spans="2:96" x14ac:dyDescent="0.25">
      <c r="K16" s="7">
        <v>1</v>
      </c>
      <c r="L16">
        <v>-0.21199999999999999</v>
      </c>
      <c r="M16" s="8">
        <v>0.248</v>
      </c>
      <c r="O16" s="7">
        <v>1</v>
      </c>
      <c r="P16">
        <v>-1.2999999999999999E-2</v>
      </c>
      <c r="Q16" s="8">
        <v>0.997</v>
      </c>
      <c r="S16" s="7">
        <v>1</v>
      </c>
      <c r="T16" s="8">
        <v>1</v>
      </c>
      <c r="V16">
        <v>10</v>
      </c>
      <c r="W16" s="89">
        <f t="shared" si="1"/>
        <v>0.51946831536780536</v>
      </c>
      <c r="Y16" s="7">
        <v>10</v>
      </c>
      <c r="Z16" s="2">
        <v>0.46899999999999997</v>
      </c>
      <c r="AA16" s="2">
        <v>0.36499999999999999</v>
      </c>
      <c r="AB16" s="12">
        <v>-0.20699999999999999</v>
      </c>
      <c r="AD16" s="7">
        <v>10</v>
      </c>
      <c r="AE16">
        <v>1.9280595811296857E-2</v>
      </c>
      <c r="AF16">
        <v>1.1065773311239992E-3</v>
      </c>
      <c r="AG16" s="8">
        <v>-0.11321690778047067</v>
      </c>
      <c r="AK16" s="25"/>
      <c r="AL16" s="25"/>
      <c r="AY16" s="25"/>
      <c r="AZ16" s="25"/>
      <c r="BY16">
        <v>2</v>
      </c>
      <c r="BZ16">
        <f t="shared" ref="BZ16:BZ20" si="4">CB7*IF(CB7&gt;0,1,0)</f>
        <v>0</v>
      </c>
      <c r="CA16">
        <f t="shared" si="3"/>
        <v>0</v>
      </c>
      <c r="CB16">
        <f t="shared" si="3"/>
        <v>0</v>
      </c>
      <c r="CC16">
        <f t="shared" si="3"/>
        <v>0</v>
      </c>
      <c r="CD16">
        <f t="shared" si="3"/>
        <v>7.7845931222533152E-2</v>
      </c>
    </row>
    <row r="17" spans="10:88" ht="21.75" thickBot="1" x14ac:dyDescent="0.4">
      <c r="K17" s="9">
        <v>2</v>
      </c>
      <c r="L17" s="14">
        <v>-0.253</v>
      </c>
      <c r="M17" s="11">
        <v>-0.872</v>
      </c>
      <c r="O17" s="9">
        <v>2</v>
      </c>
      <c r="P17" s="14">
        <v>0.878</v>
      </c>
      <c r="Q17" s="11">
        <v>-0.13900000000000001</v>
      </c>
      <c r="S17" s="9">
        <v>2</v>
      </c>
      <c r="T17" s="11">
        <v>1</v>
      </c>
      <c r="V17">
        <v>11</v>
      </c>
      <c r="W17" s="89">
        <f t="shared" si="1"/>
        <v>0.57926666049409214</v>
      </c>
      <c r="Y17" s="7">
        <v>11</v>
      </c>
      <c r="Z17" s="2">
        <v>0.24099999999999999</v>
      </c>
      <c r="AA17" s="2">
        <v>0.48599999999999999</v>
      </c>
      <c r="AB17" s="12">
        <v>-6.0000000000000001E-3</v>
      </c>
      <c r="AD17" s="7">
        <v>11</v>
      </c>
      <c r="AE17">
        <v>9.9075129861887906E-3</v>
      </c>
      <c r="AF17">
        <v>1.4734152956883935E-3</v>
      </c>
      <c r="AG17" s="8">
        <v>-3.2816495008832079E-3</v>
      </c>
      <c r="AK17" s="56" t="s">
        <v>113</v>
      </c>
      <c r="AL17" s="25"/>
      <c r="AY17" s="25"/>
      <c r="AZ17" s="25"/>
      <c r="BA17" s="55" t="s">
        <v>113</v>
      </c>
      <c r="BY17">
        <v>3</v>
      </c>
      <c r="BZ17">
        <f t="shared" si="4"/>
        <v>0</v>
      </c>
      <c r="CA17">
        <f t="shared" si="3"/>
        <v>0</v>
      </c>
      <c r="CB17">
        <f t="shared" si="3"/>
        <v>0</v>
      </c>
      <c r="CC17">
        <f t="shared" si="3"/>
        <v>0</v>
      </c>
      <c r="CD17">
        <f t="shared" si="3"/>
        <v>0</v>
      </c>
    </row>
    <row r="18" spans="10:88" ht="15.75" thickBot="1" x14ac:dyDescent="0.3">
      <c r="V18">
        <v>12</v>
      </c>
      <c r="W18" s="89">
        <f t="shared" si="1"/>
        <v>0.62435159239296145</v>
      </c>
      <c r="Y18" s="9">
        <v>12</v>
      </c>
      <c r="Z18" s="10">
        <v>-0.16700000000000001</v>
      </c>
      <c r="AA18" s="10">
        <v>-0.442</v>
      </c>
      <c r="AB18" s="24">
        <v>0.01</v>
      </c>
      <c r="AD18" s="9">
        <v>12</v>
      </c>
      <c r="AE18" s="14">
        <v>-6.8653720692677519E-3</v>
      </c>
      <c r="AF18" s="14">
        <v>-1.3400196722104321E-3</v>
      </c>
      <c r="AG18" s="11">
        <v>5.4694158348053473E-3</v>
      </c>
      <c r="AK18" s="25" t="s">
        <v>109</v>
      </c>
      <c r="AL18" s="25"/>
      <c r="AM18" t="s">
        <v>116</v>
      </c>
      <c r="AO18" t="s">
        <v>117</v>
      </c>
      <c r="AQ18" t="s">
        <v>118</v>
      </c>
      <c r="AS18" t="s">
        <v>119</v>
      </c>
      <c r="AU18" t="s">
        <v>120</v>
      </c>
      <c r="AW18" t="s">
        <v>121</v>
      </c>
      <c r="AY18" s="25" t="s">
        <v>126</v>
      </c>
      <c r="AZ18" s="25"/>
      <c r="BA18" t="s">
        <v>127</v>
      </c>
      <c r="BD18" t="s">
        <v>128</v>
      </c>
      <c r="BG18" t="s">
        <v>129</v>
      </c>
      <c r="BI18" t="s">
        <v>134</v>
      </c>
      <c r="BL18" t="s">
        <v>132</v>
      </c>
      <c r="BO18" t="s">
        <v>130</v>
      </c>
      <c r="BQ18" t="s">
        <v>135</v>
      </c>
      <c r="BT18" t="s">
        <v>133</v>
      </c>
      <c r="BW18" t="s">
        <v>131</v>
      </c>
      <c r="BY18">
        <v>4</v>
      </c>
      <c r="BZ18">
        <f t="shared" si="4"/>
        <v>0</v>
      </c>
      <c r="CA18">
        <f t="shared" si="3"/>
        <v>0</v>
      </c>
      <c r="CB18">
        <f t="shared" si="3"/>
        <v>0</v>
      </c>
      <c r="CC18">
        <f t="shared" si="3"/>
        <v>0</v>
      </c>
      <c r="CD18">
        <f t="shared" si="3"/>
        <v>0</v>
      </c>
    </row>
    <row r="19" spans="10:88" ht="15.75" thickBot="1" x14ac:dyDescent="0.3">
      <c r="K19" s="4"/>
      <c r="L19" s="5" t="s">
        <v>99</v>
      </c>
      <c r="M19" s="6"/>
      <c r="O19" s="4"/>
      <c r="P19" s="5" t="s">
        <v>101</v>
      </c>
      <c r="Q19" s="6"/>
      <c r="S19" s="4"/>
      <c r="T19" s="6" t="s">
        <v>124</v>
      </c>
      <c r="AK19" s="25">
        <v>1</v>
      </c>
      <c r="AL19" s="25"/>
      <c r="AM19">
        <v>1</v>
      </c>
      <c r="AO19">
        <v>1</v>
      </c>
      <c r="AQ19">
        <v>1</v>
      </c>
      <c r="AS19">
        <v>1</v>
      </c>
      <c r="AU19">
        <v>1</v>
      </c>
      <c r="AW19">
        <v>1</v>
      </c>
      <c r="AY19" s="25">
        <v>1</v>
      </c>
      <c r="AZ19" s="25"/>
      <c r="BA19">
        <v>1</v>
      </c>
      <c r="BB19">
        <v>2</v>
      </c>
      <c r="BD19">
        <v>1</v>
      </c>
      <c r="BE19">
        <v>2</v>
      </c>
      <c r="BG19">
        <v>1</v>
      </c>
      <c r="BI19">
        <v>1</v>
      </c>
      <c r="BJ19">
        <v>2</v>
      </c>
      <c r="BL19">
        <v>1</v>
      </c>
      <c r="BM19">
        <v>2</v>
      </c>
      <c r="BO19">
        <v>1</v>
      </c>
      <c r="BQ19">
        <v>1</v>
      </c>
      <c r="BR19">
        <v>2</v>
      </c>
      <c r="BT19">
        <v>1</v>
      </c>
      <c r="BU19">
        <v>2</v>
      </c>
      <c r="BW19">
        <v>1</v>
      </c>
      <c r="BY19">
        <v>5</v>
      </c>
      <c r="BZ19">
        <f t="shared" si="4"/>
        <v>4.5913197977198717E-4</v>
      </c>
      <c r="CA19">
        <f t="shared" si="3"/>
        <v>0</v>
      </c>
      <c r="CB19">
        <f t="shared" si="3"/>
        <v>0</v>
      </c>
      <c r="CC19">
        <f t="shared" si="3"/>
        <v>0</v>
      </c>
      <c r="CD19">
        <f t="shared" si="3"/>
        <v>0</v>
      </c>
    </row>
    <row r="20" spans="10:88" x14ac:dyDescent="0.25">
      <c r="K20" s="7"/>
      <c r="L20">
        <v>1</v>
      </c>
      <c r="M20" s="8">
        <v>2</v>
      </c>
      <c r="O20" s="7"/>
      <c r="P20">
        <v>1</v>
      </c>
      <c r="Q20" s="8">
        <v>2</v>
      </c>
      <c r="S20" s="7"/>
      <c r="T20" s="8">
        <v>1</v>
      </c>
      <c r="W20" t="s">
        <v>69</v>
      </c>
      <c r="Y20" s="4"/>
      <c r="Z20" s="52" t="s">
        <v>52</v>
      </c>
      <c r="AD20" s="4"/>
      <c r="AE20" s="52" t="s">
        <v>52</v>
      </c>
      <c r="AJ20">
        <v>1</v>
      </c>
      <c r="AK20" s="104" cm="1">
        <f t="array" ref="AK20:AK21">TRANSPOSE(_xlfn.ANCHORARRAY(AE72))+_xlfn.ANCHORARRAY(AY14)</f>
        <v>-4.5150288548040318E-2</v>
      </c>
      <c r="AL20" s="25"/>
      <c r="AM20" cm="1">
        <f t="array" ref="AM20:AM21">_xlfn.ANCHORARRAY(AK20)*(1-$O$45:$O$46)</f>
        <v>-5.6143048533895869E-3</v>
      </c>
      <c r="AO20" cm="1">
        <f t="array" ref="AO20:AO21">_xlfn.ANCHORARRAY(AM20)*(1-$R$45:$R$46*$R$45:$R$46)</f>
        <v>-3.3856286758728315E-4</v>
      </c>
      <c r="AQ20" cm="1">
        <f t="array" ref="AQ20:AQ21">_xlfn.ANCHORARRAY(AK20)*(_xlfn.ANCHORARRAY(T39)-$R$45:$R$46)</f>
        <v>4.7056794559229648E-2</v>
      </c>
      <c r="AS20" cm="1">
        <f t="array" ref="AS20:AS21">_xlfn.ANCHORARRAY(AQ20)*($O$45:$O$46*(1-$O$45:$O$46))</f>
        <v>5.1237722803471096E-3</v>
      </c>
      <c r="AU20" cm="1">
        <f t="array" ref="AU20:AU21">MMULT(TRANSPOSE($P$21:$Q$22),_xlfn.ANCHORARRAY(AO20))*_xlfn.ANCHORARRAY(T45)</f>
        <v>-1.6719262669340086E-5</v>
      </c>
      <c r="AW20" cm="1">
        <f t="array" ref="AW20:AW21">_xlfn.ANCHORARRAY(AU20)*($L$45:$L$46*(1-$L$45:$L$46))</f>
        <v>-2.5805638754230869E-6</v>
      </c>
      <c r="AY20" s="25" cm="1">
        <f t="array" ref="AY20:AY21">_xlfn.ANCHORARRAY(AK20)*$O$45:$O$46+MMULT(TRANSPOSE($P$21:$Q$22),_xlfn.ANCHORARRAY(AO20))*$L$45:$L$46+MMULT(TRANSPOSE($P$16:$Q$17),_xlfn.ANCHORARRAY(AS20))+MMULT(TRANSPOSE($P$11:$Q$12),_xlfn.ANCHORARRAY(AW20))</f>
        <v>-4.1360246027958493E-2</v>
      </c>
      <c r="AZ20" s="25"/>
      <c r="BA20" cm="1">
        <f t="array" ref="BA20:BB21">MMULT(_xlfn.ANCHORARRAY(AO20),TRANSPOSE($F$14:$F$15))</f>
        <v>-5.5941219154690325E-4</v>
      </c>
      <c r="BB20">
        <v>-4.9654741016783098E-4</v>
      </c>
      <c r="BD20" cm="1">
        <f t="array" ref="BD20:BE21">MMULT(_xlfn.ANCHORARRAY(AO20),TRANSPOSE($L$45:$L$46*_xlfn.ANCHORARRAY($T$39)))</f>
        <v>1.9959306135573668E-5</v>
      </c>
      <c r="BE20">
        <v>-2.9811347995663858E-4</v>
      </c>
      <c r="BG20" cm="1">
        <f t="array" ref="BG20:BG21">_xlfn.ANCHORARRAY(AO20)</f>
        <v>-3.3856286758728315E-4</v>
      </c>
      <c r="BI20" cm="1">
        <f t="array" ref="BI20:BJ21">MMULT(_xlfn.ANCHORARRAY(AS20),TRANSPOSE($F$14:$F$15))</f>
        <v>8.4660810583349171E-3</v>
      </c>
      <c r="BJ20">
        <v>7.5146925421175218E-3</v>
      </c>
      <c r="BL20" cm="1">
        <f t="array" ref="BL20:BM21">MMULT(_xlfn.ANCHORARRAY(AS20),TRANSPOSE(_xlfn.ANCHORARRAY(T45)))</f>
        <v>2.9078073025463072E-4</v>
      </c>
      <c r="BM20">
        <v>5.0324939793457129E-3</v>
      </c>
      <c r="BO20" cm="1">
        <f t="array" ref="BO20:BO21">_xlfn.ANCHORARRAY(AS20)</f>
        <v>5.1237722803471096E-3</v>
      </c>
      <c r="BQ20" cm="1">
        <f t="array" ref="BQ20:BR21">MMULT(_xlfn.ANCHORARRAY(AW20),TRANSPOSE($F$14:$F$15))</f>
        <v>-4.2639020140182144E-6</v>
      </c>
      <c r="BR20">
        <v>-3.7847396504096865E-6</v>
      </c>
      <c r="BT20" cm="1">
        <f t="array" ref="BT20:BU21">MMULT(_xlfn.ANCHORARRAY(AW20),TRANSPOSE(_xlfn.ANCHORARRAY(T39)))</f>
        <v>1.8798477423582686E-7</v>
      </c>
      <c r="BU20">
        <v>-2.4265896315011826E-6</v>
      </c>
      <c r="BW20" cm="1">
        <f t="array" ref="BW20:BW21">_xlfn.ANCHORARRAY(AW20)</f>
        <v>-2.5805638754230869E-6</v>
      </c>
      <c r="BY20">
        <v>6</v>
      </c>
      <c r="BZ20">
        <f t="shared" si="4"/>
        <v>3.9854808286241531E-4</v>
      </c>
      <c r="CA20">
        <f t="shared" si="3"/>
        <v>0</v>
      </c>
      <c r="CB20">
        <f t="shared" si="3"/>
        <v>0</v>
      </c>
      <c r="CC20">
        <f t="shared" si="3"/>
        <v>0</v>
      </c>
      <c r="CD20">
        <f t="shared" si="3"/>
        <v>0</v>
      </c>
    </row>
    <row r="21" spans="10:88" ht="15.75" thickBot="1" x14ac:dyDescent="0.3">
      <c r="K21" s="7">
        <v>1</v>
      </c>
      <c r="L21">
        <v>-0.50700000000000001</v>
      </c>
      <c r="M21" s="8">
        <v>0.89100000000000001</v>
      </c>
      <c r="O21" s="7">
        <v>1</v>
      </c>
      <c r="P21">
        <v>0.67200000000000004</v>
      </c>
      <c r="Q21" s="8">
        <v>0.74099999999999999</v>
      </c>
      <c r="S21" s="7">
        <v>1</v>
      </c>
      <c r="T21" s="8">
        <v>1</v>
      </c>
      <c r="W21">
        <v>1</v>
      </c>
      <c r="Y21" s="7"/>
      <c r="Z21" s="8">
        <v>1</v>
      </c>
      <c r="AD21" s="7"/>
      <c r="AE21" s="8">
        <v>1</v>
      </c>
      <c r="AJ21">
        <v>2</v>
      </c>
      <c r="AK21" s="105">
        <v>0.14239890748237272</v>
      </c>
      <c r="AL21" s="25"/>
      <c r="AM21">
        <v>0.10099232644461863</v>
      </c>
      <c r="AO21">
        <v>1.3233051284127279E-4</v>
      </c>
      <c r="AQ21">
        <v>-8.4031778063203173E-3</v>
      </c>
      <c r="AS21">
        <v>-1.7329578000996938E-3</v>
      </c>
      <c r="AU21">
        <v>-1.3059980654190814E-4</v>
      </c>
      <c r="AW21">
        <v>-7.7780830153978743E-6</v>
      </c>
      <c r="AY21" s="25">
        <v>4.6631672868142286E-2</v>
      </c>
      <c r="AZ21" s="25"/>
      <c r="BA21">
        <v>2.1865156898216969E-4</v>
      </c>
      <c r="BB21">
        <v>1.9408027202089717E-4</v>
      </c>
      <c r="BD21">
        <v>-7.8012843986663876E-6</v>
      </c>
      <c r="BE21">
        <v>1.165204854527888E-4</v>
      </c>
      <c r="BG21">
        <v>1.3233051284127279E-4</v>
      </c>
      <c r="BI21">
        <v>-2.8633905653051104E-3</v>
      </c>
      <c r="BJ21">
        <v>-2.5416127695923555E-3</v>
      </c>
      <c r="BL21">
        <v>-9.8347605444188462E-5</v>
      </c>
      <c r="BM21">
        <v>-1.7020857325983835E-3</v>
      </c>
      <c r="BO21">
        <v>-1.7329578000996938E-3</v>
      </c>
      <c r="BQ21">
        <v>-1.285183604653786E-5</v>
      </c>
      <c r="BR21">
        <v>-1.1407591756560595E-5</v>
      </c>
      <c r="BT21">
        <v>5.6660530419824062E-7</v>
      </c>
      <c r="BU21">
        <v>-7.3139889222953189E-6</v>
      </c>
      <c r="BW21">
        <v>-7.7780830153978743E-6</v>
      </c>
    </row>
    <row r="22" spans="10:88" ht="15.75" thickBot="1" x14ac:dyDescent="0.3">
      <c r="K22" s="9">
        <v>2</v>
      </c>
      <c r="L22" s="14">
        <v>0.67200000000000004</v>
      </c>
      <c r="M22" s="11">
        <v>0.74099999999999999</v>
      </c>
      <c r="O22" s="9">
        <v>2</v>
      </c>
      <c r="P22" s="14">
        <v>-0.50700000000000001</v>
      </c>
      <c r="Q22" s="11">
        <v>0.89100000000000001</v>
      </c>
      <c r="S22" s="9">
        <v>2</v>
      </c>
      <c r="T22" s="11">
        <v>1</v>
      </c>
      <c r="V22">
        <v>1</v>
      </c>
      <c r="W22" cm="1">
        <f t="array" ref="W22:W24">TRANSPOSE(MMULT(TRANSPOSE(W7:W18),Z7:AB18)+TRANSPOSE(Z22:Z24))</f>
        <v>0.26832912791033059</v>
      </c>
      <c r="Y22" s="7">
        <v>1</v>
      </c>
      <c r="Z22" s="8">
        <v>1</v>
      </c>
      <c r="AD22" s="7">
        <v>1</v>
      </c>
      <c r="AE22" s="8">
        <f>W34</f>
        <v>4.111001239082486E-2</v>
      </c>
      <c r="AK22" s="25"/>
      <c r="AL22" s="25"/>
      <c r="AY22" s="25"/>
      <c r="AZ22" s="25"/>
      <c r="BY22" s="4"/>
      <c r="BZ22" s="53" t="s">
        <v>50</v>
      </c>
      <c r="CA22" s="5"/>
      <c r="CB22" s="6"/>
      <c r="CD22" s="4"/>
      <c r="CE22" s="52" t="s">
        <v>52</v>
      </c>
    </row>
    <row r="23" spans="10:88" ht="21" x14ac:dyDescent="0.35">
      <c r="V23">
        <v>2</v>
      </c>
      <c r="W23">
        <v>1.6355896446690827</v>
      </c>
      <c r="Y23" s="7">
        <v>2</v>
      </c>
      <c r="Z23" s="8">
        <v>1</v>
      </c>
      <c r="AD23" s="7">
        <v>2</v>
      </c>
      <c r="AE23" s="8">
        <f>W35</f>
        <v>3.0317187154082171E-3</v>
      </c>
      <c r="AK23" s="56" t="s">
        <v>114</v>
      </c>
      <c r="AL23" s="25"/>
      <c r="AY23" s="25"/>
      <c r="AZ23" s="25"/>
      <c r="BA23" s="55" t="s">
        <v>114</v>
      </c>
      <c r="BY23" s="7"/>
      <c r="BZ23" s="32">
        <v>1</v>
      </c>
      <c r="CA23" s="32">
        <v>2</v>
      </c>
      <c r="CB23" s="8">
        <v>3</v>
      </c>
      <c r="CD23" s="7"/>
      <c r="CE23" s="8">
        <v>1</v>
      </c>
    </row>
    <row r="24" spans="10:88" ht="21.75" thickBot="1" x14ac:dyDescent="0.4">
      <c r="K24" s="55" t="s">
        <v>108</v>
      </c>
      <c r="V24">
        <v>3</v>
      </c>
      <c r="W24">
        <v>2.0362625393993259</v>
      </c>
      <c r="Y24" s="9">
        <v>3</v>
      </c>
      <c r="Z24" s="11">
        <v>1</v>
      </c>
      <c r="AD24" s="9">
        <v>3</v>
      </c>
      <c r="AE24" s="11">
        <f>W36</f>
        <v>0.54694158348053468</v>
      </c>
      <c r="AK24" s="25" t="s">
        <v>109</v>
      </c>
      <c r="AL24" s="25"/>
      <c r="AM24" t="s">
        <v>116</v>
      </c>
      <c r="AO24" t="s">
        <v>117</v>
      </c>
      <c r="AQ24" t="s">
        <v>118</v>
      </c>
      <c r="AS24" t="s">
        <v>119</v>
      </c>
      <c r="AU24" t="s">
        <v>120</v>
      </c>
      <c r="AW24" t="s">
        <v>121</v>
      </c>
      <c r="AY24" s="25" t="s">
        <v>126</v>
      </c>
      <c r="AZ24" s="25"/>
      <c r="BA24" t="s">
        <v>127</v>
      </c>
      <c r="BD24" t="s">
        <v>128</v>
      </c>
      <c r="BG24" t="s">
        <v>129</v>
      </c>
      <c r="BI24" t="s">
        <v>134</v>
      </c>
      <c r="BL24" t="s">
        <v>132</v>
      </c>
      <c r="BO24" t="s">
        <v>130</v>
      </c>
      <c r="BQ24" t="s">
        <v>135</v>
      </c>
      <c r="BT24" t="s">
        <v>133</v>
      </c>
      <c r="BW24" t="s">
        <v>131</v>
      </c>
      <c r="BY24" s="7">
        <v>1</v>
      </c>
      <c r="BZ24" s="32" cm="1">
        <f t="array" ref="BZ24">SUM($BZ$15:$CD$20*CJ5:CN10)</f>
        <v>0</v>
      </c>
      <c r="CA24" s="32" cm="1">
        <f t="array" ref="CA24">SUM($BZ$15:$CD$20*CK5:CO10)</f>
        <v>-9.1857331997276281E-5</v>
      </c>
      <c r="CB24" s="8" cm="1">
        <f t="array" ref="CB24">SUM($BZ$15:$CD$20*CL5:CP10)</f>
        <v>-3.9318159169828758E-4</v>
      </c>
      <c r="CD24" s="9">
        <v>1</v>
      </c>
      <c r="CE24" s="11">
        <f>SUM(BA56:BA61)</f>
        <v>9.0576398051235046E-2</v>
      </c>
    </row>
    <row r="25" spans="10:88" ht="15.75" thickBot="1" x14ac:dyDescent="0.3">
      <c r="K25" t="s">
        <v>102</v>
      </c>
      <c r="L25" s="18" t="s">
        <v>103</v>
      </c>
      <c r="N25" t="s">
        <v>104</v>
      </c>
      <c r="O25" s="18" t="s">
        <v>103</v>
      </c>
      <c r="Q25" t="s">
        <v>125</v>
      </c>
      <c r="R25" s="18" t="s">
        <v>105</v>
      </c>
      <c r="T25" s="18" t="s">
        <v>106</v>
      </c>
      <c r="AK25" s="25">
        <v>1</v>
      </c>
      <c r="AL25" s="25"/>
      <c r="AM25">
        <v>1</v>
      </c>
      <c r="AO25">
        <v>1</v>
      </c>
      <c r="AQ25">
        <v>1</v>
      </c>
      <c r="AS25">
        <v>1</v>
      </c>
      <c r="AU25">
        <v>1</v>
      </c>
      <c r="AW25">
        <v>1</v>
      </c>
      <c r="AY25" s="25">
        <v>1</v>
      </c>
      <c r="AZ25" s="25"/>
      <c r="BA25">
        <v>1</v>
      </c>
      <c r="BB25">
        <v>2</v>
      </c>
      <c r="BD25">
        <v>1</v>
      </c>
      <c r="BE25">
        <v>2</v>
      </c>
      <c r="BG25">
        <v>1</v>
      </c>
      <c r="BI25">
        <v>1</v>
      </c>
      <c r="BJ25">
        <v>2</v>
      </c>
      <c r="BL25">
        <v>1</v>
      </c>
      <c r="BM25">
        <v>2</v>
      </c>
      <c r="BO25">
        <v>1</v>
      </c>
      <c r="BQ25">
        <v>1</v>
      </c>
      <c r="BR25">
        <v>2</v>
      </c>
      <c r="BT25">
        <v>1</v>
      </c>
      <c r="BU25">
        <v>2</v>
      </c>
      <c r="BW25">
        <v>1</v>
      </c>
      <c r="BY25" s="7">
        <v>2</v>
      </c>
      <c r="BZ25" s="32" cm="1">
        <f t="array" ref="BZ25">SUM($BZ$15:$CD$20*CJ6:CN11)</f>
        <v>8.0354202943112935E-2</v>
      </c>
      <c r="CA25" s="32" cm="1">
        <f t="array" ref="CA25">SUM($BZ$15:$CD$20*CK6:CO11)</f>
        <v>0.12273079776730117</v>
      </c>
      <c r="CB25" s="8" cm="1">
        <f t="array" ref="CB25">SUM($BZ$15:$CD$20*CL6:CP11)</f>
        <v>-2.5985998415889173E-4</v>
      </c>
    </row>
    <row r="26" spans="10:88" x14ac:dyDescent="0.25">
      <c r="K26">
        <v>1</v>
      </c>
      <c r="L26" s="19">
        <v>1</v>
      </c>
      <c r="N26">
        <v>1</v>
      </c>
      <c r="O26" s="19">
        <v>1</v>
      </c>
      <c r="Q26">
        <v>1</v>
      </c>
      <c r="R26" s="19">
        <v>1</v>
      </c>
      <c r="T26" s="19">
        <v>1</v>
      </c>
      <c r="V26" s="4"/>
      <c r="W26" s="53" t="s">
        <v>70</v>
      </c>
      <c r="X26" s="6"/>
      <c r="AE26" t="s">
        <v>82</v>
      </c>
      <c r="AJ26">
        <v>1</v>
      </c>
      <c r="AK26" s="104" cm="1">
        <f t="array" ref="AK26:AK27">TRANSPOSE(_xlfn.ANCHORARRAY(AE73))+_xlfn.ANCHORARRAY(AY20)</f>
        <v>-0.26993737523118794</v>
      </c>
      <c r="AL26" s="25"/>
      <c r="AM26" cm="1">
        <f t="array" ref="AM26:AM27">_xlfn.ANCHORARRAY(AK26)*(1-$O$39:$O$40)</f>
        <v>-3.88298755015897E-2</v>
      </c>
      <c r="AO26" cm="1">
        <f t="array" ref="AO26:AO27">_xlfn.ANCHORARRAY(AM26)*(1-$R$39:$R$40*$R$39:$R$40)</f>
        <v>-3.334996767103447E-3</v>
      </c>
      <c r="AQ26" cm="1">
        <f t="array" ref="AQ26:AQ27">_xlfn.ANCHORARRAY(AK26)*(_xlfn.ANCHORARRAY(T33)-$R$39:$R$40)</f>
        <v>0.32441544980771037</v>
      </c>
      <c r="AS26" cm="1">
        <f t="array" ref="AS26:AS27">_xlfn.ANCHORARRAY(AQ26)*($O$39:$O$40*(1-$O$39:$O$40))</f>
        <v>3.995356386825101E-2</v>
      </c>
      <c r="AU26" cm="1">
        <f t="array" ref="AU26:AU27">MMULT(TRANSPOSE($P$21:$Q$22),_xlfn.ANCHORARRAY(AO26))*_xlfn.ANCHORARRAY(T39)</f>
        <v>1.5383080184315268E-4</v>
      </c>
      <c r="AW26" cm="1">
        <f t="array" ref="AW26:AW27">_xlfn.ANCHORARRAY(AU26)*($L$39:$L$40*(1-$L$39:$L$40))</f>
        <v>2.0310120220556641E-5</v>
      </c>
      <c r="AY26" s="25" cm="1">
        <f t="array" ref="AY26:AY27">_xlfn.ANCHORARRAY(AK26)*$O$39:$O$40+MMULT(TRANSPOSE($P$21:$Q$22),_xlfn.ANCHORARRAY(AO26))*$L$39:$L$40+MMULT(TRANSPOSE($P$16:$Q$17),_xlfn.ANCHORARRAY(AS26))+MMULT(TRANSPOSE($P$11:$Q$12),_xlfn.ANCHORARRAY(AW26))</f>
        <v>-0.22278232812522886</v>
      </c>
      <c r="AZ26" s="25"/>
      <c r="BA26" cm="1">
        <f t="array" ref="BA26:BB27">MMULT(_xlfn.ANCHORARRAY(AO26),TRANSPOSE($E$14:$E$15))</f>
        <v>-5.7046498222785508E-3</v>
      </c>
      <c r="BB26">
        <v>-5.1393927339026136E-3</v>
      </c>
      <c r="BD26" cm="1">
        <f t="array" ref="BD26:BE27">MMULT(_xlfn.ANCHORARRAY(AO26),TRANSPOSE($L$39:$L$40*_xlfn.ANCHORARRAY(T33)))</f>
        <v>6.9121653572089346E-4</v>
      </c>
      <c r="BE26">
        <v>-2.3932658627616489E-3</v>
      </c>
      <c r="BG26" cm="1">
        <f t="array" ref="BG26:BG27">_xlfn.ANCHORARRAY(AO26)</f>
        <v>-3.334996767103447E-3</v>
      </c>
      <c r="BI26" cm="1">
        <f t="array" ref="BI26:BJ27">MMULT(_xlfn.ANCHORARRAY(AS26),TRANSPOSE($E$14:$E$15))</f>
        <v>6.8342222477885559E-2</v>
      </c>
      <c r="BJ26">
        <v>6.1570391270977194E-2</v>
      </c>
      <c r="BL26" cm="1">
        <f t="array" ref="BL26:BM27">MMULT(_xlfn.ANCHORARRAY(AS26),TRANSPOSE(_xlfn.ANCHORARRAY(T33)))</f>
        <v>-9.8175932168182885E-3</v>
      </c>
      <c r="BM26">
        <v>3.0494277841810247E-2</v>
      </c>
      <c r="BO26" cm="1">
        <f t="array" ref="BO26:BO27">_xlfn.ANCHORARRAY(AS26)</f>
        <v>3.995356386825101E-2</v>
      </c>
      <c r="BQ26" cm="1">
        <f t="array" ref="BQ26:BR27">MMULT(_xlfn.ANCHORARRAY(AW26),TRANSPOSE($E$14:$E$15))</f>
        <v>3.4741300156426974E-5</v>
      </c>
      <c r="BR26">
        <v>3.1298886198584301E-5</v>
      </c>
      <c r="BT26" cm="1">
        <f t="array" ref="BT26:BU27">MMULT(_xlfn.ANCHORARRAY(AW26),TRANSPOSE(_xlfn.ANCHORARRAY(T33)))</f>
        <v>-4.9907061900065121E-6</v>
      </c>
      <c r="BU26">
        <v>1.5501557033773938E-5</v>
      </c>
      <c r="BW26" cm="1">
        <f t="array" ref="BW26:BW27">_xlfn.ANCHORARRAY(AW26)</f>
        <v>2.0310120220556641E-5</v>
      </c>
      <c r="BY26" s="7">
        <v>3</v>
      </c>
      <c r="BZ26" s="32" cm="1">
        <f t="array" ref="BZ26">SUM($BZ$15:$CD$20*CJ7:CN12)</f>
        <v>0.14836961397394333</v>
      </c>
      <c r="CA26" s="32" cm="1">
        <f t="array" ref="CA26">SUM($BZ$15:$CD$20*CK7:CO12)</f>
        <v>0.12440521032285405</v>
      </c>
      <c r="CB26" s="8" cm="1">
        <f t="array" ref="CB26">SUM($BZ$15:$CD$20*CL7:CP12)</f>
        <v>-5.9288150760437451E-4</v>
      </c>
    </row>
    <row r="27" spans="10:88" x14ac:dyDescent="0.25">
      <c r="J27">
        <v>1</v>
      </c>
      <c r="K27" cm="1">
        <f t="array" ref="K27:K28">MMULT($L$11:$M$12,$C$14:$C$15)+MMULT($P$11:$Q$12,$L$6:$L$7)+$T$11:$T$12</f>
        <v>6.0358621466238116</v>
      </c>
      <c r="L27" s="19">
        <f>1/(1+EXP(-K27))</f>
        <v>0.99761427144040349</v>
      </c>
      <c r="N27" cm="1">
        <f t="array" ref="N27:N28">MMULT($L$16:$M$17,$C$14:$C$15)+MMULT($P$16:$Q$17,$L$6:$L$7)+$T$16:$T$17</f>
        <v>-0.87587003337305713</v>
      </c>
      <c r="O27" s="19">
        <f>1/(1+EXP(-N27))</f>
        <v>0.29403433989034028</v>
      </c>
      <c r="Q27" cm="1">
        <f t="array" ref="Q27:Q28">MMULT($L$21:$M$22,$C$14:$C$15)+MMULT($P$21:$Q$22,$L$27:$L$28*$L$6:$L$7)+$T$21:$T$22</f>
        <v>-0.9276109992367978</v>
      </c>
      <c r="R27" s="19">
        <f>(EXP(Q27)-EXP(-Q27))/(EXP(Q27)+EXP(-Q27))</f>
        <v>-0.72947812081707264</v>
      </c>
      <c r="T27" s="90" cm="1">
        <f t="array" ref="T27:T28">O27:O28*L6:L7+(1-O27:O28)*R27:R28</f>
        <v>-0.27828885948645488</v>
      </c>
      <c r="V27" s="7"/>
      <c r="W27">
        <v>1</v>
      </c>
      <c r="X27" s="8"/>
      <c r="AE27">
        <v>1</v>
      </c>
      <c r="AJ27">
        <v>2</v>
      </c>
      <c r="AK27" s="105">
        <v>-0.27266769937933588</v>
      </c>
      <c r="AL27" s="25"/>
      <c r="AM27">
        <v>-0.20448986501364477</v>
      </c>
      <c r="AO27">
        <v>-2.5523300322117089E-4</v>
      </c>
      <c r="AQ27">
        <v>6.4385769679329824E-2</v>
      </c>
      <c r="AS27">
        <v>1.2073619759304308E-2</v>
      </c>
      <c r="AU27">
        <v>-2.537625419299271E-3</v>
      </c>
      <c r="AW27">
        <v>-1.4261511368271116E-4</v>
      </c>
      <c r="AY27" s="25">
        <v>-3.2612782293852026E-2</v>
      </c>
      <c r="AZ27" s="25"/>
      <c r="BA27">
        <v>-4.3658660207034311E-4</v>
      </c>
      <c r="BB27">
        <v>-3.9332651088184388E-4</v>
      </c>
      <c r="BD27">
        <v>5.2899983001004519E-5</v>
      </c>
      <c r="BE27">
        <v>-1.8316072737602592E-4</v>
      </c>
      <c r="BG27">
        <v>-2.5523300322117089E-4</v>
      </c>
      <c r="BI27">
        <v>2.065242566156817E-2</v>
      </c>
      <c r="BJ27">
        <v>1.8606037125716603E-2</v>
      </c>
      <c r="BL27">
        <v>-2.9667913441279231E-3</v>
      </c>
      <c r="BM27">
        <v>9.2151057340135317E-3</v>
      </c>
      <c r="BO27">
        <v>1.2073619759304308E-2</v>
      </c>
      <c r="BQ27">
        <v>-2.4394904695242774E-4</v>
      </c>
      <c r="BR27">
        <v>-2.197768484322149E-4</v>
      </c>
      <c r="BT27">
        <v>3.5044112142891197E-5</v>
      </c>
      <c r="BU27">
        <v>-1.0884998683528768E-4</v>
      </c>
      <c r="BW27">
        <v>-1.4261511368271116E-4</v>
      </c>
      <c r="BY27" s="7">
        <v>4</v>
      </c>
      <c r="BZ27" s="32" cm="1">
        <f t="array" ref="BZ27">SUM($BZ$15:$CD$20*CJ8:CN13)</f>
        <v>0.1075713194462303</v>
      </c>
      <c r="CA27" s="32" cm="1">
        <f t="array" ref="CA27">SUM($BZ$15:$CD$20*CK8:CO13)</f>
        <v>5.1512861676620988E-2</v>
      </c>
      <c r="CB27" s="8" cm="1">
        <f t="array" ref="CB27">SUM($BZ$15:$CD$20*CL8:CP13)</f>
        <v>-6.7204319157820826E-4</v>
      </c>
    </row>
    <row r="28" spans="10:88" ht="15.75" thickBot="1" x14ac:dyDescent="0.3">
      <c r="J28">
        <v>2</v>
      </c>
      <c r="K28">
        <v>1.3019356599085703</v>
      </c>
      <c r="L28" s="20">
        <f>1/(1+EXP(-K28))</f>
        <v>0.78616057119261973</v>
      </c>
      <c r="N28">
        <v>-0.1365968327808762</v>
      </c>
      <c r="O28" s="20">
        <f>1/(1+EXP(-N28))</f>
        <v>0.46590379122122061</v>
      </c>
      <c r="Q28">
        <v>3.9308301168019657</v>
      </c>
      <c r="R28" s="20">
        <f>(EXP(Q28)-EXP(-Q28))/(EXP(Q28)+EXP(-Q28))</f>
        <v>0.99922982917157277</v>
      </c>
      <c r="T28" s="91">
        <v>7.8496859436071875E-2</v>
      </c>
      <c r="V28" s="7">
        <v>1</v>
      </c>
      <c r="W28">
        <f>1/(1+EXP(-W22))</f>
        <v>0.56668266240914977</v>
      </c>
      <c r="X28" s="8" t="s">
        <v>42</v>
      </c>
      <c r="AD28">
        <v>1</v>
      </c>
      <c r="AE28" s="85" cm="1">
        <f t="array" ref="AE28">SUM(MMULT(TRANSPOSE($W$34:$W$36),TRANSPOSE(Z7:AB7)))</f>
        <v>-0.43306357686626545</v>
      </c>
      <c r="AK28" s="25"/>
      <c r="AL28" s="25"/>
      <c r="AY28" s="25"/>
      <c r="AZ28" s="25"/>
      <c r="BY28" s="9">
        <v>5</v>
      </c>
      <c r="BZ28" s="14" cm="1">
        <f t="array" ref="BZ28">SUM($BZ$15:$CD$20*CJ9:CN14)</f>
        <v>-4.9883587216216323E-2</v>
      </c>
      <c r="CA28" s="14" cm="1">
        <f t="array" ref="CA28">SUM($BZ$15:$CD$20*CK9:CO14)</f>
        <v>-5.3964322572653343E-2</v>
      </c>
      <c r="CB28" s="11" cm="1">
        <f t="array" ref="CB28">SUM($BZ$15:$CD$20*CL9:CP14)</f>
        <v>0</v>
      </c>
    </row>
    <row r="29" spans="10:88" ht="21" x14ac:dyDescent="0.35">
      <c r="V29" s="7">
        <v>2</v>
      </c>
      <c r="W29">
        <f t="shared" ref="W29" si="5">1/(1+EXP(-W23))</f>
        <v>0.83693392591623439</v>
      </c>
      <c r="X29" s="8" t="s">
        <v>43</v>
      </c>
      <c r="AD29">
        <v>2</v>
      </c>
      <c r="AE29" s="85" cm="1">
        <f t="array" ref="AE29">SUM(MMULT(TRANSPOSE($W$34:$W$36),TRANSPOSE(Z8:AB8)))</f>
        <v>0.50304887877126403</v>
      </c>
      <c r="AK29" s="56" t="s">
        <v>115</v>
      </c>
      <c r="AL29" s="25"/>
      <c r="AY29" s="25"/>
      <c r="AZ29" s="25"/>
      <c r="BA29" s="55" t="s">
        <v>115</v>
      </c>
    </row>
    <row r="30" spans="10:88" ht="21.75" thickBot="1" x14ac:dyDescent="0.4">
      <c r="K30" s="55" t="s">
        <v>115</v>
      </c>
      <c r="V30" s="9">
        <v>3</v>
      </c>
      <c r="W30" s="14">
        <f>1/(1+EXP(-W24))</f>
        <v>0.88455214801069848</v>
      </c>
      <c r="X30" s="11" t="s">
        <v>44</v>
      </c>
      <c r="AD30">
        <v>3</v>
      </c>
      <c r="AE30" s="85" cm="1">
        <f t="array" ref="AE30">SUM(MMULT(TRANSPOSE($W$34:$W$36),TRANSPOSE(Z9:AB9)))</f>
        <v>-9.0722243044248738E-2</v>
      </c>
      <c r="AK30" s="25" t="s">
        <v>109</v>
      </c>
      <c r="AL30" s="25"/>
      <c r="AM30" t="s">
        <v>116</v>
      </c>
      <c r="AO30" t="s">
        <v>117</v>
      </c>
      <c r="AQ30" t="s">
        <v>118</v>
      </c>
      <c r="AS30" t="s">
        <v>119</v>
      </c>
      <c r="AU30" t="s">
        <v>120</v>
      </c>
      <c r="AW30" t="s">
        <v>121</v>
      </c>
      <c r="AY30" s="25" t="s">
        <v>126</v>
      </c>
      <c r="AZ30" s="25"/>
      <c r="BA30" t="s">
        <v>127</v>
      </c>
      <c r="BD30" t="s">
        <v>128</v>
      </c>
      <c r="BG30" t="s">
        <v>129</v>
      </c>
      <c r="BI30" t="s">
        <v>134</v>
      </c>
      <c r="BL30" t="s">
        <v>132</v>
      </c>
      <c r="BO30" t="s">
        <v>130</v>
      </c>
      <c r="BQ30" t="s">
        <v>135</v>
      </c>
      <c r="BT30" t="s">
        <v>133</v>
      </c>
      <c r="BW30" t="s">
        <v>131</v>
      </c>
    </row>
    <row r="31" spans="10:88" ht="27" thickBot="1" x14ac:dyDescent="0.45">
      <c r="K31" t="s">
        <v>102</v>
      </c>
      <c r="L31" s="18" t="s">
        <v>103</v>
      </c>
      <c r="N31" t="s">
        <v>104</v>
      </c>
      <c r="O31" s="18" t="s">
        <v>103</v>
      </c>
      <c r="Q31" t="s">
        <v>125</v>
      </c>
      <c r="R31" s="18" t="s">
        <v>105</v>
      </c>
      <c r="T31" s="18" t="s">
        <v>106</v>
      </c>
      <c r="AD31">
        <v>4</v>
      </c>
      <c r="AE31" s="85" cm="1">
        <f t="array" ref="AE31">SUM(MMULT(TRANSPOSE($W$34:$W$36),TRANSPOSE(Z10:AB10)))</f>
        <v>8.9155713741136955E-2</v>
      </c>
      <c r="AK31" s="25">
        <v>1</v>
      </c>
      <c r="AL31" s="25"/>
      <c r="AM31">
        <v>1</v>
      </c>
      <c r="AO31">
        <v>1</v>
      </c>
      <c r="AQ31">
        <v>1</v>
      </c>
      <c r="AS31">
        <v>1</v>
      </c>
      <c r="AU31">
        <v>1</v>
      </c>
      <c r="AW31">
        <v>1</v>
      </c>
      <c r="AY31" s="25">
        <v>1</v>
      </c>
      <c r="AZ31" s="25"/>
      <c r="BA31">
        <v>1</v>
      </c>
      <c r="BB31">
        <v>2</v>
      </c>
      <c r="BD31">
        <v>1</v>
      </c>
      <c r="BE31">
        <v>2</v>
      </c>
      <c r="BG31">
        <v>1</v>
      </c>
      <c r="BI31">
        <v>1</v>
      </c>
      <c r="BJ31">
        <v>2</v>
      </c>
      <c r="BL31">
        <v>1</v>
      </c>
      <c r="BM31">
        <v>2</v>
      </c>
      <c r="BO31">
        <v>1</v>
      </c>
      <c r="BQ31">
        <v>1</v>
      </c>
      <c r="BR31">
        <v>2</v>
      </c>
      <c r="BT31">
        <v>1</v>
      </c>
      <c r="BU31">
        <v>2</v>
      </c>
      <c r="BW31">
        <v>1</v>
      </c>
      <c r="BZ31" s="54" t="s">
        <v>87</v>
      </c>
    </row>
    <row r="32" spans="10:88" ht="27" thickBot="1" x14ac:dyDescent="0.45">
      <c r="K32">
        <v>1</v>
      </c>
      <c r="L32" s="19">
        <v>1</v>
      </c>
      <c r="N32">
        <v>1</v>
      </c>
      <c r="O32" s="19">
        <v>1</v>
      </c>
      <c r="Q32">
        <v>1</v>
      </c>
      <c r="R32" s="19">
        <v>1</v>
      </c>
      <c r="T32" s="19">
        <v>1</v>
      </c>
      <c r="V32" s="4"/>
      <c r="W32" s="53" t="s">
        <v>73</v>
      </c>
      <c r="X32" s="6"/>
      <c r="AD32">
        <v>5</v>
      </c>
      <c r="AE32" s="85" cm="1">
        <f t="array" ref="AE32">SUM(MMULT(TRANSPOSE($W$34:$W$36),TRANSPOSE(Z11:AB11)))</f>
        <v>7.033954883027603E-2</v>
      </c>
      <c r="AJ32">
        <v>1</v>
      </c>
      <c r="AK32" s="104" cm="1">
        <f t="array" ref="AK32:AK33">TRANSPOSE(_xlfn.ANCHORARRAY(AE74))+_xlfn.ANCHORARRAY(AY26)</f>
        <v>-0.35014035794682796</v>
      </c>
      <c r="AL32" s="25"/>
      <c r="AM32" cm="1">
        <f t="array" ref="AM32:AM33">_xlfn.ANCHORARRAY(AK32)*(1-$O$33:$O$34)</f>
        <v>-0.13075668252328962</v>
      </c>
      <c r="AO32" cm="1">
        <f t="array" ref="AO32:AO33">_xlfn.ANCHORARRAY(AM32)*(1-$R$33:$R$34*$R$33:$R$34)</f>
        <v>-0.12598207257067251</v>
      </c>
      <c r="AQ32" cm="1">
        <f t="array" ref="AQ32:AQ33">_xlfn.ANCHORARRAY(AK32)*(_xlfn.ANCHORARRAY(T27)-$R$33:$R$34)</f>
        <v>3.0531987408020496E-2</v>
      </c>
      <c r="AS32" cm="1">
        <f t="array" ref="AS32:AS33">_xlfn.ANCHORARRAY(AQ32)*($O$33:$O$34*(1-$O$33:$O$34))</f>
        <v>7.1439586697496808E-3</v>
      </c>
      <c r="AU32" cm="1">
        <f t="array" ref="AU32:AU33">MMULT(TRANSPOSE($P$21:$Q$22),_xlfn.ANCHORARRAY(AO32))*_xlfn.ANCHORARRAY(T27)</f>
        <v>2.3578672508876113E-2</v>
      </c>
      <c r="AW32" cm="1">
        <f t="array" ref="AW32:AW33">_xlfn.ANCHORARRAY(AU32)*($L$33:$L$34*(1-$L$33:$L$34))</f>
        <v>3.42566956183788E-4</v>
      </c>
      <c r="AY32" s="25" cm="1">
        <f t="array" ref="AY32:AY33">_xlfn.ANCHORARRAY(AK32)*$O$33:$O$34+MMULT(TRANSPOSE($P$21:$Q$22),_xlfn.ANCHORARRAY(AO32))*$L$33:$L$34+MMULT(TRANSPOSE($P$16:$Q$17),_xlfn.ANCHORARRAY(AS32))+MMULT(TRANSPOSE($P$11:$Q$12),_xlfn.ANCHORARRAY(AW32))</f>
        <v>-0.35582811854719654</v>
      </c>
      <c r="AZ32" s="25"/>
      <c r="BA32" cm="1">
        <f t="array" ref="BA32:BB33">MMULT(_xlfn.ANCHORARRAY(AO32),TRANSPOSE($D$14:$D$15))</f>
        <v>-0.47852485261881356</v>
      </c>
      <c r="BB32">
        <v>-0.12235319476433815</v>
      </c>
      <c r="BD32" cm="1">
        <f t="array" ref="BD32:BE33">MMULT(_xlfn.ANCHORARRAY(AO32),TRANSPOSE($L$33:$L$34*_xlfn.ANCHORARRAY(T27)))</f>
        <v>3.4542416821692082E-2</v>
      </c>
      <c r="BE32">
        <v>-8.7076398073115107E-3</v>
      </c>
      <c r="BG32" cm="1">
        <f t="array" ref="BG32:BG33">_xlfn.ANCHORARRAY(AO32)</f>
        <v>-0.12598207257067251</v>
      </c>
      <c r="BI32" cm="1">
        <f t="array" ref="BI32:BJ33">MMULT(_xlfn.ANCHORARRAY(AS32),TRANSPOSE($D$14:$D$15))</f>
        <v>2.7135303458665844E-2</v>
      </c>
      <c r="BJ32">
        <v>6.9381789700111995E-3</v>
      </c>
      <c r="BL32" cm="1">
        <f t="array" ref="BL32:BM33">MMULT(_xlfn.ANCHORARRAY(AS32),TRANSPOSE(_xlfn.ANCHORARRAY(T27)))</f>
        <v>-1.9880841104230099E-3</v>
      </c>
      <c r="BM32">
        <v>5.6077831951644775E-4</v>
      </c>
      <c r="BO32" cm="1">
        <f t="array" ref="BO32:BO33">_xlfn.ANCHORARRAY(AS32)</f>
        <v>7.1439586697496808E-3</v>
      </c>
      <c r="BQ32" cm="1">
        <f t="array" ref="BQ32:BR33">MMULT(_xlfn.ANCHORARRAY(AW32),TRANSPOSE($D$14:$D$15))</f>
        <v>1.3011915018937654E-3</v>
      </c>
      <c r="BR32">
        <v>3.3269941234113925E-4</v>
      </c>
      <c r="BT32" cm="1">
        <f t="array" ref="BT32:BU33">MMULT(_xlfn.ANCHORARRAY(AW32),TRANSPOSE(_xlfn.ANCHORARRAY(T27)))</f>
        <v>-9.5332567534132728E-5</v>
      </c>
      <c r="BU32">
        <v>2.6890430207001799E-5</v>
      </c>
      <c r="BW32" cm="1">
        <f t="array" ref="BW32:BW33">_xlfn.ANCHORARRAY(AW32)</f>
        <v>3.42566956183788E-4</v>
      </c>
      <c r="BZ32" s="54" t="s">
        <v>56</v>
      </c>
      <c r="CH32">
        <v>0</v>
      </c>
      <c r="CI32">
        <v>0</v>
      </c>
      <c r="CJ32">
        <v>0</v>
      </c>
    </row>
    <row r="33" spans="10:88" x14ac:dyDescent="0.25">
      <c r="J33">
        <v>1</v>
      </c>
      <c r="K33" cm="1">
        <f t="array" ref="K33:K34">MMULT($L$11:$M$12,$D$14:$D$15)+MMULT($P$11:$Q$12,_xlfn.ANCHORARRAY(T27))+$T$11:$T$12</f>
        <v>4.2019188803617809</v>
      </c>
      <c r="L33" s="19">
        <f>1/(1+EXP(-K33))</f>
        <v>0.98525387307769741</v>
      </c>
      <c r="N33" cm="1">
        <f t="array" ref="N33:N34">MMULT($L$16:$M$17,$D$14:$D$15)+MMULT($P$16:$Q$17,_xlfn.ANCHORARRAY(T27))+$T$16:$T$17</f>
        <v>0.51748392872466498</v>
      </c>
      <c r="O33" s="19">
        <f>1/(1+EXP(-N33))</f>
        <v>0.62655923673001379</v>
      </c>
      <c r="Q33" cm="1">
        <f t="array" ref="Q33:Q34">MMULT($L$21:$M$22,$D$14:$D$15)+MMULT($P$21:$Q$22,$L$33:$L$34*_xlfn.ANCHORARRAY(T27))+$T$21:$T$22</f>
        <v>-0.19346779808950254</v>
      </c>
      <c r="R33" s="19">
        <f>(EXP(Q33)-EXP(-Q33))/(EXP(Q33)+EXP(-Q33))</f>
        <v>-0.19108957864075168</v>
      </c>
      <c r="T33" s="90" cm="1">
        <f t="array" ref="T33:T34">O33:O34*_xlfn.ANCHORARRAY(T27)+(1-O33:O34)*R33:R34</f>
        <v>-0.24572509349084157</v>
      </c>
      <c r="V33" s="7"/>
      <c r="W33">
        <v>1</v>
      </c>
      <c r="X33" s="21" t="s">
        <v>78</v>
      </c>
      <c r="AD33">
        <v>6</v>
      </c>
      <c r="AE33" s="85" cm="1">
        <f t="array" ref="AE33">SUM(MMULT(TRANSPOSE($W$34:$W$36),TRANSPOSE(Z12:AB12)))</f>
        <v>0.44025399887646066</v>
      </c>
      <c r="AJ33">
        <v>2</v>
      </c>
      <c r="AK33" s="105">
        <v>0.34307806665581286</v>
      </c>
      <c r="AL33" s="25"/>
      <c r="AM33">
        <v>0.25500492415502179</v>
      </c>
      <c r="AO33">
        <v>1.3289732228615025E-4</v>
      </c>
      <c r="AQ33">
        <v>-0.31605810565091574</v>
      </c>
      <c r="AS33">
        <v>-6.0307744181782273E-2</v>
      </c>
      <c r="AU33">
        <v>-7.3186000761730164E-3</v>
      </c>
      <c r="AW33">
        <v>-7.6994760979623021E-4</v>
      </c>
      <c r="AY33" s="25">
        <v>2.0994072780992225E-2</v>
      </c>
      <c r="AZ33" s="25"/>
      <c r="BA33">
        <v>5.0479143788287925E-4</v>
      </c>
      <c r="BB33">
        <v>1.2906925267652436E-4</v>
      </c>
      <c r="BD33">
        <v>-3.6438475786463605E-5</v>
      </c>
      <c r="BE33">
        <v>9.1856086362987809E-6</v>
      </c>
      <c r="BG33">
        <v>1.3289732228615025E-4</v>
      </c>
      <c r="BI33">
        <v>-0.22907032570186919</v>
      </c>
      <c r="BJ33">
        <v>-5.8570596745280215E-2</v>
      </c>
      <c r="BL33">
        <v>1.6782973346549074E-2</v>
      </c>
      <c r="BM33">
        <v>-4.7339685179439445E-3</v>
      </c>
      <c r="BO33">
        <v>-6.0307744181782273E-2</v>
      </c>
      <c r="BQ33">
        <v>-2.9245356818150816E-3</v>
      </c>
      <c r="BR33">
        <v>-7.4776948765379323E-4</v>
      </c>
      <c r="BT33">
        <v>2.1426784219451489E-4</v>
      </c>
      <c r="BU33">
        <v>-6.0438469299314199E-5</v>
      </c>
      <c r="BW33">
        <v>-7.6994760979623021E-4</v>
      </c>
      <c r="BZ33" t="s">
        <v>92</v>
      </c>
      <c r="CH33">
        <v>0</v>
      </c>
      <c r="CI33" s="18" cm="1">
        <f t="array" ref="CI33:CI38">FRONTEND!$B$26:$B$31</f>
        <v>0.54876651054069536</v>
      </c>
      <c r="CJ33">
        <v>0</v>
      </c>
    </row>
    <row r="34" spans="10:88" ht="15.75" thickBot="1" x14ac:dyDescent="0.3">
      <c r="J34">
        <v>2</v>
      </c>
      <c r="K34">
        <v>1.9973675201900247</v>
      </c>
      <c r="L34" s="20">
        <f>1/(1+EXP(-K34))</f>
        <v>0.88052040729797931</v>
      </c>
      <c r="N34">
        <v>-1.0631152213500767</v>
      </c>
      <c r="O34" s="20">
        <f>1/(1+EXP(-N34))</f>
        <v>0.25671458207542286</v>
      </c>
      <c r="Q34">
        <v>4.4727475247059605</v>
      </c>
      <c r="R34" s="20">
        <f>(EXP(Q34)-EXP(-Q34))/(EXP(Q34)+EXP(-Q34))</f>
        <v>0.99973938808770835</v>
      </c>
      <c r="T34" s="91">
        <v>0.76324299735479773</v>
      </c>
      <c r="V34" s="22" t="s">
        <v>77</v>
      </c>
      <c r="W34" s="3">
        <f>-1/3*((2/(1+DATA!I14))*X34*LOG(W28)+((2*DATA!I14)/(1+DATA!I14))*(1-X34)*LOG(1-W28))</f>
        <v>4.111001239082486E-2</v>
      </c>
      <c r="X34" s="8">
        <v>1</v>
      </c>
      <c r="AD34">
        <v>7</v>
      </c>
      <c r="AE34" s="89" cm="1">
        <f t="array" ref="AE34">SUM(MMULT(TRANSPOSE($W$34:$W$36),TRANSPOSE(Z13:AB13)))</f>
        <v>0.12657980318362422</v>
      </c>
      <c r="AK34" s="25"/>
      <c r="AL34" s="25"/>
      <c r="AY34" s="25"/>
      <c r="AZ34" s="25"/>
      <c r="BZ34">
        <v>1</v>
      </c>
      <c r="CH34">
        <v>0</v>
      </c>
      <c r="CI34" s="19">
        <v>0.51109827267454389</v>
      </c>
      <c r="CJ34">
        <v>0</v>
      </c>
    </row>
    <row r="35" spans="10:88" ht="21" x14ac:dyDescent="0.35">
      <c r="V35" s="7">
        <v>2</v>
      </c>
      <c r="W35" s="3">
        <f>-1/3*((2/(1+DATA!I15))*X35*LOG(W29)+((2*DATA!I15)/(1+DATA!I15))*(1-X35)*LOG(1-W29))</f>
        <v>3.0317187154082171E-3</v>
      </c>
      <c r="X35" s="8">
        <v>1</v>
      </c>
      <c r="AD35">
        <v>8</v>
      </c>
      <c r="AE35" s="89" cm="1">
        <f t="array" ref="AE35">SUM(MMULT(TRANSPOSE($W$34:$W$36),TRANSPOSE(Z14:AB14)))</f>
        <v>-0.25471605964319827</v>
      </c>
      <c r="AK35" s="56" t="s">
        <v>108</v>
      </c>
      <c r="AL35" s="25"/>
      <c r="AY35" s="25"/>
      <c r="AZ35" s="25"/>
      <c r="BA35" s="55" t="s">
        <v>108</v>
      </c>
      <c r="BY35">
        <v>1</v>
      </c>
      <c r="BZ35" s="89">
        <f>BB56*IF(BB56&gt;0,1,0)</f>
        <v>0</v>
      </c>
      <c r="CH35">
        <v>0</v>
      </c>
      <c r="CI35" s="19">
        <v>0.36794364264660445</v>
      </c>
      <c r="CJ35">
        <v>0</v>
      </c>
    </row>
    <row r="36" spans="10:88" ht="21.75" thickBot="1" x14ac:dyDescent="0.4">
      <c r="K36" s="55" t="s">
        <v>114</v>
      </c>
      <c r="V36" s="9">
        <v>3</v>
      </c>
      <c r="W36" s="23">
        <f>-1/3*((2/(1+DATA!I16))*X36*LOG(W30)+((2*DATA!I16)/(1+DATA!I16))*(1-X36)*LOG(1-W30))</f>
        <v>0.54694158348053468</v>
      </c>
      <c r="X36" s="11">
        <v>0</v>
      </c>
      <c r="AD36">
        <v>9</v>
      </c>
      <c r="AE36" s="89" cm="1">
        <f t="array" ref="AE36">SUM(MMULT(TRANSPOSE($W$34:$W$36),TRANSPOSE(Z15:AB15)))</f>
        <v>-0.4571542584064589</v>
      </c>
      <c r="AK36" s="25" t="s">
        <v>109</v>
      </c>
      <c r="AL36" s="25"/>
      <c r="AM36" t="s">
        <v>116</v>
      </c>
      <c r="AO36" t="s">
        <v>117</v>
      </c>
      <c r="AQ36" t="s">
        <v>118</v>
      </c>
      <c r="AS36" t="s">
        <v>119</v>
      </c>
      <c r="AU36" t="s">
        <v>120</v>
      </c>
      <c r="AW36" t="s">
        <v>121</v>
      </c>
      <c r="AY36" s="26" t="s">
        <v>126</v>
      </c>
      <c r="AZ36" s="25"/>
      <c r="BA36" t="s">
        <v>127</v>
      </c>
      <c r="BD36" t="s">
        <v>128</v>
      </c>
      <c r="BG36" t="s">
        <v>129</v>
      </c>
      <c r="BI36" t="s">
        <v>134</v>
      </c>
      <c r="BL36" t="s">
        <v>132</v>
      </c>
      <c r="BO36" t="s">
        <v>130</v>
      </c>
      <c r="BQ36" t="s">
        <v>135</v>
      </c>
      <c r="BT36" t="s">
        <v>133</v>
      </c>
      <c r="BW36" t="s">
        <v>131</v>
      </c>
      <c r="BY36">
        <v>2</v>
      </c>
      <c r="BZ36" s="89">
        <f t="shared" ref="BZ36:BZ40" si="6">BB57*IF(BB57&gt;0,1,0)</f>
        <v>0</v>
      </c>
      <c r="CH36">
        <v>0</v>
      </c>
      <c r="CI36" s="19">
        <v>-0.2956354979724084</v>
      </c>
      <c r="CJ36">
        <v>0</v>
      </c>
    </row>
    <row r="37" spans="10:88" x14ac:dyDescent="0.25">
      <c r="K37" t="s">
        <v>102</v>
      </c>
      <c r="L37" s="18" t="s">
        <v>103</v>
      </c>
      <c r="N37" t="s">
        <v>104</v>
      </c>
      <c r="O37" s="18" t="s">
        <v>103</v>
      </c>
      <c r="Q37" t="s">
        <v>125</v>
      </c>
      <c r="R37" s="18" t="s">
        <v>105</v>
      </c>
      <c r="T37" s="18" t="s">
        <v>106</v>
      </c>
      <c r="AD37">
        <v>10</v>
      </c>
      <c r="AE37" s="89" cm="1">
        <f t="array" ref="AE37">SUM(MMULT(TRANSPOSE($W$34:$W$36),TRANSPOSE(Z16:AB16)))</f>
        <v>-9.2829734638049805E-2</v>
      </c>
      <c r="AK37" s="25">
        <v>1</v>
      </c>
      <c r="AL37" s="25"/>
      <c r="AM37">
        <v>1</v>
      </c>
      <c r="AO37">
        <v>1</v>
      </c>
      <c r="AQ37">
        <v>1</v>
      </c>
      <c r="AS37">
        <v>1</v>
      </c>
      <c r="AU37">
        <v>1</v>
      </c>
      <c r="AW37">
        <v>1</v>
      </c>
      <c r="AY37" s="26">
        <v>1</v>
      </c>
      <c r="AZ37" s="25"/>
      <c r="BA37">
        <v>1</v>
      </c>
      <c r="BB37">
        <v>2</v>
      </c>
      <c r="BD37">
        <v>1</v>
      </c>
      <c r="BE37">
        <v>2</v>
      </c>
      <c r="BG37">
        <v>1</v>
      </c>
      <c r="BI37">
        <v>1</v>
      </c>
      <c r="BJ37">
        <v>2</v>
      </c>
      <c r="BL37">
        <v>1</v>
      </c>
      <c r="BM37">
        <v>2</v>
      </c>
      <c r="BO37">
        <v>1</v>
      </c>
      <c r="BQ37">
        <v>1</v>
      </c>
      <c r="BR37">
        <v>2</v>
      </c>
      <c r="BT37">
        <v>1</v>
      </c>
      <c r="BU37">
        <v>2</v>
      </c>
      <c r="BW37">
        <v>1</v>
      </c>
      <c r="BY37">
        <v>3</v>
      </c>
      <c r="BZ37" s="89">
        <f t="shared" si="6"/>
        <v>0</v>
      </c>
      <c r="CH37">
        <v>0</v>
      </c>
      <c r="CI37" s="19">
        <v>-0.58781126252416827</v>
      </c>
      <c r="CJ37">
        <v>0</v>
      </c>
    </row>
    <row r="38" spans="10:88" ht="15.75" thickBot="1" x14ac:dyDescent="0.3">
      <c r="K38">
        <v>1</v>
      </c>
      <c r="L38" s="19">
        <v>1</v>
      </c>
      <c r="N38">
        <v>1</v>
      </c>
      <c r="O38" s="19">
        <v>1</v>
      </c>
      <c r="Q38">
        <v>1</v>
      </c>
      <c r="R38" s="19">
        <v>1</v>
      </c>
      <c r="T38" s="19">
        <v>1</v>
      </c>
      <c r="AD38">
        <v>11</v>
      </c>
      <c r="AE38" s="89" cm="1">
        <f t="array" ref="AE38">SUM(MMULT(TRANSPOSE($W$34:$W$36),TRANSPOSE(Z17:AB17)))</f>
        <v>8.0992787809939758E-3</v>
      </c>
      <c r="AJ38">
        <v>1</v>
      </c>
      <c r="AK38" s="104" cm="1">
        <f t="array" ref="AK38:AK39">TRANSPOSE(_xlfn.ANCHORARRAY(AE75))+_xlfn.ANCHORARRAY(AY32)</f>
        <v>-0.2925382169553844</v>
      </c>
      <c r="AL38" s="25"/>
      <c r="AM38" cm="1">
        <f t="array" ref="AM38:AM39">_xlfn.ANCHORARRAY(AK38)*(1-$O$27:$O$28)</f>
        <v>-0.2065219354402108</v>
      </c>
      <c r="AO38" cm="1">
        <f t="array" ref="AO38:AO39">_xlfn.ANCHORARRAY(AM38)*(1-$R$27:$R$28*$R$27:$R$28)</f>
        <v>-9.6623697864674854E-2</v>
      </c>
      <c r="AQ38" cm="1">
        <f t="array" ref="AQ38:AQ39">_xlfn.ANCHORARRAY(AK38)*(L6:L7-$R$27:$R$28)</f>
        <v>-0.44889349342087542</v>
      </c>
      <c r="AS38" cm="1">
        <f t="array" ref="AS38:AS39">_xlfn.ANCHORARRAY(AQ38)*($O$27:$O$28*(1-$O$27:$O$28))</f>
        <v>-9.3180479499838265E-2</v>
      </c>
      <c r="AU38" cm="1">
        <f t="array" ref="AU38:AU39">MMULT(TRANSPOSE($P$21:$Q$22),_xlfn.ANCHORARRAY(AO38))*$L$6:$L$7</f>
        <v>-5.2152491370023715E-2</v>
      </c>
      <c r="AW38" cm="1">
        <f t="array" ref="AW38:AW39">_xlfn.ANCHORARRAY(AU38)*($L$27:$L$28*(1-$L$27:$L$28))</f>
        <v>-1.2412485174080563E-4</v>
      </c>
      <c r="AY38" s="26" cm="1">
        <f t="array" ref="AY38:AY39">_xlfn.ANCHORARRAY(AK38)*$O$27:$O$28+MMULT(TRANSPOSE($P$21:$Q$22),_xlfn.ANCHORARRAY(AO38))*$L$27:$L$28+MMULT(TRANSPOSE($P$16:$Q$17),_xlfn.ANCHORARRAY(AS38))+MMULT(TRANSPOSE($P$11:$Q$12),_xlfn.ANCHORARRAY(AW38))</f>
        <v>-1.3157056551221947E-3</v>
      </c>
      <c r="AZ38" s="25"/>
      <c r="BA38" cm="1">
        <f t="array" ref="BA38:BB39">MMULT(_xlfn.ANCHORARRAY(AO38),TRANSPOSE($C$14:$C$15))</f>
        <v>-0.49484255318786313</v>
      </c>
      <c r="BB38">
        <v>-7.573563585197976E-2</v>
      </c>
      <c r="BD38" cm="1">
        <f t="array" ref="BD38:BE39">MMULT(_xlfn.ANCHORARRAY(AO38),TRANSPOSE($L$27:$L$28*L6:L7))</f>
        <v>-7.7596509859061941E-2</v>
      </c>
      <c r="BE38">
        <v>7.4214621449443074E-2</v>
      </c>
      <c r="BG38" cm="1">
        <f t="array" ref="BG38:BG39">_xlfn.ANCHORARRAY(AO38)</f>
        <v>-9.6623697864674854E-2</v>
      </c>
      <c r="BI38" cm="1">
        <f t="array" ref="BI38:BJ39">MMULT(_xlfn.ANCHORARRAY(AS38),TRANSPOSE($C$14:$C$15))</f>
        <v>-0.47720867035691017</v>
      </c>
      <c r="BJ38">
        <v>-7.3036770687417985E-2</v>
      </c>
      <c r="BL38" cm="1">
        <f t="array" ref="BL38:BM39">MMULT(_xlfn.ANCHORARRAY(AS38),TRANSPOSE(L6:L7))</f>
        <v>-7.5010285997369808E-2</v>
      </c>
      <c r="BM38">
        <v>9.103732847134198E-2</v>
      </c>
      <c r="BO38" cm="1">
        <f t="array" ref="BO38:BO39">_xlfn.ANCHORARRAY(AS38)</f>
        <v>-9.3180479499838265E-2</v>
      </c>
      <c r="BQ38" cm="1">
        <f t="array" ref="BQ38:BR39">MMULT(_xlfn.ANCHORARRAY(AW38),TRANSPOSE($C$14:$C$15))</f>
        <v>-6.3568523982087126E-4</v>
      </c>
      <c r="BR38">
        <v>-9.7291604227242798E-5</v>
      </c>
      <c r="BT38" cm="1">
        <f t="array" ref="BT38:BU39">MMULT(_xlfn.ANCHORARRAY(AW38),TRANSPOSE(L6:L7))</f>
        <v>-9.9920505651348543E-5</v>
      </c>
      <c r="BU38">
        <v>1.212699801507671E-4</v>
      </c>
      <c r="BW38" cm="1">
        <f t="array" ref="BW38:BW39">_xlfn.ANCHORARRAY(AW38)</f>
        <v>-1.2412485174080563E-4</v>
      </c>
      <c r="BY38">
        <v>4</v>
      </c>
      <c r="BZ38" s="89">
        <f t="shared" si="6"/>
        <v>2.5841446523853276E-3</v>
      </c>
      <c r="CH38">
        <v>0</v>
      </c>
      <c r="CI38" s="20">
        <v>-0.54436166536526909</v>
      </c>
      <c r="CJ38">
        <v>0</v>
      </c>
    </row>
    <row r="39" spans="10:88" x14ac:dyDescent="0.25">
      <c r="J39">
        <v>1</v>
      </c>
      <c r="K39" cm="1">
        <f t="array" ref="K39:K40">MMULT($L$11:$M$12,$E$14:$E$15)+MMULT($P$11:$Q$12,_xlfn.ANCHORARRAY(T33))+$T$11:$T$12</f>
        <v>1.6842700652403892</v>
      </c>
      <c r="L39" s="19">
        <f>1/(1+EXP(-K39))</f>
        <v>0.84346913057553052</v>
      </c>
      <c r="N39" cm="1">
        <f t="array" ref="N39:N40">MMULT($L$16:$M$17,$E$14:$E$15)+MMULT($P$16:$Q$17,_xlfn.ANCHORARRAY(T33))+$T$16:$T$17</f>
        <v>1.7836930315714721</v>
      </c>
      <c r="O39" s="19">
        <f>1/(1+EXP(-N39))</f>
        <v>0.85615228173448066</v>
      </c>
      <c r="Q39" cm="1">
        <f t="array" ref="Q39:Q40">MMULT($L$21:$M$22,$E$14:$E$15)+MMULT($P$21:$Q$22,$L$39:$L$40*_xlfn.ANCHORARRAY(T33))+$T$21:$T$22</f>
        <v>1.8983079047827509</v>
      </c>
      <c r="R39" s="19">
        <f>(EXP(Q39)-EXP(-Q39))/(EXP(Q39)+EXP(-Q39))</f>
        <v>0.95609236335397163</v>
      </c>
      <c r="T39" s="90" cm="1">
        <f t="array" ref="T39:T40">O39:O40*_xlfn.ANCHORARRAY(T33)+(1-O39:O40)*R39:R40</f>
        <v>-7.2846394552045918E-2</v>
      </c>
      <c r="V39" s="13"/>
      <c r="AD39">
        <v>12</v>
      </c>
      <c r="AE39" s="89" cm="1">
        <f t="array" ref="AE39">SUM(MMULT(TRANSPOSE($W$34:$W$36),TRANSPOSE(Z18:AB18)))</f>
        <v>-2.7359759066728365E-3</v>
      </c>
      <c r="AJ39">
        <v>2</v>
      </c>
      <c r="AK39" s="105">
        <v>-0.34877960249346113</v>
      </c>
      <c r="AL39" s="25"/>
      <c r="AM39">
        <v>-0.18628186339112729</v>
      </c>
      <c r="AO39">
        <v>-2.8682721856933708E-4</v>
      </c>
      <c r="AQ39">
        <v>0.68926865425418171</v>
      </c>
      <c r="AS39">
        <v>0.17151585328797553</v>
      </c>
      <c r="AU39">
        <v>7.0201087536571533E-2</v>
      </c>
      <c r="AW39">
        <v>1.1801654178215664E-2</v>
      </c>
      <c r="AY39" s="26">
        <v>-0.33269289771301208</v>
      </c>
      <c r="AZ39" s="25"/>
      <c r="BA39">
        <v>-1.4689389486977451E-3</v>
      </c>
      <c r="BB39">
        <v>-2.2482105589073461E-4</v>
      </c>
      <c r="BD39">
        <v>-2.3034505597927291E-4</v>
      </c>
      <c r="BE39">
        <v>2.2030592823442702E-4</v>
      </c>
      <c r="BG39">
        <v>-2.8682721856933708E-4</v>
      </c>
      <c r="BI39">
        <v>0.8783905463035071</v>
      </c>
      <c r="BJ39">
        <v>0.13443764308888792</v>
      </c>
      <c r="BL39">
        <v>0.13807026189682031</v>
      </c>
      <c r="BM39">
        <v>-0.16757098866235209</v>
      </c>
      <c r="BO39">
        <v>0.17151585328797553</v>
      </c>
      <c r="BQ39">
        <v>6.0440252385781573E-2</v>
      </c>
      <c r="BR39">
        <v>9.2503785618321694E-3</v>
      </c>
      <c r="BT39">
        <v>9.5003316134636105E-3</v>
      </c>
      <c r="BU39">
        <v>-1.1530216132116704E-2</v>
      </c>
      <c r="BW39">
        <v>1.1801654178215664E-2</v>
      </c>
      <c r="BY39">
        <v>5</v>
      </c>
      <c r="BZ39" s="89">
        <f t="shared" si="6"/>
        <v>6.4863248870029606E-4</v>
      </c>
      <c r="CH39">
        <v>0</v>
      </c>
      <c r="CI39">
        <v>0</v>
      </c>
      <c r="CJ39">
        <v>0</v>
      </c>
    </row>
    <row r="40" spans="10:88" ht="15.75" thickBot="1" x14ac:dyDescent="0.3">
      <c r="J40">
        <v>2</v>
      </c>
      <c r="K40">
        <v>2.7555665898286392</v>
      </c>
      <c r="L40" s="20">
        <f>1/(1+EXP(-K40))</f>
        <v>0.94022696112842719</v>
      </c>
      <c r="N40">
        <v>-1.0983989116975192</v>
      </c>
      <c r="O40" s="20">
        <f>1/(1+EXP(-N40))</f>
        <v>0.25004001031615392</v>
      </c>
      <c r="Q40">
        <v>4.0358834118204383</v>
      </c>
      <c r="R40" s="20">
        <f>(EXP(Q40)-EXP(-Q40))/(EXP(Q40)+EXP(-Q40))</f>
        <v>0.99937573264353541</v>
      </c>
      <c r="T40" s="91">
        <v>0.94033310107595769</v>
      </c>
      <c r="BY40">
        <v>6</v>
      </c>
      <c r="BZ40" s="89">
        <f t="shared" si="6"/>
        <v>7.3222035246110501E-4</v>
      </c>
    </row>
    <row r="41" spans="10:88" ht="15.75" thickBot="1" x14ac:dyDescent="0.3">
      <c r="AE41" s="85" t="s">
        <v>54</v>
      </c>
      <c r="AG41" s="13" t="s">
        <v>51</v>
      </c>
      <c r="BA41" t="s">
        <v>136</v>
      </c>
    </row>
    <row r="42" spans="10:88" ht="21.75" thickBot="1" x14ac:dyDescent="0.4">
      <c r="K42" s="55" t="s">
        <v>113</v>
      </c>
      <c r="AE42">
        <v>1</v>
      </c>
      <c r="AF42" s="13" t="s">
        <v>83</v>
      </c>
      <c r="AG42">
        <v>1</v>
      </c>
      <c r="AH42">
        <v>2</v>
      </c>
      <c r="AZ42" s="4"/>
      <c r="BA42" s="5" t="s">
        <v>127</v>
      </c>
      <c r="BB42" s="6"/>
      <c r="BD42" s="4" t="s">
        <v>128</v>
      </c>
      <c r="BE42" s="6"/>
      <c r="BG42" s="18" t="s">
        <v>129</v>
      </c>
      <c r="BI42" s="4" t="s">
        <v>134</v>
      </c>
      <c r="BJ42" s="6"/>
      <c r="BL42" s="4" t="s">
        <v>132</v>
      </c>
      <c r="BM42" s="6"/>
      <c r="BO42" s="18" t="s">
        <v>130</v>
      </c>
      <c r="BQ42" s="4" t="s">
        <v>135</v>
      </c>
      <c r="BR42" s="6"/>
      <c r="BT42" s="4" t="s">
        <v>133</v>
      </c>
      <c r="BU42" s="6"/>
      <c r="BW42" s="18" t="s">
        <v>131</v>
      </c>
      <c r="BY42" s="4"/>
      <c r="BZ42" s="52" t="s">
        <v>50</v>
      </c>
      <c r="CB42" s="4"/>
      <c r="CC42" s="52" t="s">
        <v>52</v>
      </c>
    </row>
    <row r="43" spans="10:88" x14ac:dyDescent="0.25">
      <c r="K43" t="s">
        <v>102</v>
      </c>
      <c r="L43" s="18" t="s">
        <v>103</v>
      </c>
      <c r="N43" t="s">
        <v>104</v>
      </c>
      <c r="O43" s="18" t="s">
        <v>103</v>
      </c>
      <c r="Q43" t="s">
        <v>125</v>
      </c>
      <c r="R43" s="18" t="s">
        <v>105</v>
      </c>
      <c r="T43" s="18" t="s">
        <v>106</v>
      </c>
      <c r="AD43">
        <v>1</v>
      </c>
      <c r="AE43" s="3">
        <f>AE28</f>
        <v>-0.43306357686626545</v>
      </c>
      <c r="AF43">
        <f t="shared" ref="AF43:AF48" si="7">MATCH(MAX(_xlfn.ANCHORARRAY(K63)),_xlfn.ANCHORARRAY(K63),0)</f>
        <v>2</v>
      </c>
      <c r="AG43">
        <f t="shared" ref="AG43:AH48" si="8">IF($AF43=AG$42,$AE43,0)</f>
        <v>0</v>
      </c>
      <c r="AH43">
        <f t="shared" si="8"/>
        <v>-0.43306357686626545</v>
      </c>
      <c r="AZ43" s="7"/>
      <c r="BA43">
        <v>1</v>
      </c>
      <c r="BB43" s="8">
        <v>2</v>
      </c>
      <c r="BD43" s="7">
        <v>1</v>
      </c>
      <c r="BE43" s="8">
        <v>2</v>
      </c>
      <c r="BG43" s="19">
        <v>1</v>
      </c>
      <c r="BI43" s="7">
        <v>1</v>
      </c>
      <c r="BJ43" s="8">
        <v>2</v>
      </c>
      <c r="BL43" s="7">
        <v>1</v>
      </c>
      <c r="BM43" s="8">
        <v>2</v>
      </c>
      <c r="BO43" s="19">
        <v>1</v>
      </c>
      <c r="BQ43" s="7">
        <v>1</v>
      </c>
      <c r="BR43" s="8">
        <v>2</v>
      </c>
      <c r="BT43" s="7">
        <v>1</v>
      </c>
      <c r="BU43" s="8">
        <v>2</v>
      </c>
      <c r="BW43" s="19">
        <v>1</v>
      </c>
      <c r="BY43" s="7"/>
      <c r="BZ43" s="8">
        <v>1</v>
      </c>
      <c r="CB43" s="7"/>
      <c r="CC43" s="8">
        <v>1</v>
      </c>
    </row>
    <row r="44" spans="10:88" ht="15.75" thickBot="1" x14ac:dyDescent="0.3">
      <c r="K44">
        <v>1</v>
      </c>
      <c r="L44" s="19">
        <v>1</v>
      </c>
      <c r="N44">
        <v>1</v>
      </c>
      <c r="O44" s="19">
        <v>1</v>
      </c>
      <c r="Q44">
        <v>1</v>
      </c>
      <c r="R44" s="19">
        <v>1</v>
      </c>
      <c r="T44" s="19">
        <v>1</v>
      </c>
      <c r="AD44">
        <v>2</v>
      </c>
      <c r="AE44" s="3">
        <f t="shared" ref="AE44:AE48" si="9">AE29</f>
        <v>0.50304887877126403</v>
      </c>
      <c r="AF44">
        <f t="shared" si="7"/>
        <v>2</v>
      </c>
      <c r="AG44">
        <f t="shared" si="8"/>
        <v>0</v>
      </c>
      <c r="AH44">
        <f t="shared" si="8"/>
        <v>0.50304887877126403</v>
      </c>
      <c r="AZ44" s="7">
        <v>1</v>
      </c>
      <c r="BA44">
        <f>SUM(BA8,BA14,BA20,BA26,BA32,BA38)</f>
        <v>-0.98007524824314085</v>
      </c>
      <c r="BB44" s="8">
        <f>SUM(BB8,BB14,BB20,BB26,BB32,BB38)</f>
        <v>-0.20380433065443332</v>
      </c>
      <c r="BD44" s="7">
        <f>SUM(BD8,BD14,BD20,BD26,BD32,BD38)</f>
        <v>-4.2365704785006557E-2</v>
      </c>
      <c r="BE44" s="8">
        <f>SUM(BE8,BE14,BE20,BE26,BE32,BE38)</f>
        <v>6.27008278635688E-2</v>
      </c>
      <c r="BG44" s="19">
        <f>SUM(BG8,BG14,BG20,BG26,BG32,BG38)</f>
        <v>-0.22641465152945689</v>
      </c>
      <c r="BI44" s="7">
        <f>SUM(BI8,BI14,BI20,BI26,BI32,BI38)</f>
        <v>-0.37319988698491369</v>
      </c>
      <c r="BJ44" s="8">
        <f>SUM(BJ8,BJ14,BJ20,BJ26,BJ32,BJ38)</f>
        <v>2.8424447258921931E-3</v>
      </c>
      <c r="BL44" s="7">
        <f>SUM(BL8,BL14,BL20,BL26,BL32,BL38)</f>
        <v>-8.6519040307482406E-2</v>
      </c>
      <c r="BM44" s="8">
        <f>SUM(BM8,BM14,BM20,BM26,BM32,BM38)</f>
        <v>0.12705022416534914</v>
      </c>
      <c r="BO44" s="19">
        <f>SUM(BO8,BO14,BO20,BO26,BO32,BO38)</f>
        <v>-4.1036164431311667E-2</v>
      </c>
      <c r="BQ44" s="7">
        <f>SUM(BQ8,BQ14,BQ20,BQ26,BQ32,BQ38)</f>
        <v>6.8625431820169684E-4</v>
      </c>
      <c r="BR44" s="8">
        <f>SUM(BR8,BR14,BR20,BR26,BR32,BR38)</f>
        <v>2.5852101871170054E-4</v>
      </c>
      <c r="BT44" s="7">
        <f>SUM(BT8,BT14,BT20,BT26,BT32,BT38)</f>
        <v>-2.0054062912470215E-4</v>
      </c>
      <c r="BU44" s="8">
        <f>SUM(BU8,BU14,BU20,BU26,BU32,BU38)</f>
        <v>1.566784336849966E-4</v>
      </c>
      <c r="BW44" s="19">
        <f>SUM(BW8,BW14,BW20,BW26,BW32,BW38)</f>
        <v>2.3155264169530149E-4</v>
      </c>
      <c r="BY44" s="7">
        <v>1</v>
      </c>
      <c r="BZ44" s="8" cm="1">
        <f t="array" ref="BZ44">SUM($BZ$35:$BZ$40*CI32:CI37)</f>
        <v>3.2865343790035263E-4</v>
      </c>
      <c r="CB44" s="9">
        <v>1</v>
      </c>
      <c r="CC44" s="11">
        <f>SUM(BB56:BB61)</f>
        <v>-0.32600263946170005</v>
      </c>
    </row>
    <row r="45" spans="10:88" ht="15.75" thickBot="1" x14ac:dyDescent="0.3">
      <c r="J45">
        <v>1</v>
      </c>
      <c r="K45" cm="1">
        <f t="array" ref="K45:K46">MMULT($L$11:$M$12,$F$14:$F$15)+MMULT($P$11:$Q$12,_xlfn.ANCHORARRAY(T39))+$T$11:$T$12</f>
        <v>1.4453294712285567</v>
      </c>
      <c r="L45" s="19">
        <f>1/(1+EXP(-K45))</f>
        <v>0.80927859415570691</v>
      </c>
      <c r="N45" cm="1">
        <f t="array" ref="N45:N46">MMULT($L$16:$M$17,$F$14:$F$15)+MMULT($P$16:$Q$17,_xlfn.ANCHORARRAY(T39))+$T$16:$T$17</f>
        <v>1.9518934580136102</v>
      </c>
      <c r="O45" s="19">
        <f>1/(1+EXP(-N45))</f>
        <v>0.87565295740212346</v>
      </c>
      <c r="Q45" cm="1">
        <f t="array" ref="Q45:Q46">MMULT($L$21:$M$22,$F$14:$F$15)+MMULT($P$21:$Q$22,$L$45:$L$46*_xlfn.ANCHORARRAY(T39))+$T$21:$T$22</f>
        <v>2.0819000880998551</v>
      </c>
      <c r="R45" s="19">
        <f>(EXP(Q45)-EXP(-Q45))/(EXP(Q45)+EXP(-Q45))</f>
        <v>0.96937938234771381</v>
      </c>
      <c r="T45" s="90" cm="1">
        <f t="array" ref="T45:T46">O45:O46*_xlfn.ANCHORARRAY(T39)+(1-O45:O46)*R45:R46</f>
        <v>5.6751298524713473E-2</v>
      </c>
      <c r="AD45">
        <v>3</v>
      </c>
      <c r="AE45" s="3">
        <f t="shared" si="9"/>
        <v>-9.0722243044248738E-2</v>
      </c>
      <c r="AF45">
        <f t="shared" si="7"/>
        <v>2</v>
      </c>
      <c r="AG45">
        <f t="shared" si="8"/>
        <v>0</v>
      </c>
      <c r="AH45">
        <f t="shared" si="8"/>
        <v>-9.0722243044248738E-2</v>
      </c>
      <c r="AZ45" s="9">
        <v>2</v>
      </c>
      <c r="BA45" s="14">
        <f>SUM(BA9,BA15,BA21,BA27,BA33,BA39)</f>
        <v>1.5864958384186902E-4</v>
      </c>
      <c r="BB45" s="11">
        <f>SUM(BB9,BB15,BB21,BB27,BB33,BB39)</f>
        <v>4.5003999675872022E-4</v>
      </c>
      <c r="BD45" s="9">
        <f>SUM(BD9,BD15,BD21,BD27,BD33,BD39)</f>
        <v>-1.6641226708410771E-4</v>
      </c>
      <c r="BE45" s="11">
        <f>SUM(BE9,BE15,BE21,BE27,BE33,BE39)</f>
        <v>8.0365189621995562E-4</v>
      </c>
      <c r="BG45" s="20">
        <f>SUM(BG9,BG15,BG21,BG27,BG33,BG39)</f>
        <v>4.4586625257841489E-4</v>
      </c>
      <c r="BI45" s="9">
        <f>SUM(BI9,BI15,BI21,BI27,BI33,BI39)</f>
        <v>0.66414734753823468</v>
      </c>
      <c r="BJ45" s="11">
        <f>SUM(BJ9,BJ15,BJ21,BJ27,BJ33,BJ39)</f>
        <v>9.0962459011690006E-2</v>
      </c>
      <c r="BL45" s="9">
        <f>SUM(BL9,BL15,BL21,BL27,BL33,BL39)</f>
        <v>0.15163431362042601</v>
      </c>
      <c r="BM45" s="11">
        <f>SUM(BM9,BM15,BM21,BM27,BM33,BM39)</f>
        <v>-0.16595447652292408</v>
      </c>
      <c r="BO45" s="20">
        <f>SUM(BO9,BO15,BO21,BO27,BO33,BO39)</f>
        <v>0.12037319099778662</v>
      </c>
      <c r="BQ45" s="9">
        <f>SUM(BQ9,BQ15,BQ21,BQ27,BQ33,BQ39)</f>
        <v>5.733458079221828E-2</v>
      </c>
      <c r="BR45" s="11">
        <f>SUM(BR9,BR15,BR21,BR27,BR33,BR39)</f>
        <v>8.3189154409784444E-3</v>
      </c>
      <c r="BT45" s="9">
        <f>SUM(BT9,BT15,BT21,BT27,BT33,BT39)</f>
        <v>9.7537594731001587E-3</v>
      </c>
      <c r="BU45" s="11">
        <f>SUM(BU9,BU15,BU21,BU27,BU33,BU39)</f>
        <v>-1.1663339093800936E-2</v>
      </c>
      <c r="BW45" s="20">
        <f>SUM(BW9,BW15,BW21,BW27,BW33,BW39)</f>
        <v>1.092548514807015E-2</v>
      </c>
      <c r="BY45" s="7">
        <v>2</v>
      </c>
      <c r="BZ45" s="8" cm="1">
        <f t="array" ref="BZ45">SUM($BZ$35:$BZ$40*CI33:CI38)</f>
        <v>-1.5438310637178583E-3</v>
      </c>
    </row>
    <row r="46" spans="10:88" ht="15.75" thickBot="1" x14ac:dyDescent="0.3">
      <c r="J46">
        <v>2</v>
      </c>
      <c r="K46">
        <v>2.689398874233154</v>
      </c>
      <c r="L46" s="20">
        <f>1/(1+EXP(-K46))</f>
        <v>0.93639819003653968</v>
      </c>
      <c r="N46">
        <v>-0.89160470769639932</v>
      </c>
      <c r="O46" s="20">
        <f>1/(1+EXP(-N46))</f>
        <v>0.29077878313694033</v>
      </c>
      <c r="Q46">
        <v>4.0115680132675013</v>
      </c>
      <c r="R46" s="20">
        <f>(EXP(Q46)-EXP(-Q46))/(EXP(Q46)+EXP(-Q46))</f>
        <v>0.99934463392329032</v>
      </c>
      <c r="T46" s="91">
        <v>0.98218533221089732</v>
      </c>
      <c r="AD46">
        <v>4</v>
      </c>
      <c r="AE46" s="3">
        <f t="shared" si="9"/>
        <v>8.9155713741136955E-2</v>
      </c>
      <c r="AF46">
        <f t="shared" si="7"/>
        <v>2</v>
      </c>
      <c r="AG46">
        <f t="shared" si="8"/>
        <v>0</v>
      </c>
      <c r="AH46">
        <f t="shared" si="8"/>
        <v>8.9155713741136955E-2</v>
      </c>
      <c r="BY46" s="9">
        <v>3</v>
      </c>
      <c r="BZ46" s="11" cm="1">
        <f t="array" ref="BZ46">SUM($BZ$35:$BZ$40*CI34:CI39)</f>
        <v>-1.8720799924226094E-3</v>
      </c>
    </row>
    <row r="47" spans="10:88" x14ac:dyDescent="0.25">
      <c r="AD47">
        <v>5</v>
      </c>
      <c r="AE47" s="3">
        <f t="shared" si="9"/>
        <v>7.033954883027603E-2</v>
      </c>
      <c r="AF47">
        <f t="shared" si="7"/>
        <v>2</v>
      </c>
      <c r="AG47">
        <f t="shared" si="8"/>
        <v>0</v>
      </c>
      <c r="AH47">
        <f t="shared" si="8"/>
        <v>7.033954883027603E-2</v>
      </c>
      <c r="BA47" t="s">
        <v>137</v>
      </c>
    </row>
    <row r="48" spans="10:88" ht="21.75" thickBot="1" x14ac:dyDescent="0.4">
      <c r="K48" s="55" t="s">
        <v>111</v>
      </c>
      <c r="AD48">
        <v>6</v>
      </c>
      <c r="AE48" s="3">
        <f t="shared" si="9"/>
        <v>0.44025399887646066</v>
      </c>
      <c r="AF48">
        <f t="shared" si="7"/>
        <v>2</v>
      </c>
      <c r="AG48">
        <f t="shared" si="8"/>
        <v>0</v>
      </c>
      <c r="AH48">
        <f t="shared" si="8"/>
        <v>0.44025399887646066</v>
      </c>
      <c r="BA48" t="s">
        <v>108</v>
      </c>
      <c r="BB48" t="s">
        <v>115</v>
      </c>
      <c r="BD48" t="s">
        <v>114</v>
      </c>
      <c r="BE48" t="s">
        <v>113</v>
      </c>
      <c r="BG48" t="s">
        <v>111</v>
      </c>
      <c r="BI48" t="s">
        <v>110</v>
      </c>
    </row>
    <row r="49" spans="10:61" x14ac:dyDescent="0.25">
      <c r="K49" t="s">
        <v>102</v>
      </c>
      <c r="L49" s="18" t="s">
        <v>103</v>
      </c>
      <c r="N49" t="s">
        <v>104</v>
      </c>
      <c r="O49" s="18" t="s">
        <v>103</v>
      </c>
      <c r="Q49" t="s">
        <v>125</v>
      </c>
      <c r="R49" s="18" t="s">
        <v>105</v>
      </c>
      <c r="T49" s="18" t="s">
        <v>106</v>
      </c>
      <c r="BA49">
        <v>1</v>
      </c>
      <c r="BB49">
        <v>2</v>
      </c>
      <c r="BD49">
        <v>3</v>
      </c>
      <c r="BE49">
        <v>4</v>
      </c>
      <c r="BG49">
        <v>5</v>
      </c>
      <c r="BI49">
        <v>6</v>
      </c>
    </row>
    <row r="50" spans="10:61" x14ac:dyDescent="0.25">
      <c r="K50">
        <v>1</v>
      </c>
      <c r="L50" s="19">
        <v>1</v>
      </c>
      <c r="N50">
        <v>1</v>
      </c>
      <c r="O50" s="19">
        <v>1</v>
      </c>
      <c r="Q50">
        <v>1</v>
      </c>
      <c r="R50" s="19">
        <v>1</v>
      </c>
      <c r="T50" s="19">
        <v>1</v>
      </c>
      <c r="AE50" s="89" t="s">
        <v>57</v>
      </c>
      <c r="AG50" s="13" t="s">
        <v>84</v>
      </c>
      <c r="AZ50">
        <v>1</v>
      </c>
      <c r="BA50" s="85" cm="1">
        <f t="array" ref="BA50:BA51">MMULT(TRANSPOSE($L$21:$M$22),_xlfn.ANCHORARRAY($AO$38))+MMULT(TRANSPOSE($L$16:$M$17),_xlfn.ANCHORARRAY($AS$38)+MMULT(TRANSPOSE($L$11:$M$12),_xlfn.ANCHORARRAY($AW$38)))</f>
        <v>2.2230621010709779E-2</v>
      </c>
      <c r="BB50" s="85" cm="1">
        <f t="array" ref="BB50:BB51">MMULT(TRANSPOSE($L$21:$M$22),_xlfn.ANCHORARRAY(AO32))+MMULT(TRANSPOSE($L$16:$M$17),_xlfn.ANCHORARRAY(AS32)+MMULT(TRANSPOSE($L$11:$M$12),_xlfn.ANCHORARRAY(AW32)))</f>
        <v>7.7845931222533152E-2</v>
      </c>
      <c r="BD50" s="85" cm="1">
        <f t="array" ref="BD50:BD51">MMULT(TRANSPOSE($L$21:$M$22),_xlfn.ANCHORARRAY(AO26))+MMULT(TRANSPOSE($L$16:$M$17),_xlfn.ANCHORARRAY(AS26)+MMULT(TRANSPOSE($L$11:$M$12),_xlfn.ANCHORARRAY(AW26)))</f>
        <v>-9.9729404233188275E-3</v>
      </c>
      <c r="BE50" s="85" cm="1">
        <f t="array" ref="BE50:BE51">MMULT(TRANSPOSE($L$21:$M$22),_xlfn.ANCHORARRAY(AO20))+MMULT(TRANSPOSE($L$16:$M$17),_xlfn.ANCHORARRAY(AS20)+MMULT(TRANSPOSE($L$11:$M$12),_xlfn.ANCHORARRAY(AW20)))</f>
        <v>-3.8489382132347139E-4</v>
      </c>
      <c r="BG50" s="85" cm="1">
        <f t="array" ref="BG50:BG51">MMULT(TRANSPOSE($L$21:$M$22),_xlfn.ANCHORARRAY(AO14))+MMULT(TRANSPOSE($L$16:$M$17),_xlfn.ANCHORARRAY(AS14)+MMULT(TRANSPOSE($L$11:$M$12),_xlfn.ANCHORARRAY(AW14)))</f>
        <v>4.5913197977198717E-4</v>
      </c>
      <c r="BI50" s="85" cm="1">
        <f t="array" ref="BI50:BI51">MMULT(TRANSPOSE($L$21:$M$22),_xlfn.ANCHORARRAY(AO8))+MMULT(TRANSPOSE($L$16:$M$17),_xlfn.ANCHORARRAY(AS8)+MMULT(TRANSPOSE($L$11:$M$12),_xlfn.ANCHORARRAY(AW8)))</f>
        <v>3.9854808286241531E-4</v>
      </c>
    </row>
    <row r="51" spans="10:61" x14ac:dyDescent="0.25">
      <c r="J51">
        <v>1</v>
      </c>
      <c r="K51" cm="1">
        <f t="array" ref="K51:K52">MMULT($L$11:$M$12,$G$14:$G$15)+MMULT($P$11:$Q$12,_xlfn.ANCHORARRAY(T45))+$T$11:$T$12</f>
        <v>1.1362097475869695</v>
      </c>
      <c r="L51" s="19">
        <f>1/(1+EXP(-K51))</f>
        <v>0.75698306460855525</v>
      </c>
      <c r="N51" cm="1">
        <f t="array" ref="N51:N52">MMULT($L$16:$M$17,$G$14:$G$15)+MMULT($P$16:$Q$17,_xlfn.ANCHORARRAY(T45))+$T$16:$T$17</f>
        <v>1.9910535309345649</v>
      </c>
      <c r="O51" s="19">
        <f>1/(1+EXP(-N51))</f>
        <v>0.8798545514111884</v>
      </c>
      <c r="Q51" cm="1">
        <f t="array" ref="Q51:Q52">MMULT($L$21:$M$22,$G$14:$G$15)+MMULT($P$21:$Q$22,$L$51:$L$52*_xlfn.ANCHORARRAY(T45))+$T$21:$T$22</f>
        <v>2.0815665385458781</v>
      </c>
      <c r="R51" s="19">
        <f>(EXP(Q51)-EXP(-Q51))/(EXP(Q51)+EXP(-Q51))</f>
        <v>0.96935926159945096</v>
      </c>
      <c r="T51" s="90" cm="1">
        <f t="array" ref="T51:T52">O51:O52*_xlfn.ANCHORARRAY(T45)+(1-O51:O52)*R51:R52</f>
        <v>0.16639699163404942</v>
      </c>
      <c r="AE51">
        <v>1</v>
      </c>
      <c r="AF51">
        <v>2</v>
      </c>
      <c r="AG51" s="13">
        <v>2</v>
      </c>
      <c r="AZ51">
        <v>2</v>
      </c>
      <c r="BA51" s="89">
        <v>-0.26931512696535137</v>
      </c>
      <c r="BB51" s="89">
        <v>-5.7003518869221642E-2</v>
      </c>
      <c r="BD51" s="89">
        <v>-3.6489911206737248E-3</v>
      </c>
      <c r="BE51" s="89">
        <v>2.5841446523853276E-3</v>
      </c>
      <c r="BG51" s="89">
        <v>6.4863248870029606E-4</v>
      </c>
      <c r="BI51" s="89">
        <v>7.3222035246110501E-4</v>
      </c>
    </row>
    <row r="52" spans="10:61" ht="15.75" thickBot="1" x14ac:dyDescent="0.3">
      <c r="J52">
        <v>2</v>
      </c>
      <c r="K52">
        <v>2.4030717919954965</v>
      </c>
      <c r="L52" s="20">
        <f>1/(1+EXP(-K52))</f>
        <v>0.91706124327975791</v>
      </c>
      <c r="N52">
        <v>-0.46446801381135949</v>
      </c>
      <c r="O52" s="20">
        <f>1/(1+EXP(-N52))</f>
        <v>0.38592642349719714</v>
      </c>
      <c r="Q52">
        <v>3.5620017550008689</v>
      </c>
      <c r="R52" s="20">
        <f>(EXP(Q52)-EXP(-Q52))/(EXP(Q52)+EXP(-Q52))</f>
        <v>0.99839022609333605</v>
      </c>
      <c r="T52" s="91">
        <v>0.99213632935413487</v>
      </c>
      <c r="AD52">
        <v>1</v>
      </c>
      <c r="AE52">
        <f t="shared" ref="AE52:AF57" si="10">$AE34*1/$AG$51</f>
        <v>6.3289901591812109E-2</v>
      </c>
      <c r="AF52">
        <f t="shared" si="10"/>
        <v>6.3289901591812109E-2</v>
      </c>
    </row>
    <row r="53" spans="10:61" x14ac:dyDescent="0.25">
      <c r="AD53">
        <v>2</v>
      </c>
      <c r="AE53">
        <f t="shared" si="10"/>
        <v>-0.12735802982159913</v>
      </c>
      <c r="AF53">
        <f t="shared" si="10"/>
        <v>-0.12735802982159913</v>
      </c>
      <c r="AZ53" s="4"/>
      <c r="BA53" s="53" t="s">
        <v>81</v>
      </c>
      <c r="BB53" s="6"/>
    </row>
    <row r="54" spans="10:61" ht="21.75" thickBot="1" x14ac:dyDescent="0.4">
      <c r="K54" s="55" t="s">
        <v>110</v>
      </c>
      <c r="AD54">
        <v>3</v>
      </c>
      <c r="AE54">
        <f t="shared" si="10"/>
        <v>-0.22857712920322945</v>
      </c>
      <c r="AF54">
        <f t="shared" si="10"/>
        <v>-0.22857712920322945</v>
      </c>
      <c r="AZ54" s="7"/>
      <c r="BA54" s="32" t="s">
        <v>58</v>
      </c>
      <c r="BB54" s="8"/>
    </row>
    <row r="55" spans="10:61" x14ac:dyDescent="0.25">
      <c r="K55" t="s">
        <v>102</v>
      </c>
      <c r="L55" s="18" t="s">
        <v>103</v>
      </c>
      <c r="N55" t="s">
        <v>104</v>
      </c>
      <c r="O55" s="18" t="s">
        <v>103</v>
      </c>
      <c r="Q55" t="s">
        <v>125</v>
      </c>
      <c r="R55" s="18" t="s">
        <v>105</v>
      </c>
      <c r="T55" s="18" t="s">
        <v>106</v>
      </c>
      <c r="AD55">
        <v>4</v>
      </c>
      <c r="AE55">
        <f t="shared" si="10"/>
        <v>-4.6414867319024902E-2</v>
      </c>
      <c r="AF55">
        <f t="shared" si="10"/>
        <v>-4.6414867319024902E-2</v>
      </c>
      <c r="AZ55" s="7"/>
      <c r="BA55" s="32">
        <v>1</v>
      </c>
      <c r="BB55" s="8">
        <v>2</v>
      </c>
    </row>
    <row r="56" spans="10:61" x14ac:dyDescent="0.25">
      <c r="K56">
        <v>1</v>
      </c>
      <c r="L56" s="19">
        <v>1</v>
      </c>
      <c r="N56">
        <v>1</v>
      </c>
      <c r="O56" s="19">
        <v>1</v>
      </c>
      <c r="Q56">
        <v>1</v>
      </c>
      <c r="R56" s="19">
        <v>1</v>
      </c>
      <c r="T56" s="19">
        <v>1</v>
      </c>
      <c r="AD56">
        <v>5</v>
      </c>
      <c r="AE56">
        <f t="shared" si="10"/>
        <v>4.0496393904969879E-3</v>
      </c>
      <c r="AF56">
        <f t="shared" si="10"/>
        <v>4.0496393904969879E-3</v>
      </c>
      <c r="AZ56" s="7">
        <v>1</v>
      </c>
      <c r="BA56" s="100">
        <f>BA50</f>
        <v>2.2230621010709779E-2</v>
      </c>
      <c r="BB56" s="87">
        <f>BA51</f>
        <v>-0.26931512696535137</v>
      </c>
    </row>
    <row r="57" spans="10:61" x14ac:dyDescent="0.25">
      <c r="J57">
        <v>1</v>
      </c>
      <c r="K57" cm="1">
        <f t="array" ref="K57:K58">MMULT($L$11:$M$12,$H$14:$H$15)+MMULT($P$11:$Q$12,_xlfn.ANCHORARRAY(T51))+$T$11:$T$12</f>
        <v>2.7142658281171137</v>
      </c>
      <c r="L57" s="19">
        <f>1/(1+EXP(-K57))</f>
        <v>0.93786320804105727</v>
      </c>
      <c r="N57" cm="1">
        <f t="array" ref="N57:N58">MMULT($L$16:$M$17,$H$14:$H$15)+MMULT($P$16:$Q$17,_xlfn.ANCHORARRAY(T51))+$T$16:$T$17</f>
        <v>1.4928392319843864</v>
      </c>
      <c r="O57" s="19">
        <f>1/(1+EXP(-N57))</f>
        <v>0.81650404337721472</v>
      </c>
      <c r="Q57" cm="1">
        <f t="array" ref="Q57:Q58">MMULT($L$21:$M$22,$H$14:$H$15)+MMULT($P$21:$Q$22,$L$57:$L$58*_xlfn.ANCHORARRAY(T51))+$T$21:$T$22</f>
        <v>0.74827012943497073</v>
      </c>
      <c r="R57" s="19">
        <f>(EXP(Q57)-EXP(-Q57))/(EXP(Q57)+EXP(-Q57))</f>
        <v>0.63411580203996976</v>
      </c>
      <c r="T57" s="90" cm="1">
        <f t="array" ref="T57:T58">O57:O58*_xlfn.ANCHORARRAY(T51)+(1-O57:O58)*R57:R58</f>
        <v>0.25222150217995493</v>
      </c>
      <c r="AD57">
        <v>6</v>
      </c>
      <c r="AE57">
        <f t="shared" si="10"/>
        <v>-1.3679879533364183E-3</v>
      </c>
      <c r="AF57">
        <f t="shared" si="10"/>
        <v>-1.3679879533364183E-3</v>
      </c>
      <c r="AZ57" s="7">
        <v>2</v>
      </c>
      <c r="BA57" s="100">
        <f>BB50</f>
        <v>7.7845931222533152E-2</v>
      </c>
      <c r="BB57" s="87">
        <f>BB51</f>
        <v>-5.7003518869221642E-2</v>
      </c>
    </row>
    <row r="58" spans="10:61" ht="15.75" thickBot="1" x14ac:dyDescent="0.3">
      <c r="J58">
        <v>2</v>
      </c>
      <c r="K58">
        <v>1.816080440950659</v>
      </c>
      <c r="L58" s="20">
        <f>1/(1+EXP(-K58))</f>
        <v>0.86009514602648351</v>
      </c>
      <c r="N58">
        <v>-0.33767069259384996</v>
      </c>
      <c r="O58" s="20">
        <f>1/(1+EXP(-N58))</f>
        <v>0.4163754044080395</v>
      </c>
      <c r="Q58">
        <v>4.2362310086704813</v>
      </c>
      <c r="R58" s="20">
        <f>(EXP(Q58)-EXP(-Q58))/(EXP(Q58)+EXP(-Q58))</f>
        <v>0.99958178878928039</v>
      </c>
      <c r="T58" s="91">
        <v>0.99648168260596803</v>
      </c>
      <c r="AZ58" s="7">
        <v>3</v>
      </c>
      <c r="BA58" s="100">
        <f>BD50</f>
        <v>-9.9729404233188275E-3</v>
      </c>
      <c r="BB58" s="87">
        <f>BD51</f>
        <v>-3.6489911206737248E-3</v>
      </c>
    </row>
    <row r="59" spans="10:61" x14ac:dyDescent="0.25">
      <c r="AD59" s="4"/>
      <c r="AE59" s="53" t="s">
        <v>80</v>
      </c>
      <c r="AF59" s="6"/>
      <c r="AZ59" s="7">
        <v>4</v>
      </c>
      <c r="BA59" s="100">
        <f>BE50</f>
        <v>-3.8489382132347139E-4</v>
      </c>
      <c r="BB59" s="87">
        <f>BE51</f>
        <v>2.5841446523853276E-3</v>
      </c>
    </row>
    <row r="60" spans="10:61" x14ac:dyDescent="0.25">
      <c r="AD60" s="7"/>
      <c r="AE60">
        <v>1</v>
      </c>
      <c r="AF60" s="8">
        <v>2</v>
      </c>
      <c r="AZ60" s="7">
        <v>5</v>
      </c>
      <c r="BA60" s="100">
        <f>BG50</f>
        <v>4.5913197977198717E-4</v>
      </c>
      <c r="BB60" s="87">
        <f>BG51</f>
        <v>6.4863248870029606E-4</v>
      </c>
    </row>
    <row r="61" spans="10:61" ht="15.75" thickBot="1" x14ac:dyDescent="0.3">
      <c r="K61" t="s">
        <v>63</v>
      </c>
      <c r="N61" t="s">
        <v>54</v>
      </c>
      <c r="P61" t="s">
        <v>57</v>
      </c>
      <c r="AD61" s="22" t="s">
        <v>108</v>
      </c>
      <c r="AE61" s="85">
        <f>AG43+AE52</f>
        <v>6.3289901591812109E-2</v>
      </c>
      <c r="AF61" s="87">
        <f>AH43+AF52</f>
        <v>-0.36977367527445337</v>
      </c>
      <c r="AZ61" s="9">
        <v>6</v>
      </c>
      <c r="BA61" s="86">
        <f>BI50</f>
        <v>3.9854808286241531E-4</v>
      </c>
      <c r="BB61" s="88">
        <f>BI51</f>
        <v>7.3222035246110501E-4</v>
      </c>
    </row>
    <row r="62" spans="10:61" x14ac:dyDescent="0.25">
      <c r="K62">
        <v>1</v>
      </c>
      <c r="L62">
        <v>2</v>
      </c>
      <c r="N62">
        <v>1</v>
      </c>
      <c r="P62">
        <v>1</v>
      </c>
      <c r="AD62" s="7">
        <v>2</v>
      </c>
      <c r="AE62" s="85">
        <f t="shared" ref="AE62:AF66" si="11">AG44+AE53</f>
        <v>-0.12735802982159913</v>
      </c>
      <c r="AF62" s="87">
        <f t="shared" si="11"/>
        <v>0.37569084894966487</v>
      </c>
    </row>
    <row r="63" spans="10:61" x14ac:dyDescent="0.25">
      <c r="J63" s="13" t="s">
        <v>108</v>
      </c>
      <c r="K63" s="85" cm="1">
        <f t="array" ref="K63:L63">TRANSPOSE(_xlfn.ANCHORARRAY(T27))</f>
        <v>-0.27828885948645488</v>
      </c>
      <c r="L63" s="89">
        <v>7.8496859436071875E-2</v>
      </c>
      <c r="N63">
        <f t="shared" ref="N63:N68" si="12">MAX(_xlfn.ANCHORARRAY(K63))</f>
        <v>7.8496859436071875E-2</v>
      </c>
      <c r="P63">
        <f t="shared" ref="P63:P68" si="13">AVERAGE(_xlfn.ANCHORARRAY(K63))</f>
        <v>-9.98960000251915E-2</v>
      </c>
      <c r="AD63" s="7">
        <v>3</v>
      </c>
      <c r="AE63" s="85">
        <f t="shared" si="11"/>
        <v>-0.22857712920322945</v>
      </c>
      <c r="AF63" s="87">
        <f t="shared" si="11"/>
        <v>-0.31929937224747817</v>
      </c>
    </row>
    <row r="64" spans="10:61" x14ac:dyDescent="0.25">
      <c r="J64">
        <v>2</v>
      </c>
      <c r="K64" s="85" cm="1">
        <f t="array" ref="K64:L64">TRANSPOSE(_xlfn.ANCHORARRAY(T33))</f>
        <v>-0.24572509349084157</v>
      </c>
      <c r="L64" s="89">
        <v>0.76324299735479773</v>
      </c>
      <c r="N64">
        <f t="shared" si="12"/>
        <v>0.76324299735479773</v>
      </c>
      <c r="P64">
        <f t="shared" si="13"/>
        <v>0.25875895193197807</v>
      </c>
      <c r="AD64" s="7">
        <v>4</v>
      </c>
      <c r="AE64" s="85">
        <f t="shared" si="11"/>
        <v>-4.6414867319024902E-2</v>
      </c>
      <c r="AF64" s="87">
        <f t="shared" si="11"/>
        <v>4.2740846422112053E-2</v>
      </c>
    </row>
    <row r="65" spans="10:32" x14ac:dyDescent="0.25">
      <c r="J65">
        <v>3</v>
      </c>
      <c r="K65" s="85" cm="1">
        <f t="array" ref="K65:L65">TRANSPOSE(_xlfn.ANCHORARRAY(T39))</f>
        <v>-7.2846394552045918E-2</v>
      </c>
      <c r="L65" s="89">
        <v>0.94033310107595769</v>
      </c>
      <c r="N65">
        <f t="shared" si="12"/>
        <v>0.94033310107595769</v>
      </c>
      <c r="P65">
        <f t="shared" si="13"/>
        <v>0.4337433532619559</v>
      </c>
      <c r="AD65" s="7">
        <v>5</v>
      </c>
      <c r="AE65" s="85">
        <f t="shared" si="11"/>
        <v>4.0496393904969879E-3</v>
      </c>
      <c r="AF65" s="87">
        <f t="shared" si="11"/>
        <v>7.438918822077302E-2</v>
      </c>
    </row>
    <row r="66" spans="10:32" ht="15.75" thickBot="1" x14ac:dyDescent="0.3">
      <c r="J66">
        <v>4</v>
      </c>
      <c r="K66" s="85" cm="1">
        <f t="array" ref="K66:L66">TRANSPOSE(_xlfn.ANCHORARRAY(T45))</f>
        <v>5.6751298524713473E-2</v>
      </c>
      <c r="L66" s="89">
        <v>0.98218533221089732</v>
      </c>
      <c r="N66">
        <f t="shared" si="12"/>
        <v>0.98218533221089732</v>
      </c>
      <c r="P66">
        <f t="shared" si="13"/>
        <v>0.51946831536780536</v>
      </c>
      <c r="AD66" s="9">
        <v>6</v>
      </c>
      <c r="AE66" s="86">
        <f t="shared" si="11"/>
        <v>-1.3679879533364183E-3</v>
      </c>
      <c r="AF66" s="88">
        <f t="shared" si="11"/>
        <v>0.43888601092312424</v>
      </c>
    </row>
    <row r="67" spans="10:32" ht="15.75" thickBot="1" x14ac:dyDescent="0.3">
      <c r="J67">
        <v>5</v>
      </c>
      <c r="K67" s="85" cm="1">
        <f t="array" ref="K67:L67">TRANSPOSE(_xlfn.ANCHORARRAY(T51))</f>
        <v>0.16639699163404942</v>
      </c>
      <c r="L67" s="89">
        <v>0.99213632935413487</v>
      </c>
      <c r="N67">
        <f t="shared" si="12"/>
        <v>0.99213632935413487</v>
      </c>
      <c r="P67">
        <f t="shared" si="13"/>
        <v>0.57926666049409214</v>
      </c>
    </row>
    <row r="68" spans="10:32" x14ac:dyDescent="0.25">
      <c r="J68">
        <v>6</v>
      </c>
      <c r="K68" s="85" cm="1">
        <f t="array" ref="K68:L68">TRANSPOSE(_xlfn.ANCHORARRAY(T57))</f>
        <v>0.25222150217995493</v>
      </c>
      <c r="L68" s="89">
        <v>0.99648168260596803</v>
      </c>
      <c r="N68">
        <f t="shared" si="12"/>
        <v>0.99648168260596803</v>
      </c>
      <c r="P68">
        <f t="shared" si="13"/>
        <v>0.62435159239296145</v>
      </c>
      <c r="AD68" s="93"/>
      <c r="AE68" s="94" t="s">
        <v>112</v>
      </c>
      <c r="AF68" s="95"/>
    </row>
    <row r="69" spans="10:32" ht="15.75" thickBot="1" x14ac:dyDescent="0.3">
      <c r="AD69" s="96"/>
      <c r="AE69" s="32">
        <v>1</v>
      </c>
      <c r="AF69" s="97">
        <v>2</v>
      </c>
    </row>
    <row r="70" spans="10:32" x14ac:dyDescent="0.25">
      <c r="J70" s="4"/>
      <c r="K70" s="52" t="s">
        <v>65</v>
      </c>
      <c r="AD70" s="98" t="s">
        <v>110</v>
      </c>
      <c r="AE70" s="100" cm="1">
        <f t="array" ref="AE70:AF70">AE66:AF66</f>
        <v>-1.3679879533364183E-3</v>
      </c>
      <c r="AF70" s="102">
        <v>0.43888601092312424</v>
      </c>
    </row>
    <row r="71" spans="10:32" x14ac:dyDescent="0.25">
      <c r="J71" s="7"/>
      <c r="K71" s="8">
        <v>1</v>
      </c>
      <c r="AD71" s="96">
        <v>5</v>
      </c>
      <c r="AE71" s="100" cm="1">
        <f t="array" ref="AE71:AF71">AE65:AF65</f>
        <v>4.0496393904969879E-3</v>
      </c>
      <c r="AF71" s="102">
        <v>7.438918822077302E-2</v>
      </c>
    </row>
    <row r="72" spans="10:32" x14ac:dyDescent="0.25">
      <c r="J72" s="7">
        <v>1</v>
      </c>
      <c r="K72" s="92" cm="1">
        <f t="array" ref="K72:K77">N63:N68</f>
        <v>7.8496859436071875E-2</v>
      </c>
      <c r="AD72" s="96">
        <v>4</v>
      </c>
      <c r="AE72" s="100" cm="1">
        <f t="array" ref="AE72:AF72">AE64:AF64</f>
        <v>-4.6414867319024902E-2</v>
      </c>
      <c r="AF72" s="102">
        <v>4.2740846422112053E-2</v>
      </c>
    </row>
    <row r="73" spans="10:32" x14ac:dyDescent="0.25">
      <c r="J73" s="7">
        <v>2</v>
      </c>
      <c r="K73" s="92">
        <v>0.76324299735479773</v>
      </c>
      <c r="AD73" s="96">
        <v>3</v>
      </c>
      <c r="AE73" s="100" cm="1">
        <f t="array" ref="AE73:AF73">AE63:AF63</f>
        <v>-0.22857712920322945</v>
      </c>
      <c r="AF73" s="102">
        <v>-0.31929937224747817</v>
      </c>
    </row>
    <row r="74" spans="10:32" x14ac:dyDescent="0.25">
      <c r="J74" s="7">
        <v>3</v>
      </c>
      <c r="K74" s="92">
        <v>0.94033310107595769</v>
      </c>
      <c r="AD74" s="96">
        <v>2</v>
      </c>
      <c r="AE74" s="100" cm="1">
        <f t="array" ref="AE74:AF74">AE62:AF62</f>
        <v>-0.12735802982159913</v>
      </c>
      <c r="AF74" s="102">
        <v>0.37569084894966487</v>
      </c>
    </row>
    <row r="75" spans="10:32" ht="15.75" thickBot="1" x14ac:dyDescent="0.3">
      <c r="J75" s="7">
        <v>4</v>
      </c>
      <c r="K75" s="92">
        <v>0.98218533221089732</v>
      </c>
      <c r="AD75" s="99">
        <v>1</v>
      </c>
      <c r="AE75" s="101" cm="1">
        <f t="array" ref="AE75:AF75">AE61:AF61</f>
        <v>6.3289901591812109E-2</v>
      </c>
      <c r="AF75" s="103">
        <v>-0.36977367527445337</v>
      </c>
    </row>
    <row r="76" spans="10:32" x14ac:dyDescent="0.25">
      <c r="J76" s="7">
        <v>5</v>
      </c>
      <c r="K76" s="92">
        <v>0.99213632935413487</v>
      </c>
    </row>
    <row r="77" spans="10:32" x14ac:dyDescent="0.25">
      <c r="J77" s="7">
        <v>6</v>
      </c>
      <c r="K77" s="92">
        <v>0.99648168260596803</v>
      </c>
    </row>
    <row r="78" spans="10:32" x14ac:dyDescent="0.25">
      <c r="J78" s="7">
        <v>7</v>
      </c>
      <c r="K78" s="87" cm="1">
        <f t="array" ref="K78:K83">P63:P68</f>
        <v>-9.98960000251915E-2</v>
      </c>
    </row>
    <row r="79" spans="10:32" x14ac:dyDescent="0.25">
      <c r="J79" s="7">
        <v>8</v>
      </c>
      <c r="K79" s="87">
        <v>0.25875895193197807</v>
      </c>
    </row>
    <row r="80" spans="10:32" x14ac:dyDescent="0.25">
      <c r="J80" s="7">
        <v>9</v>
      </c>
      <c r="K80" s="87">
        <v>0.4337433532619559</v>
      </c>
    </row>
    <row r="81" spans="10:11" x14ac:dyDescent="0.25">
      <c r="J81" s="7">
        <v>10</v>
      </c>
      <c r="K81" s="87">
        <v>0.51946831536780536</v>
      </c>
    </row>
    <row r="82" spans="10:11" x14ac:dyDescent="0.25">
      <c r="J82" s="7">
        <v>11</v>
      </c>
      <c r="K82" s="87">
        <v>0.57926666049409214</v>
      </c>
    </row>
    <row r="83" spans="10:11" ht="15.75" thickBot="1" x14ac:dyDescent="0.3">
      <c r="J83" s="9">
        <v>12</v>
      </c>
      <c r="K83" s="88">
        <v>0.62435159239296145</v>
      </c>
    </row>
  </sheetData>
  <pageMargins left="0.7" right="0.7" top="0.75" bottom="0.75" header="0.3" footer="0.3"/>
  <ignoredErrors>
    <ignoredError sqref="AE28:AE39" formulaRange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3B3A1E-87F9-4538-9C64-36B1DAE0AAD0}">
  <dimension ref="B1:DA91"/>
  <sheetViews>
    <sheetView topLeftCell="AJ28" zoomScaleNormal="100" workbookViewId="0">
      <selection activeCell="BJ47" sqref="BJ47"/>
    </sheetView>
  </sheetViews>
  <sheetFormatPr defaultRowHeight="15" x14ac:dyDescent="0.25"/>
  <cols>
    <col min="15" max="15" width="3.42578125" customWidth="1"/>
    <col min="22" max="22" width="1.7109375" customWidth="1"/>
    <col min="29" max="29" width="1.7109375" customWidth="1"/>
    <col min="30" max="30" width="12.140625" customWidth="1"/>
    <col min="55" max="55" width="2" customWidth="1"/>
    <col min="56" max="56" width="9.140625" customWidth="1"/>
    <col min="62" max="62" width="2" customWidth="1"/>
    <col min="64" max="64" width="2" customWidth="1"/>
    <col min="66" max="66" width="2" customWidth="1"/>
    <col min="68" max="68" width="2" customWidth="1"/>
    <col min="70" max="70" width="2" customWidth="1"/>
    <col min="72" max="72" width="2" customWidth="1"/>
    <col min="75" max="75" width="2" customWidth="1"/>
    <col min="78" max="78" width="2" customWidth="1"/>
    <col min="81" max="81" width="2" customWidth="1"/>
    <col min="84" max="84" width="2" customWidth="1"/>
  </cols>
  <sheetData>
    <row r="1" spans="2:105" ht="15.75" thickBot="1" x14ac:dyDescent="0.3"/>
    <row r="2" spans="2:105" ht="26.25" x14ac:dyDescent="0.4">
      <c r="B2" s="4"/>
      <c r="C2" s="53" t="s">
        <v>63</v>
      </c>
      <c r="D2" s="6"/>
      <c r="F2" s="27" t="s">
        <v>156</v>
      </c>
      <c r="G2" s="6">
        <f>$G$4/$G$5</f>
        <v>1</v>
      </c>
      <c r="J2" s="54" t="s">
        <v>49</v>
      </c>
      <c r="AG2" s="54" t="s">
        <v>49</v>
      </c>
      <c r="AO2" s="54" t="s">
        <v>79</v>
      </c>
      <c r="AU2" s="54" t="s">
        <v>79</v>
      </c>
      <c r="CI2" s="54" t="s">
        <v>87</v>
      </c>
    </row>
    <row r="3" spans="2:105" ht="26.25" x14ac:dyDescent="0.4">
      <c r="B3" s="7"/>
      <c r="C3">
        <v>1</v>
      </c>
      <c r="D3" s="8">
        <v>2</v>
      </c>
      <c r="F3" s="22" t="s">
        <v>157</v>
      </c>
      <c r="G3" s="8">
        <f>$G$4/$G$5</f>
        <v>1</v>
      </c>
      <c r="J3" s="54" t="s">
        <v>139</v>
      </c>
      <c r="AG3" s="54" t="s">
        <v>67</v>
      </c>
      <c r="AO3" s="54" t="s">
        <v>67</v>
      </c>
      <c r="AU3" s="54" t="s">
        <v>154</v>
      </c>
      <c r="CI3" s="54" t="s">
        <v>48</v>
      </c>
    </row>
    <row r="4" spans="2:105" ht="15.75" thickBot="1" x14ac:dyDescent="0.3">
      <c r="B4" s="7">
        <v>1</v>
      </c>
      <c r="C4" s="85" cm="1">
        <f t="array" ref="C4:D9">FRONTEND!M49:N54</f>
        <v>5.1213373543300822</v>
      </c>
      <c r="D4" s="87">
        <v>0.78382050703596939</v>
      </c>
      <c r="F4" s="22" t="s">
        <v>158</v>
      </c>
      <c r="G4" s="8">
        <v>2</v>
      </c>
      <c r="J4" s="85" t="s">
        <v>140</v>
      </c>
      <c r="P4" t="s">
        <v>140</v>
      </c>
      <c r="AD4" t="s">
        <v>140</v>
      </c>
      <c r="CI4" t="s">
        <v>93</v>
      </c>
      <c r="CK4" t="s">
        <v>51</v>
      </c>
      <c r="CQ4">
        <v>0</v>
      </c>
      <c r="CR4">
        <v>0</v>
      </c>
      <c r="CS4">
        <v>0</v>
      </c>
      <c r="CT4">
        <v>0</v>
      </c>
      <c r="CU4">
        <v>0</v>
      </c>
      <c r="CV4">
        <v>0</v>
      </c>
      <c r="CW4">
        <v>0</v>
      </c>
      <c r="CX4">
        <v>0</v>
      </c>
      <c r="CY4">
        <v>0</v>
      </c>
      <c r="CZ4">
        <v>0</v>
      </c>
      <c r="DA4">
        <v>0</v>
      </c>
    </row>
    <row r="5" spans="2:105" x14ac:dyDescent="0.25">
      <c r="B5" s="7">
        <v>2</v>
      </c>
      <c r="C5" s="85">
        <v>3.798356725321963</v>
      </c>
      <c r="D5" s="87">
        <v>0.97119528412029688</v>
      </c>
      <c r="F5" s="22" t="s">
        <v>138</v>
      </c>
      <c r="G5" s="8">
        <v>2</v>
      </c>
      <c r="J5" t="s">
        <v>150</v>
      </c>
      <c r="L5" t="s">
        <v>151</v>
      </c>
      <c r="N5" t="s">
        <v>152</v>
      </c>
      <c r="P5" t="s">
        <v>149</v>
      </c>
      <c r="W5" t="s">
        <v>153</v>
      </c>
      <c r="AD5" t="s">
        <v>155</v>
      </c>
      <c r="AG5" t="s">
        <v>46</v>
      </c>
      <c r="AI5" s="4"/>
      <c r="AJ5" s="53" t="s">
        <v>68</v>
      </c>
      <c r="AK5" s="5"/>
      <c r="AL5" s="6"/>
      <c r="AN5" s="4"/>
      <c r="AO5" s="53" t="s">
        <v>68</v>
      </c>
      <c r="AP5" s="5"/>
      <c r="AQ5" s="6"/>
      <c r="AT5" s="4"/>
      <c r="AU5" s="5" t="s">
        <v>162</v>
      </c>
      <c r="AV5" s="6"/>
      <c r="AX5" s="4" t="s">
        <v>163</v>
      </c>
      <c r="AY5" s="6"/>
      <c r="CI5">
        <v>1</v>
      </c>
      <c r="CJ5" s="13" t="s">
        <v>83</v>
      </c>
      <c r="CK5">
        <v>1</v>
      </c>
      <c r="CL5">
        <v>2</v>
      </c>
      <c r="CM5">
        <v>3</v>
      </c>
      <c r="CN5">
        <v>4</v>
      </c>
      <c r="CO5">
        <v>5</v>
      </c>
      <c r="CQ5">
        <v>0</v>
      </c>
      <c r="CR5">
        <v>0</v>
      </c>
      <c r="CS5">
        <v>0</v>
      </c>
      <c r="CT5">
        <v>0</v>
      </c>
      <c r="CU5">
        <v>0</v>
      </c>
      <c r="CV5">
        <v>0</v>
      </c>
      <c r="CW5">
        <v>0</v>
      </c>
      <c r="CX5">
        <v>0</v>
      </c>
      <c r="CY5">
        <v>0</v>
      </c>
      <c r="CZ5">
        <v>0</v>
      </c>
      <c r="DA5">
        <v>0</v>
      </c>
    </row>
    <row r="6" spans="2:105" ht="15.75" thickBot="1" x14ac:dyDescent="0.3">
      <c r="B6" s="7">
        <v>3</v>
      </c>
      <c r="C6" s="85">
        <v>1.7105413350170124</v>
      </c>
      <c r="D6" s="87">
        <v>1.5410487903909853</v>
      </c>
      <c r="F6" s="28" t="s">
        <v>159</v>
      </c>
      <c r="G6" s="11">
        <v>2</v>
      </c>
      <c r="J6">
        <v>1</v>
      </c>
      <c r="L6">
        <v>1</v>
      </c>
      <c r="N6">
        <v>1</v>
      </c>
      <c r="P6">
        <v>1</v>
      </c>
      <c r="Q6">
        <v>2</v>
      </c>
      <c r="R6">
        <v>3</v>
      </c>
      <c r="S6">
        <v>4</v>
      </c>
      <c r="T6">
        <v>5</v>
      </c>
      <c r="U6">
        <v>6</v>
      </c>
      <c r="W6">
        <v>1</v>
      </c>
      <c r="X6">
        <v>2</v>
      </c>
      <c r="Y6">
        <v>3</v>
      </c>
      <c r="Z6">
        <v>4</v>
      </c>
      <c r="AA6">
        <v>5</v>
      </c>
      <c r="AB6">
        <v>6</v>
      </c>
      <c r="AD6">
        <v>1</v>
      </c>
      <c r="AG6">
        <v>1</v>
      </c>
      <c r="AI6" s="7"/>
      <c r="AJ6">
        <v>1</v>
      </c>
      <c r="AK6">
        <v>2</v>
      </c>
      <c r="AL6" s="8">
        <v>3</v>
      </c>
      <c r="AN6" s="7"/>
      <c r="AO6">
        <v>1</v>
      </c>
      <c r="AP6">
        <v>2</v>
      </c>
      <c r="AQ6" s="8">
        <v>3</v>
      </c>
      <c r="AT6" s="7"/>
      <c r="AU6">
        <v>1</v>
      </c>
      <c r="AV6" s="8">
        <v>2</v>
      </c>
      <c r="AX6" s="7">
        <v>1</v>
      </c>
      <c r="AY6" s="8">
        <v>2</v>
      </c>
      <c r="CH6">
        <v>1</v>
      </c>
      <c r="CI6" s="85" cm="1">
        <f t="array" ref="CI6:CI11">CG85:CG90</f>
        <v>0.39714325099981673</v>
      </c>
      <c r="CJ6">
        <f>MATCH(MAX(FRONTEND!$M28:$Q28),FRONTEND!$M28:$Q28,0)</f>
        <v>5</v>
      </c>
      <c r="CK6">
        <f>IF($CJ6=CK$5,$CI6,0)</f>
        <v>0</v>
      </c>
      <c r="CL6">
        <f t="shared" ref="CL6:CO11" si="0">IF($CJ6=CL$5,$CI6,0)</f>
        <v>0</v>
      </c>
      <c r="CM6">
        <f t="shared" si="0"/>
        <v>0</v>
      </c>
      <c r="CN6">
        <f t="shared" si="0"/>
        <v>0</v>
      </c>
      <c r="CO6">
        <f t="shared" si="0"/>
        <v>0.39714325099981673</v>
      </c>
      <c r="CQ6">
        <v>0</v>
      </c>
      <c r="CR6">
        <v>0</v>
      </c>
      <c r="CS6">
        <v>0</v>
      </c>
      <c r="CT6">
        <v>0</v>
      </c>
      <c r="CU6">
        <v>0</v>
      </c>
      <c r="CV6">
        <v>0</v>
      </c>
      <c r="CW6">
        <v>0</v>
      </c>
      <c r="CX6">
        <v>0</v>
      </c>
      <c r="CY6">
        <v>0</v>
      </c>
      <c r="CZ6">
        <v>0</v>
      </c>
      <c r="DA6">
        <v>0</v>
      </c>
    </row>
    <row r="7" spans="2:105" ht="15.75" thickBot="1" x14ac:dyDescent="0.3">
      <c r="B7" s="7">
        <v>4</v>
      </c>
      <c r="C7" s="85">
        <v>1.6523140754728043</v>
      </c>
      <c r="D7" s="87">
        <v>1.4666328109352353</v>
      </c>
      <c r="I7">
        <v>1</v>
      </c>
      <c r="J7" cm="1">
        <f t="array" ref="J7:J12">MMULT(_xlfn.ANCHORARRAY($C$4),C16:C17)</f>
        <v>-3.7248307532408775</v>
      </c>
      <c r="L7" cm="1">
        <f t="array" ref="L7:L12">MMULT(_xlfn.ANCHORARRAY($C$4),E16:E17)</f>
        <v>1.5240056487988181</v>
      </c>
      <c r="N7" cm="1">
        <f t="array" ref="N7:N12">MMULT(_xlfn.ANCHORARRAY($C$4),G16:G17)</f>
        <v>-0.77422523098447238</v>
      </c>
      <c r="P7" cm="1">
        <f t="array" ref="P7:U12">MMULT(_xlfn.ANCHORARRAY(J7),TRANSPOSE(_xlfn.ANCHORARRAY(L7)))/SQRT($G$2)</f>
        <v>-5.6766631087586541</v>
      </c>
      <c r="Q7">
        <v>-3.153060791470669</v>
      </c>
      <c r="R7">
        <v>1.5728921541638223</v>
      </c>
      <c r="S7">
        <v>1.4598067249847655</v>
      </c>
      <c r="T7">
        <v>1.1986233859622581</v>
      </c>
      <c r="U7">
        <v>-2.9493028801224388</v>
      </c>
      <c r="W7" cm="1">
        <f t="array" ref="W7">EXP(P7)/SUM(EXP($P7:$U7))</f>
        <v>2.7312848449156121E-4</v>
      </c>
      <c r="X7" cm="1">
        <f t="array" ref="X7">EXP(Q7)/SUM(EXP($P7:$U7))</f>
        <v>3.4068542627616483E-3</v>
      </c>
      <c r="Y7" cm="1">
        <f t="array" ref="Y7">EXP(R7)/SUM(EXP($P7:$U7))</f>
        <v>0.38442253821587929</v>
      </c>
      <c r="Z7" cm="1">
        <f t="array" ref="Z7">EXP(S7)/SUM(EXP($P7:$U7))</f>
        <v>0.34331791315068322</v>
      </c>
      <c r="AA7" cm="1">
        <f t="array" ref="AA7">EXP(T7)/SUM(EXP($P7:$U7))</f>
        <v>0.26440275807484181</v>
      </c>
      <c r="AB7" cm="1">
        <f t="array" ref="AB7">EXP(U7)/SUM(EXP($P7:$U7))</f>
        <v>4.1768078113424909E-3</v>
      </c>
      <c r="AD7" s="85" cm="1">
        <f t="array" ref="AD7:AD12">MMULT(W7:AB12,_xlfn.ANCHORARRAY(N7))</f>
        <v>-1.001982460843112</v>
      </c>
      <c r="AF7">
        <v>1</v>
      </c>
      <c r="AG7" s="85">
        <f>U47</f>
        <v>5.446060465249996</v>
      </c>
      <c r="AI7" s="7">
        <v>1</v>
      </c>
      <c r="AJ7" s="2">
        <v>-0.13400000000000001</v>
      </c>
      <c r="AK7" s="2">
        <v>-0.67100000000000004</v>
      </c>
      <c r="AL7" s="12">
        <v>-0.77800000000000002</v>
      </c>
      <c r="AN7" s="7">
        <v>1</v>
      </c>
      <c r="AO7" cm="1">
        <f t="array" ref="AO7:AO18">AG34*AJ7:AJ18</f>
        <v>-2.2035328533814999E-2</v>
      </c>
      <c r="AP7" cm="1">
        <f t="array" ref="AP7:AP18">AG35*AK7:AK18</f>
        <v>-6.199231051262713E-2</v>
      </c>
      <c r="AQ7" s="8" cm="1">
        <f t="array" ref="AQ7:AQ18">AG36*AL7:AL18</f>
        <v>-0.20992918861709095</v>
      </c>
      <c r="AT7" s="7">
        <v>1</v>
      </c>
      <c r="AU7" cm="1">
        <f t="array" ref="AU7:AV8">MMULT(TRANSPOSE($M$38:$N$43),$AO$61:$AP$66)</f>
        <v>-0.12012970102384837</v>
      </c>
      <c r="AV7" s="8">
        <v>-0.14089877453862504</v>
      </c>
      <c r="AX7" s="9">
        <f>SUM(AO61:AO66)</f>
        <v>-8.6278785663529867E-2</v>
      </c>
      <c r="AY7" s="11">
        <f>SUM(AP61:AP66)</f>
        <v>-7.8592061072328967E-2</v>
      </c>
      <c r="CH7">
        <v>2</v>
      </c>
      <c r="CI7" s="85">
        <v>-8.8396949930613256E-2</v>
      </c>
      <c r="CJ7">
        <f>MATCH(MAX(FRONTEND!$M29:$Q29),FRONTEND!$M29:$Q29,0)</f>
        <v>5</v>
      </c>
      <c r="CK7">
        <f t="shared" ref="CK7:CK11" si="1">IF($CJ7=CK$5,$CI7,0)</f>
        <v>0</v>
      </c>
      <c r="CL7">
        <f t="shared" si="0"/>
        <v>0</v>
      </c>
      <c r="CM7">
        <f t="shared" si="0"/>
        <v>0</v>
      </c>
      <c r="CN7">
        <f t="shared" si="0"/>
        <v>0</v>
      </c>
      <c r="CO7">
        <f t="shared" si="0"/>
        <v>-8.8396949930613256E-2</v>
      </c>
      <c r="CQ7">
        <v>0</v>
      </c>
      <c r="CR7">
        <v>0</v>
      </c>
      <c r="CS7">
        <v>0</v>
      </c>
      <c r="CT7" s="4" cm="1">
        <f t="array" ref="CT7:CX12">FRONTEND!$B$4:$F$9</f>
        <v>-0.98912614845213298</v>
      </c>
      <c r="CU7" s="5">
        <v>1.2524064692339041</v>
      </c>
      <c r="CV7" s="5">
        <v>-0.12847843518120475</v>
      </c>
      <c r="CW7" s="5">
        <v>1.03222097393131</v>
      </c>
      <c r="CX7" s="6">
        <v>1.5768096931716007</v>
      </c>
      <c r="CY7">
        <v>0</v>
      </c>
      <c r="CZ7">
        <v>0</v>
      </c>
      <c r="DA7">
        <v>0</v>
      </c>
    </row>
    <row r="8" spans="2:105" ht="15.75" thickBot="1" x14ac:dyDescent="0.3">
      <c r="B8" s="7">
        <v>5</v>
      </c>
      <c r="C8" s="85">
        <v>1.3357469490607339</v>
      </c>
      <c r="D8" s="87">
        <v>1.1924632048467632</v>
      </c>
      <c r="I8">
        <v>2</v>
      </c>
      <c r="J8">
        <v>-2.4195316472016706</v>
      </c>
      <c r="L8">
        <v>0.84649773381710658</v>
      </c>
      <c r="N8">
        <v>-0.82684909382669447</v>
      </c>
      <c r="P8">
        <v>-3.6873798977828551</v>
      </c>
      <c r="Q8">
        <v>-2.0481280562549853</v>
      </c>
      <c r="R8">
        <v>1.0217007420601245</v>
      </c>
      <c r="S8">
        <v>0.94824404218240599</v>
      </c>
      <c r="T8">
        <v>0.77858764801283897</v>
      </c>
      <c r="U8">
        <v>-1.9157733943832183</v>
      </c>
      <c r="W8" cm="1">
        <f t="array" ref="W8">EXP(P8)/SUM(EXP($P8:$U8))</f>
        <v>3.1940809024721276E-3</v>
      </c>
      <c r="X8" cm="1">
        <f t="array" ref="X8">EXP(Q8)/SUM(EXP($P8:$U8))</f>
        <v>1.6453713896527087E-2</v>
      </c>
      <c r="Y8" cm="1">
        <f t="array" ref="Y8">EXP(R8)/SUM(EXP($P8:$U8))</f>
        <v>0.35438362713346711</v>
      </c>
      <c r="Z8" cm="1">
        <f t="array" ref="Z8">EXP(S8)/SUM(EXP($P8:$U8))</f>
        <v>0.32928489521395293</v>
      </c>
      <c r="AA8" cm="1">
        <f t="array" ref="AA8">EXP(T8)/SUM(EXP($P8:$U8))</f>
        <v>0.2779015529191684</v>
      </c>
      <c r="AB8" cm="1">
        <f t="array" ref="AB8">EXP(U8)/SUM(EXP($P8:$U8))</f>
        <v>1.8782129934412407E-2</v>
      </c>
      <c r="AD8" s="85">
        <v>-0.98766150777877681</v>
      </c>
      <c r="AF8">
        <v>2</v>
      </c>
      <c r="AG8" s="85">
        <f t="shared" ref="AG8:AG18" si="2">U48</f>
        <v>2.7119171117790675</v>
      </c>
      <c r="AI8" s="7">
        <v>2</v>
      </c>
      <c r="AJ8" s="2">
        <v>-0.94499999999999995</v>
      </c>
      <c r="AK8" s="2">
        <v>-0.04</v>
      </c>
      <c r="AL8" s="12">
        <v>0.99099999999999999</v>
      </c>
      <c r="AN8" s="7">
        <v>2</v>
      </c>
      <c r="AO8">
        <v>-0.15539839898847144</v>
      </c>
      <c r="AP8">
        <v>-3.6955177652832861E-3</v>
      </c>
      <c r="AQ8" s="8">
        <v>0.26740337521791407</v>
      </c>
      <c r="AT8" s="9">
        <v>2</v>
      </c>
      <c r="AU8" s="14">
        <v>-0.272120503703146</v>
      </c>
      <c r="AV8" s="11">
        <v>-0.34261050142047456</v>
      </c>
      <c r="CH8">
        <v>3</v>
      </c>
      <c r="CI8" s="85">
        <v>-0.20152909604265906</v>
      </c>
      <c r="CJ8">
        <f>MATCH(MAX(FRONTEND!$M30:$Q30),FRONTEND!$M30:$Q30,0)</f>
        <v>4</v>
      </c>
      <c r="CK8">
        <f t="shared" si="1"/>
        <v>0</v>
      </c>
      <c r="CL8">
        <f t="shared" si="0"/>
        <v>0</v>
      </c>
      <c r="CM8">
        <f t="shared" si="0"/>
        <v>0</v>
      </c>
      <c r="CN8">
        <f t="shared" si="0"/>
        <v>-0.20152909604265906</v>
      </c>
      <c r="CO8">
        <f t="shared" si="0"/>
        <v>0</v>
      </c>
      <c r="CQ8">
        <v>0</v>
      </c>
      <c r="CR8">
        <v>0</v>
      </c>
      <c r="CS8">
        <v>0</v>
      </c>
      <c r="CT8" s="7">
        <v>0.37651776460212311</v>
      </c>
      <c r="CU8">
        <v>1.0409057846509018</v>
      </c>
      <c r="CV8">
        <v>-1.6276300267484027</v>
      </c>
      <c r="CW8">
        <v>1.6111657826358685</v>
      </c>
      <c r="CX8" s="8">
        <v>1.1545320582322287</v>
      </c>
      <c r="CY8">
        <v>0</v>
      </c>
      <c r="CZ8">
        <v>0</v>
      </c>
      <c r="DA8">
        <v>0</v>
      </c>
    </row>
    <row r="9" spans="2:105" ht="15.75" thickBot="1" x14ac:dyDescent="0.3">
      <c r="B9" s="9">
        <v>6</v>
      </c>
      <c r="C9" s="86">
        <v>3.088263378953064</v>
      </c>
      <c r="D9" s="88">
        <v>0.64739640664357267</v>
      </c>
      <c r="I9">
        <v>3</v>
      </c>
      <c r="J9">
        <v>-0.11836369524059753</v>
      </c>
      <c r="L9">
        <v>-0.42227211338267923</v>
      </c>
      <c r="N9">
        <v>-1.0875477655942432</v>
      </c>
      <c r="P9">
        <v>-0.18038694015937243</v>
      </c>
      <c r="Q9">
        <v>-0.10019459978738446</v>
      </c>
      <c r="R9">
        <v>4.9981687737030489E-2</v>
      </c>
      <c r="S9">
        <v>4.638817969271037E-2</v>
      </c>
      <c r="T9">
        <v>3.8088574371023282E-2</v>
      </c>
      <c r="U9">
        <v>-9.3719798401925916E-2</v>
      </c>
      <c r="W9" cm="1">
        <f t="array" ref="W9">EXP(P9)/SUM(EXP($P9:$U9))</f>
        <v>0.144262269946698</v>
      </c>
      <c r="X9" cm="1">
        <f t="array" ref="X9">EXP(Q9)/SUM(EXP($P9:$U9))</f>
        <v>0.15630751274073812</v>
      </c>
      <c r="Y9" cm="1">
        <f t="array" ref="Y9">EXP(R9)/SUM(EXP($P9:$U9))</f>
        <v>0.18163543793737408</v>
      </c>
      <c r="Z9" cm="1">
        <f t="array" ref="Z9">EXP(S9)/SUM(EXP($P9:$U9))</f>
        <v>0.18098390088295993</v>
      </c>
      <c r="AA9" cm="1">
        <f t="array" ref="AA9">EXP(T9)/SUM(EXP($P9:$U9))</f>
        <v>0.17948802212446843</v>
      </c>
      <c r="AB9" cm="1">
        <f t="array" ref="AB9">EXP(U9)/SUM(EXP($P9:$U9))</f>
        <v>0.15732285636776136</v>
      </c>
      <c r="AD9" s="85">
        <v>-0.86844847248955925</v>
      </c>
      <c r="AF9">
        <v>3</v>
      </c>
      <c r="AG9" s="85">
        <f t="shared" si="2"/>
        <v>1.5145136304563418</v>
      </c>
      <c r="AI9" s="7">
        <v>3</v>
      </c>
      <c r="AJ9" s="2">
        <v>-0.62</v>
      </c>
      <c r="AK9" s="2">
        <v>0.312</v>
      </c>
      <c r="AL9" s="12">
        <v>-0.121</v>
      </c>
      <c r="AN9" s="7">
        <v>3</v>
      </c>
      <c r="AO9">
        <v>-0.10195450515645745</v>
      </c>
      <c r="AP9">
        <v>2.8825038569209632E-2</v>
      </c>
      <c r="AQ9" s="8">
        <v>-3.2649655299059131E-2</v>
      </c>
      <c r="CH9">
        <v>4</v>
      </c>
      <c r="CI9" s="85">
        <v>5.8359810882477985E-2</v>
      </c>
      <c r="CJ9">
        <f>MATCH(MAX(FRONTEND!$M31:$Q31),FRONTEND!$M31:$Q31,0)</f>
        <v>1</v>
      </c>
      <c r="CK9">
        <f t="shared" si="1"/>
        <v>5.8359810882477985E-2</v>
      </c>
      <c r="CL9">
        <f t="shared" si="0"/>
        <v>0</v>
      </c>
      <c r="CM9">
        <f t="shared" si="0"/>
        <v>0</v>
      </c>
      <c r="CN9">
        <f t="shared" si="0"/>
        <v>0</v>
      </c>
      <c r="CO9">
        <f t="shared" si="0"/>
        <v>0</v>
      </c>
      <c r="CQ9">
        <v>0</v>
      </c>
      <c r="CR9">
        <v>0</v>
      </c>
      <c r="CS9">
        <v>0</v>
      </c>
      <c r="CT9" s="7">
        <v>-0.73854381563096749</v>
      </c>
      <c r="CU9">
        <v>-0.38067852686190223</v>
      </c>
      <c r="CV9">
        <v>1.7025691581994165</v>
      </c>
      <c r="CW9">
        <v>0.92174507286591334</v>
      </c>
      <c r="CX9" s="8">
        <v>0.33462632466056236</v>
      </c>
      <c r="CY9">
        <v>0</v>
      </c>
      <c r="CZ9">
        <v>0</v>
      </c>
      <c r="DA9">
        <v>0</v>
      </c>
    </row>
    <row r="10" spans="2:105" x14ac:dyDescent="0.25">
      <c r="B10" t="s">
        <v>229</v>
      </c>
      <c r="I10">
        <v>4</v>
      </c>
      <c r="J10">
        <v>-0.13365785943455011</v>
      </c>
      <c r="L10">
        <v>-0.39191222949247451</v>
      </c>
      <c r="N10">
        <v>-1.0362983934106182</v>
      </c>
      <c r="P10">
        <v>-0.20369533278461277</v>
      </c>
      <c r="Q10">
        <v>-0.11314107511819205</v>
      </c>
      <c r="R10">
        <v>5.6439986773632544E-2</v>
      </c>
      <c r="S10">
        <v>5.2382149680186299E-2</v>
      </c>
      <c r="T10">
        <v>4.3010124928902459E-2</v>
      </c>
      <c r="U10">
        <v>-0.10582964324978733</v>
      </c>
      <c r="W10" cm="1">
        <f t="array" ref="W10">EXP(P10)/SUM(EXP($P10:$U10))</f>
        <v>0.14151565367130781</v>
      </c>
      <c r="X10" cm="1">
        <f t="array" ref="X10">EXP(Q10)/SUM(EXP($P10:$U10))</f>
        <v>0.15492863558013287</v>
      </c>
      <c r="Y10" cm="1">
        <f t="array" ref="Y10">EXP(R10)/SUM(EXP($P10:$U10))</f>
        <v>0.18356074665909192</v>
      </c>
      <c r="Z10" cm="1">
        <f t="array" ref="Z10">EXP(S10)/SUM(EXP($P10:$U10))</f>
        <v>0.18281739626979246</v>
      </c>
      <c r="AA10" cm="1">
        <f t="array" ref="AA10">EXP(T10)/SUM(EXP($P10:$U10))</f>
        <v>0.18111203095249223</v>
      </c>
      <c r="AB10" cm="1">
        <f t="array" ref="AB10">EXP(U10)/SUM(EXP($P10:$U10))</f>
        <v>0.15606553686718272</v>
      </c>
      <c r="AD10" s="85">
        <v>-0.8698140884222112</v>
      </c>
      <c r="AF10">
        <v>4</v>
      </c>
      <c r="AG10" s="85">
        <f t="shared" si="2"/>
        <v>1.4770814069566054</v>
      </c>
      <c r="AI10" s="7">
        <v>4</v>
      </c>
      <c r="AJ10" s="2">
        <v>-0.29099999999999998</v>
      </c>
      <c r="AK10" s="2">
        <v>-0.20200000000000001</v>
      </c>
      <c r="AL10" s="12">
        <v>0.186</v>
      </c>
      <c r="AN10" s="7">
        <v>4</v>
      </c>
      <c r="AO10">
        <v>-4.7852840323434058E-2</v>
      </c>
      <c r="AP10">
        <v>-1.8662364714680597E-2</v>
      </c>
      <c r="AQ10" s="8">
        <v>5.0188726327479324E-2</v>
      </c>
      <c r="AU10" t="s">
        <v>166</v>
      </c>
      <c r="CH10">
        <v>5</v>
      </c>
      <c r="CI10" s="85">
        <v>8.4651028355200136E-2</v>
      </c>
      <c r="CJ10">
        <f>MATCH(MAX(FRONTEND!$M32:$Q32),FRONTEND!$M32:$Q32,0)</f>
        <v>1</v>
      </c>
      <c r="CK10">
        <f t="shared" si="1"/>
        <v>8.4651028355200136E-2</v>
      </c>
      <c r="CL10">
        <f t="shared" si="0"/>
        <v>0</v>
      </c>
      <c r="CM10">
        <f t="shared" si="0"/>
        <v>0</v>
      </c>
      <c r="CN10">
        <f t="shared" si="0"/>
        <v>0</v>
      </c>
      <c r="CO10">
        <f t="shared" si="0"/>
        <v>0</v>
      </c>
      <c r="CQ10">
        <v>0</v>
      </c>
      <c r="CR10">
        <v>0</v>
      </c>
      <c r="CS10">
        <v>0</v>
      </c>
      <c r="CT10" s="7">
        <v>0.62033105377419506</v>
      </c>
      <c r="CU10">
        <v>-0.54798885101874573</v>
      </c>
      <c r="CV10">
        <v>0.14228331078254203</v>
      </c>
      <c r="CW10">
        <v>-0.90402351792044611</v>
      </c>
      <c r="CX10" s="8">
        <v>-0.78877948547958721</v>
      </c>
      <c r="CY10">
        <v>0</v>
      </c>
      <c r="CZ10">
        <v>0</v>
      </c>
      <c r="DA10">
        <v>0</v>
      </c>
    </row>
    <row r="11" spans="2:105" x14ac:dyDescent="0.25">
      <c r="I11">
        <v>5</v>
      </c>
      <c r="J11">
        <v>-0.10204624982520105</v>
      </c>
      <c r="L11">
        <v>-0.32179271096260342</v>
      </c>
      <c r="N11">
        <v>-0.8421749980918608</v>
      </c>
      <c r="P11">
        <v>-0.15551906117234179</v>
      </c>
      <c r="Q11">
        <v>-8.6381919221567002E-2</v>
      </c>
      <c r="R11">
        <v>4.3091285576464508E-2</v>
      </c>
      <c r="S11">
        <v>3.9993173280340584E-2</v>
      </c>
      <c r="T11">
        <v>3.2837739374818542E-2</v>
      </c>
      <c r="U11">
        <v>-8.0799724458164274E-2</v>
      </c>
      <c r="W11" cm="1">
        <f t="array" ref="W11">EXP(P11)/SUM(EXP($P11:$U11))</f>
        <v>0.14723053545651724</v>
      </c>
      <c r="X11" cm="1">
        <f t="array" ref="X11">EXP(Q11)/SUM(EXP($P11:$U11))</f>
        <v>0.1577697621497742</v>
      </c>
      <c r="Y11" cm="1">
        <f t="array" ref="Y11">EXP(R11)/SUM(EXP($P11:$U11))</f>
        <v>0.17957805738551258</v>
      </c>
      <c r="Z11" cm="1">
        <f t="array" ref="Z11">EXP(S11)/SUM(EXP($P11:$U11))</f>
        <v>0.17902256533051036</v>
      </c>
      <c r="AA11" cm="1">
        <f t="array" ref="AA11">EXP(T11)/SUM(EXP($P11:$U11))</f>
        <v>0.17774615328375429</v>
      </c>
      <c r="AB11" cm="1">
        <f t="array" ref="AB11">EXP(U11)/SUM(EXP($P11:$U11))</f>
        <v>0.15865292639393139</v>
      </c>
      <c r="AD11" s="85">
        <v>-0.86699022828338224</v>
      </c>
      <c r="AF11">
        <v>5</v>
      </c>
      <c r="AG11" s="85">
        <f t="shared" si="2"/>
        <v>1.3018616402267593</v>
      </c>
      <c r="AI11" s="7">
        <v>5</v>
      </c>
      <c r="AJ11" s="2">
        <v>-0.57699999999999996</v>
      </c>
      <c r="AK11" s="2">
        <v>-0.185</v>
      </c>
      <c r="AL11" s="12">
        <v>0.17299999999999999</v>
      </c>
      <c r="AN11" s="7">
        <v>5</v>
      </c>
      <c r="AO11">
        <v>-9.4883466895606366E-2</v>
      </c>
      <c r="AP11">
        <v>-1.7091769664435198E-2</v>
      </c>
      <c r="AQ11" s="8">
        <v>4.6680912121795287E-2</v>
      </c>
      <c r="AU11">
        <v>1</v>
      </c>
      <c r="AV11">
        <v>2</v>
      </c>
      <c r="CH11">
        <v>6</v>
      </c>
      <c r="CI11" s="85">
        <v>-0.33390181163514931</v>
      </c>
      <c r="CJ11">
        <f>MATCH(MAX(FRONTEND!$M33:$Q33),FRONTEND!$M33:$Q33,0)</f>
        <v>1</v>
      </c>
      <c r="CK11">
        <f t="shared" si="1"/>
        <v>-0.33390181163514931</v>
      </c>
      <c r="CL11">
        <f t="shared" si="0"/>
        <v>0</v>
      </c>
      <c r="CM11">
        <f t="shared" si="0"/>
        <v>0</v>
      </c>
      <c r="CN11">
        <f t="shared" si="0"/>
        <v>0</v>
      </c>
      <c r="CO11">
        <f t="shared" si="0"/>
        <v>0</v>
      </c>
      <c r="CQ11">
        <v>0</v>
      </c>
      <c r="CR11">
        <v>0</v>
      </c>
      <c r="CS11">
        <v>0</v>
      </c>
      <c r="CT11" s="7">
        <v>-0.75834007535944881</v>
      </c>
      <c r="CU11">
        <v>-2.072718061607192E-2</v>
      </c>
      <c r="CV11">
        <v>-1.0835521787269116</v>
      </c>
      <c r="CW11">
        <v>-0.87494643105044001</v>
      </c>
      <c r="CX11" s="8">
        <v>-0.20149044686796963</v>
      </c>
      <c r="CY11">
        <v>0</v>
      </c>
      <c r="CZ11">
        <v>0</v>
      </c>
      <c r="DA11">
        <v>0</v>
      </c>
    </row>
    <row r="12" spans="2:105" ht="15.75" thickBot="1" x14ac:dyDescent="0.3">
      <c r="I12">
        <v>6</v>
      </c>
      <c r="J12">
        <v>-2.0923741948111969</v>
      </c>
      <c r="L12">
        <v>0.79179513795528234</v>
      </c>
      <c r="N12">
        <v>-0.58010256721059439</v>
      </c>
      <c r="P12">
        <v>-3.1887900922931425</v>
      </c>
      <c r="Q12">
        <v>-1.7711900142050712</v>
      </c>
      <c r="R12">
        <v>0.88355127323030591</v>
      </c>
      <c r="S12">
        <v>0.82002703562097734</v>
      </c>
      <c r="T12">
        <v>0.67331076449648952</v>
      </c>
      <c r="U12">
        <v>-1.6567317142346045</v>
      </c>
      <c r="W12" cm="1">
        <f t="array" ref="W12">EXP(P12)/SUM(EXP($P12:$U12))</f>
        <v>5.8446728800678098E-3</v>
      </c>
      <c r="X12" cm="1">
        <f t="array" ref="X12">EXP(Q12)/SUM(EXP($P12:$U12))</f>
        <v>2.4122154827886544E-2</v>
      </c>
      <c r="Y12" cm="1">
        <f t="array" ref="Y12">EXP(R12)/SUM(EXP($P12:$U12))</f>
        <v>0.34304855369509596</v>
      </c>
      <c r="Z12" cm="1">
        <f t="array" ref="Z12">EXP(S12)/SUM(EXP($P12:$U12))</f>
        <v>0.32193438629192456</v>
      </c>
      <c r="AA12" cm="1">
        <f t="array" ref="AA12">EXP(T12)/SUM(EXP($P12:$U12))</f>
        <v>0.27800288306559251</v>
      </c>
      <c r="AB12" cm="1">
        <f t="array" ref="AB12">EXP(U12)/SUM(EXP($P12:$U12))</f>
        <v>2.7047349239432649E-2</v>
      </c>
      <c r="AD12" s="85">
        <v>-0.98098956467591114</v>
      </c>
      <c r="AF12">
        <v>6</v>
      </c>
      <c r="AG12" s="85">
        <f t="shared" si="2"/>
        <v>2.1393206618397169</v>
      </c>
      <c r="AI12" s="7">
        <v>6</v>
      </c>
      <c r="AJ12" s="2">
        <v>0.57199999999999995</v>
      </c>
      <c r="AK12" s="2">
        <v>0.89200000000000002</v>
      </c>
      <c r="AL12" s="12">
        <v>0.75700000000000001</v>
      </c>
      <c r="AN12" s="7">
        <v>6</v>
      </c>
      <c r="AO12">
        <v>9.4061253144344603E-2</v>
      </c>
      <c r="AP12">
        <v>8.2410046165817277E-2</v>
      </c>
      <c r="AQ12" s="8">
        <v>0.20426271951560135</v>
      </c>
      <c r="AT12">
        <v>1</v>
      </c>
      <c r="AU12" s="85" cm="1">
        <f t="array" ref="AU12:AV17">MMULT($AO$61:$AP$66,TRANSPOSE($C$38:$D$39))</f>
        <v>0.29017237002224427</v>
      </c>
      <c r="AV12" s="89">
        <v>-1.4984440904143304E-3</v>
      </c>
      <c r="CQ12">
        <v>0</v>
      </c>
      <c r="CR12">
        <v>0</v>
      </c>
      <c r="CS12">
        <v>0</v>
      </c>
      <c r="CT12" s="9">
        <v>-0.44083361287554584</v>
      </c>
      <c r="CU12" s="14">
        <v>-1.4637255107168889</v>
      </c>
      <c r="CV12" s="14">
        <v>-1.5763300418606174</v>
      </c>
      <c r="CW12" s="14">
        <v>1.307069689645453</v>
      </c>
      <c r="CX12" s="11">
        <v>-0.54798885101874573</v>
      </c>
      <c r="CY12">
        <v>0</v>
      </c>
      <c r="CZ12">
        <v>0</v>
      </c>
      <c r="DA12">
        <v>0</v>
      </c>
    </row>
    <row r="13" spans="2:105" ht="15.75" thickBot="1" x14ac:dyDescent="0.3">
      <c r="AF13">
        <v>7</v>
      </c>
      <c r="AG13" s="89">
        <f t="shared" si="2"/>
        <v>4.5408690791040813</v>
      </c>
      <c r="AI13" s="7">
        <v>7</v>
      </c>
      <c r="AJ13" s="2">
        <v>-0.21</v>
      </c>
      <c r="AK13" s="2">
        <v>-0.86299999999999999</v>
      </c>
      <c r="AL13" s="12">
        <v>0.252</v>
      </c>
      <c r="AN13" s="7">
        <v>7</v>
      </c>
      <c r="AO13">
        <v>-3.453297755299365E-2</v>
      </c>
      <c r="AP13">
        <v>-7.9730795785986894E-2</v>
      </c>
      <c r="AQ13" s="8">
        <v>6.7997629217875222E-2</v>
      </c>
      <c r="AT13">
        <v>2</v>
      </c>
      <c r="AU13" s="85">
        <v>-6.9748274863216775E-2</v>
      </c>
      <c r="AV13" s="89">
        <v>1.448380824667817E-2</v>
      </c>
      <c r="CI13" t="s">
        <v>92</v>
      </c>
      <c r="CQ13">
        <v>0</v>
      </c>
      <c r="CR13">
        <v>0</v>
      </c>
      <c r="CS13">
        <v>0</v>
      </c>
      <c r="CT13">
        <v>0</v>
      </c>
      <c r="CU13">
        <v>0</v>
      </c>
      <c r="CV13">
        <v>0</v>
      </c>
      <c r="CW13">
        <v>0</v>
      </c>
      <c r="CX13">
        <v>0</v>
      </c>
      <c r="CY13">
        <v>0</v>
      </c>
      <c r="CZ13">
        <v>0</v>
      </c>
      <c r="DA13">
        <v>0</v>
      </c>
    </row>
    <row r="14" spans="2:105" x14ac:dyDescent="0.25">
      <c r="B14" s="4"/>
      <c r="C14" s="6" t="s">
        <v>142</v>
      </c>
      <c r="E14" s="18" t="s">
        <v>143</v>
      </c>
      <c r="G14" s="18" t="s">
        <v>144</v>
      </c>
      <c r="J14" s="89" t="s">
        <v>141</v>
      </c>
      <c r="P14" t="s">
        <v>141</v>
      </c>
      <c r="AD14" t="s">
        <v>141</v>
      </c>
      <c r="AF14">
        <v>8</v>
      </c>
      <c r="AG14" s="89">
        <f t="shared" si="2"/>
        <v>2.4403171745900272</v>
      </c>
      <c r="AI14" s="7">
        <v>8</v>
      </c>
      <c r="AJ14" s="2">
        <v>0.54900000000000004</v>
      </c>
      <c r="AK14" s="2">
        <v>0.185</v>
      </c>
      <c r="AL14" s="12">
        <v>-0.50800000000000001</v>
      </c>
      <c r="AN14" s="7">
        <v>8</v>
      </c>
      <c r="AO14">
        <v>9.027906988854055E-2</v>
      </c>
      <c r="AP14">
        <v>1.7091769664435198E-2</v>
      </c>
      <c r="AQ14" s="8">
        <v>-0.1370745858836532</v>
      </c>
      <c r="AT14">
        <v>3</v>
      </c>
      <c r="AU14" s="85">
        <v>0.22544986493384736</v>
      </c>
      <c r="AV14" s="89">
        <v>4.4828972500427181E-2</v>
      </c>
      <c r="CI14">
        <v>1</v>
      </c>
      <c r="CJ14">
        <v>2</v>
      </c>
      <c r="CK14">
        <v>3</v>
      </c>
      <c r="CL14">
        <v>4</v>
      </c>
      <c r="CM14">
        <v>5</v>
      </c>
      <c r="CQ14">
        <v>0</v>
      </c>
      <c r="CR14">
        <v>0</v>
      </c>
      <c r="CS14">
        <v>0</v>
      </c>
      <c r="CT14">
        <v>0</v>
      </c>
      <c r="CU14">
        <v>0</v>
      </c>
      <c r="CV14">
        <v>0</v>
      </c>
      <c r="CW14">
        <v>0</v>
      </c>
      <c r="CX14">
        <v>0</v>
      </c>
      <c r="CY14">
        <v>0</v>
      </c>
      <c r="CZ14">
        <v>0</v>
      </c>
      <c r="DA14">
        <v>0</v>
      </c>
    </row>
    <row r="15" spans="2:105" x14ac:dyDescent="0.25">
      <c r="B15" s="7"/>
      <c r="C15" s="8">
        <v>1</v>
      </c>
      <c r="E15" s="19">
        <v>1</v>
      </c>
      <c r="G15" s="19">
        <v>1</v>
      </c>
      <c r="J15" t="s">
        <v>150</v>
      </c>
      <c r="L15" t="s">
        <v>151</v>
      </c>
      <c r="N15" t="s">
        <v>152</v>
      </c>
      <c r="P15" t="s">
        <v>149</v>
      </c>
      <c r="W15" t="s">
        <v>153</v>
      </c>
      <c r="AD15" t="s">
        <v>155</v>
      </c>
      <c r="AF15">
        <v>9</v>
      </c>
      <c r="AG15" s="89">
        <f t="shared" si="2"/>
        <v>0.60304814390358263</v>
      </c>
      <c r="AI15" s="7">
        <v>9</v>
      </c>
      <c r="AJ15" s="2">
        <v>0.99</v>
      </c>
      <c r="AK15" s="2">
        <v>-0.94699999999999995</v>
      </c>
      <c r="AL15" s="12">
        <v>-0.90500000000000003</v>
      </c>
      <c r="AN15" s="7">
        <v>9</v>
      </c>
      <c r="AO15">
        <v>0.16279832274982722</v>
      </c>
      <c r="AP15">
        <v>-8.7491383093081798E-2</v>
      </c>
      <c r="AQ15" s="8">
        <v>-0.24419783508800427</v>
      </c>
      <c r="AT15">
        <v>4</v>
      </c>
      <c r="AU15" s="85">
        <v>-2.9643668319269217E-2</v>
      </c>
      <c r="AV15" s="89">
        <v>-1.7236012999135915E-2</v>
      </c>
      <c r="CH15">
        <v>1</v>
      </c>
      <c r="CI15">
        <f>CK6*IF(CK6&gt;0,1,0)</f>
        <v>0</v>
      </c>
      <c r="CJ15">
        <f t="shared" ref="CJ15:CM20" si="3">CL6*IF(CL6&gt;0,1,0)</f>
        <v>0</v>
      </c>
      <c r="CK15">
        <f t="shared" si="3"/>
        <v>0</v>
      </c>
      <c r="CL15">
        <f t="shared" si="3"/>
        <v>0</v>
      </c>
      <c r="CM15">
        <f t="shared" si="3"/>
        <v>0.39714325099981673</v>
      </c>
      <c r="CQ15">
        <v>0</v>
      </c>
      <c r="CR15">
        <v>0</v>
      </c>
      <c r="CS15">
        <v>0</v>
      </c>
      <c r="CT15">
        <v>0</v>
      </c>
      <c r="CU15">
        <v>0</v>
      </c>
      <c r="CV15">
        <v>0</v>
      </c>
      <c r="CW15">
        <v>0</v>
      </c>
      <c r="CX15">
        <v>0</v>
      </c>
      <c r="CY15">
        <v>0</v>
      </c>
      <c r="CZ15">
        <v>0</v>
      </c>
      <c r="DA15">
        <v>0</v>
      </c>
    </row>
    <row r="16" spans="2:105" x14ac:dyDescent="0.25">
      <c r="B16" s="7">
        <v>1</v>
      </c>
      <c r="C16" s="12">
        <v>-0.86199999999999999</v>
      </c>
      <c r="E16" s="29">
        <v>0.40899999999999997</v>
      </c>
      <c r="G16" s="29">
        <v>-5.1999999999999998E-2</v>
      </c>
      <c r="J16">
        <v>1</v>
      </c>
      <c r="L16">
        <v>1</v>
      </c>
      <c r="N16">
        <v>1</v>
      </c>
      <c r="P16">
        <v>1</v>
      </c>
      <c r="Q16">
        <v>2</v>
      </c>
      <c r="R16">
        <v>3</v>
      </c>
      <c r="S16">
        <v>4</v>
      </c>
      <c r="T16">
        <v>5</v>
      </c>
      <c r="U16">
        <v>6</v>
      </c>
      <c r="W16">
        <v>1</v>
      </c>
      <c r="X16">
        <v>2</v>
      </c>
      <c r="Y16">
        <v>3</v>
      </c>
      <c r="Z16">
        <v>4</v>
      </c>
      <c r="AA16">
        <v>5</v>
      </c>
      <c r="AB16">
        <v>6</v>
      </c>
      <c r="AD16">
        <v>1</v>
      </c>
      <c r="AF16">
        <v>10</v>
      </c>
      <c r="AG16" s="89">
        <f t="shared" si="2"/>
        <v>0.58152156466025628</v>
      </c>
      <c r="AI16" s="7">
        <v>10</v>
      </c>
      <c r="AJ16" s="2">
        <v>0.46899999999999997</v>
      </c>
      <c r="AK16" s="2">
        <v>0.36499999999999999</v>
      </c>
      <c r="AL16" s="12">
        <v>-0.20699999999999999</v>
      </c>
      <c r="AN16" s="7">
        <v>10</v>
      </c>
      <c r="AO16">
        <v>7.712364986835249E-2</v>
      </c>
      <c r="AP16">
        <v>3.3721599608209987E-2</v>
      </c>
      <c r="AQ16" s="8">
        <v>-5.5855195428968926E-2</v>
      </c>
      <c r="AT16">
        <v>5</v>
      </c>
      <c r="AU16" s="85">
        <v>-9.6315330615193533E-3</v>
      </c>
      <c r="AV16" s="89">
        <v>-2.8103156111960778E-2</v>
      </c>
      <c r="CH16">
        <v>2</v>
      </c>
      <c r="CI16">
        <f t="shared" ref="CI16:CI20" si="4">CK7*IF(CK7&gt;0,1,0)</f>
        <v>0</v>
      </c>
      <c r="CJ16">
        <f t="shared" si="3"/>
        <v>0</v>
      </c>
      <c r="CK16">
        <f t="shared" si="3"/>
        <v>0</v>
      </c>
      <c r="CL16">
        <f t="shared" si="3"/>
        <v>0</v>
      </c>
      <c r="CM16">
        <f t="shared" si="3"/>
        <v>0</v>
      </c>
    </row>
    <row r="17" spans="2:97" ht="15.75" thickBot="1" x14ac:dyDescent="0.3">
      <c r="B17" s="9">
        <v>2</v>
      </c>
      <c r="C17" s="24">
        <v>0.88</v>
      </c>
      <c r="E17" s="30">
        <v>-0.72799999999999998</v>
      </c>
      <c r="G17" s="30">
        <v>-0.64800000000000002</v>
      </c>
      <c r="I17">
        <v>1</v>
      </c>
      <c r="J17" cm="1">
        <f t="array" ref="J17:J22">MMULT(_xlfn.ANCHORARRAY($C$4),C22:C23)</f>
        <v>-2.3075420108841893</v>
      </c>
      <c r="L17" cm="1">
        <f t="array" ref="L17:L22">MMULT(_xlfn.ANCHORARRAY($C$4),E22:E23)</f>
        <v>1.2211823943599012</v>
      </c>
      <c r="N17" cm="1">
        <f t="array" ref="N17:N22">MMULT(_xlfn.ANCHORARRAY($C$4),G22:G23)</f>
        <v>5.1806257204025741</v>
      </c>
      <c r="P17" cm="1">
        <f t="array" ref="P17:U22">MMULT(_xlfn.ANCHORARRAY(J17),TRANSPOSE(_xlfn.ANCHORARRAY(L17)))/SQRT($G$2)</f>
        <v>-2.8179296779376153</v>
      </c>
      <c r="Q17">
        <v>-2.0162137353690608</v>
      </c>
      <c r="R17">
        <v>-0.69913878834707044</v>
      </c>
      <c r="S17">
        <v>-0.67949484051303366</v>
      </c>
      <c r="T17">
        <v>-0.54801930920523934</v>
      </c>
      <c r="U17">
        <v>-1.6662013280958563</v>
      </c>
      <c r="W17" cm="1">
        <f t="array" ref="W17">EXP(P17)/SUM(EXP($P17:$U17))</f>
        <v>3.0414765101678592E-2</v>
      </c>
      <c r="X17" cm="1">
        <f t="array" ref="X17">EXP(Q17)/SUM(EXP($P17:$U17))</f>
        <v>6.7805555234620091E-2</v>
      </c>
      <c r="Y17" cm="1">
        <f t="array" ref="Y17">EXP(R17)/SUM(EXP($P17:$U17))</f>
        <v>0.25308339887380582</v>
      </c>
      <c r="Z17" cm="1">
        <f t="array" ref="Z17">EXP(S17)/SUM(EXP($P17:$U17))</f>
        <v>0.25810410778068671</v>
      </c>
      <c r="AA17" cm="1">
        <f t="array" ref="AA17">EXP(T17)/SUM(EXP($P17:$U17))</f>
        <v>0.29437031611795128</v>
      </c>
      <c r="AB17" cm="1">
        <f t="array" ref="AB17">EXP(U17)/SUM(EXP($P17:$U17))</f>
        <v>9.6221856891257534E-2</v>
      </c>
      <c r="AD17" s="89" cm="1">
        <f t="array" ref="AD17:AD22">MMULT(W17:AB22,_xlfn.ANCHORARRAY(N17))</f>
        <v>2.4082199711484167</v>
      </c>
      <c r="AF17">
        <v>11</v>
      </c>
      <c r="AG17" s="89">
        <f t="shared" si="2"/>
        <v>0.42094008692311724</v>
      </c>
      <c r="AI17" s="7">
        <v>11</v>
      </c>
      <c r="AJ17" s="2">
        <v>0.24099999999999999</v>
      </c>
      <c r="AK17" s="2">
        <v>0.48599999999999999</v>
      </c>
      <c r="AL17" s="12">
        <v>-6.0000000000000001E-3</v>
      </c>
      <c r="AN17" s="7">
        <v>11</v>
      </c>
      <c r="AO17">
        <v>3.9630702810816522E-2</v>
      </c>
      <c r="AP17">
        <v>4.4900540848191922E-2</v>
      </c>
      <c r="AQ17" s="8">
        <v>-1.6189911718541719E-3</v>
      </c>
      <c r="AT17">
        <v>6</v>
      </c>
      <c r="AU17" s="85">
        <v>-0.276041446104689</v>
      </c>
      <c r="AV17" s="89">
        <v>3.9346698388611927E-2</v>
      </c>
      <c r="CH17">
        <v>3</v>
      </c>
      <c r="CI17">
        <f t="shared" si="4"/>
        <v>0</v>
      </c>
      <c r="CJ17">
        <f t="shared" si="3"/>
        <v>0</v>
      </c>
      <c r="CK17">
        <f t="shared" si="3"/>
        <v>0</v>
      </c>
      <c r="CL17">
        <f t="shared" si="3"/>
        <v>0</v>
      </c>
      <c r="CM17">
        <f t="shared" si="3"/>
        <v>0</v>
      </c>
    </row>
    <row r="18" spans="2:97" ht="15.75" thickBot="1" x14ac:dyDescent="0.3">
      <c r="I18">
        <v>2</v>
      </c>
      <c r="J18">
        <v>-1.6186552476111653</v>
      </c>
      <c r="L18">
        <v>0.87374952475794831</v>
      </c>
      <c r="N18">
        <v>4.0119170540215841</v>
      </c>
      <c r="P18">
        <v>-1.9766732909210216</v>
      </c>
      <c r="Q18">
        <v>-1.4142992533472147</v>
      </c>
      <c r="R18">
        <v>-0.49041996341937594</v>
      </c>
      <c r="S18">
        <v>-0.4766404616398266</v>
      </c>
      <c r="T18">
        <v>-0.38441524637612579</v>
      </c>
      <c r="U18">
        <v>-1.1687785143576344</v>
      </c>
      <c r="W18" cm="1">
        <f t="array" ref="W18">EXP(P18)/SUM(EXP($P18:$U18))</f>
        <v>5.3148554880762977E-2</v>
      </c>
      <c r="X18" cm="1">
        <f t="array" ref="X18">EXP(Q18)/SUM(EXP($P18:$U18))</f>
        <v>9.3266869893035911E-2</v>
      </c>
      <c r="Y18" cm="1">
        <f t="array" ref="Y18">EXP(R18)/SUM(EXP($P18:$U18))</f>
        <v>0.234943307996061</v>
      </c>
      <c r="Z18" cm="1">
        <f t="array" ref="Z18">EXP(S18)/SUM(EXP($P18:$U18))</f>
        <v>0.23820311742213993</v>
      </c>
      <c r="AA18" cm="1">
        <f t="array" ref="AA18">EXP(T18)/SUM(EXP($P18:$U18))</f>
        <v>0.26121634173470787</v>
      </c>
      <c r="AB18" cm="1">
        <f t="array" ref="AB18">EXP(U18)/SUM(EXP($P18:$U18))</f>
        <v>0.11922180807329244</v>
      </c>
      <c r="AD18" s="89">
        <v>2.5574432924763797</v>
      </c>
      <c r="AF18">
        <v>12</v>
      </c>
      <c r="AG18" s="89">
        <f t="shared" si="2"/>
        <v>1.9852154983044858</v>
      </c>
      <c r="AI18" s="9">
        <v>12</v>
      </c>
      <c r="AJ18" s="10">
        <v>-0.16700000000000001</v>
      </c>
      <c r="AK18" s="10">
        <v>-0.442</v>
      </c>
      <c r="AL18" s="24">
        <v>0.01</v>
      </c>
      <c r="AN18" s="9">
        <v>12</v>
      </c>
      <c r="AO18" s="14">
        <v>-2.7461939292142572E-2</v>
      </c>
      <c r="AP18" s="14">
        <v>-4.0835471306380308E-2</v>
      </c>
      <c r="AQ18" s="11">
        <v>2.6983186197569531E-3</v>
      </c>
      <c r="CH18">
        <v>4</v>
      </c>
      <c r="CI18">
        <f t="shared" si="4"/>
        <v>5.8359810882477985E-2</v>
      </c>
      <c r="CJ18">
        <f t="shared" si="3"/>
        <v>0</v>
      </c>
      <c r="CK18">
        <f t="shared" si="3"/>
        <v>0</v>
      </c>
      <c r="CL18">
        <f t="shared" si="3"/>
        <v>0</v>
      </c>
      <c r="CM18">
        <f t="shared" si="3"/>
        <v>0</v>
      </c>
    </row>
    <row r="19" spans="2:97" ht="15.75" thickBot="1" x14ac:dyDescent="0.3">
      <c r="I19">
        <v>3</v>
      </c>
      <c r="J19">
        <v>-0.46626401804023054</v>
      </c>
      <c r="L19">
        <v>0.30297987427720929</v>
      </c>
      <c r="N19">
        <v>2.2868177854111553</v>
      </c>
      <c r="P19">
        <v>-0.56939340995423693</v>
      </c>
      <c r="Q19">
        <v>-0.4073979641743829</v>
      </c>
      <c r="R19">
        <v>-0.14126861356581549</v>
      </c>
      <c r="S19">
        <v>-0.13729933976535233</v>
      </c>
      <c r="T19">
        <v>-0.11073327543699073</v>
      </c>
      <c r="U19">
        <v>-0.33667414176535782</v>
      </c>
      <c r="W19" cm="1">
        <f t="array" ref="W19">EXP(P19)/SUM(EXP($P19:$U19))</f>
        <v>0.12353773692576564</v>
      </c>
      <c r="X19" cm="1">
        <f t="array" ref="X19">EXP(Q19)/SUM(EXP($P19:$U19))</f>
        <v>0.14526245159509099</v>
      </c>
      <c r="Y19" cm="1">
        <f t="array" ref="Y19">EXP(R19)/SUM(EXP($P19:$U19))</f>
        <v>0.18955353058576879</v>
      </c>
      <c r="Z19" cm="1">
        <f t="array" ref="Z19">EXP(S19)/SUM(EXP($P19:$U19))</f>
        <v>0.19030741564682241</v>
      </c>
      <c r="AA19" cm="1">
        <f t="array" ref="AA19">EXP(T19)/SUM(EXP($P19:$U19))</f>
        <v>0.1954308886262629</v>
      </c>
      <c r="AB19" cm="1">
        <f t="array" ref="AB19">EXP(U19)/SUM(EXP($P19:$U19))</f>
        <v>0.15590797662028921</v>
      </c>
      <c r="AD19" s="89">
        <v>2.9217969043787959</v>
      </c>
      <c r="AU19" t="s">
        <v>53</v>
      </c>
      <c r="CH19">
        <v>5</v>
      </c>
      <c r="CI19">
        <f t="shared" si="4"/>
        <v>8.4651028355200136E-2</v>
      </c>
      <c r="CJ19">
        <f t="shared" si="3"/>
        <v>0</v>
      </c>
      <c r="CK19">
        <f t="shared" si="3"/>
        <v>0</v>
      </c>
      <c r="CL19">
        <f t="shared" si="3"/>
        <v>0</v>
      </c>
      <c r="CM19">
        <f t="shared" si="3"/>
        <v>0</v>
      </c>
    </row>
    <row r="20" spans="2:97" x14ac:dyDescent="0.25">
      <c r="B20" s="4"/>
      <c r="C20" s="6" t="s">
        <v>145</v>
      </c>
      <c r="E20" s="18" t="s">
        <v>146</v>
      </c>
      <c r="G20" s="18" t="s">
        <v>147</v>
      </c>
      <c r="I20">
        <v>4</v>
      </c>
      <c r="J20">
        <v>-0.45561834575266968</v>
      </c>
      <c r="L20">
        <v>0.29446694244698457</v>
      </c>
      <c r="N20">
        <v>2.1994220740786274</v>
      </c>
      <c r="P20">
        <v>-0.55639310238054251</v>
      </c>
      <c r="Q20">
        <v>-0.39809631307239773</v>
      </c>
      <c r="R20">
        <v>-0.13804318911453395</v>
      </c>
      <c r="S20">
        <v>-0.1341645411965417</v>
      </c>
      <c r="T20">
        <v>-0.10820502938749886</v>
      </c>
      <c r="U20">
        <v>-0.3289872466967777</v>
      </c>
      <c r="W20" cm="1">
        <f t="array" ref="W20">EXP(P20)/SUM(EXP($P20:$U20))</f>
        <v>0.12442243791163858</v>
      </c>
      <c r="X20" cm="1">
        <f t="array" ref="X20">EXP(Q20)/SUM(EXP($P20:$U20))</f>
        <v>0.14576260750962727</v>
      </c>
      <c r="Y20" cm="1">
        <f t="array" ref="Y20">EXP(R20)/SUM(EXP($P20:$U20))</f>
        <v>0.18905395421762256</v>
      </c>
      <c r="Z20" cm="1">
        <f t="array" ref="Z20">EXP(S20)/SUM(EXP($P20:$U20))</f>
        <v>0.18978865183917687</v>
      </c>
      <c r="AA20" cm="1">
        <f t="array" ref="AA20">EXP(T20)/SUM(EXP($P20:$U20))</f>
        <v>0.19477997848950002</v>
      </c>
      <c r="AB20" cm="1">
        <f t="array" ref="AB20">EXP(U20)/SUM(EXP($P20:$U20))</f>
        <v>0.15619237003243483</v>
      </c>
      <c r="AD20" s="89">
        <v>2.9258541663272464</v>
      </c>
      <c r="AG20" t="s">
        <v>69</v>
      </c>
      <c r="AI20" s="4"/>
      <c r="AJ20" s="52" t="s">
        <v>52</v>
      </c>
      <c r="AN20" s="4"/>
      <c r="AO20" s="52" t="s">
        <v>52</v>
      </c>
      <c r="AU20">
        <v>1</v>
      </c>
      <c r="AV20">
        <v>2</v>
      </c>
      <c r="CH20">
        <v>6</v>
      </c>
      <c r="CI20">
        <f t="shared" si="4"/>
        <v>0</v>
      </c>
      <c r="CJ20">
        <f t="shared" si="3"/>
        <v>0</v>
      </c>
      <c r="CK20">
        <f t="shared" si="3"/>
        <v>0</v>
      </c>
      <c r="CL20">
        <f t="shared" si="3"/>
        <v>0</v>
      </c>
      <c r="CM20">
        <f t="shared" si="3"/>
        <v>0</v>
      </c>
    </row>
    <row r="21" spans="2:97" ht="15.75" thickBot="1" x14ac:dyDescent="0.3">
      <c r="B21" s="7"/>
      <c r="C21" s="8">
        <v>1</v>
      </c>
      <c r="E21" s="19">
        <v>1</v>
      </c>
      <c r="G21" s="19">
        <v>1</v>
      </c>
      <c r="I21">
        <v>5</v>
      </c>
      <c r="J21">
        <v>-0.3667025214390478</v>
      </c>
      <c r="L21">
        <v>0.23749050141680964</v>
      </c>
      <c r="N21">
        <v>1.7810023609707355</v>
      </c>
      <c r="P21">
        <v>-0.4478106631487494</v>
      </c>
      <c r="Q21">
        <v>-0.32040615383490939</v>
      </c>
      <c r="R21">
        <v>-0.11110348384273835</v>
      </c>
      <c r="S21">
        <v>-0.10798177027575621</v>
      </c>
      <c r="T21">
        <v>-8.7088365687367844E-2</v>
      </c>
      <c r="U21">
        <v>-0.26478401058610473</v>
      </c>
      <c r="W21" cm="1">
        <f t="array" ref="W21">EXP(P21)/SUM(EXP($P21:$U21))</f>
        <v>0.13199361464460321</v>
      </c>
      <c r="X21" cm="1">
        <f t="array" ref="X21">EXP(Q21)/SUM(EXP($P21:$U21))</f>
        <v>0.14992843148834578</v>
      </c>
      <c r="Y21" cm="1">
        <f t="array" ref="Y21">EXP(R21)/SUM(EXP($P21:$U21))</f>
        <v>0.18483448091077959</v>
      </c>
      <c r="Z21" cm="1">
        <f t="array" ref="Z21">EXP(S21)/SUM(EXP($P21:$U21))</f>
        <v>0.18541238277021335</v>
      </c>
      <c r="AA21" cm="1">
        <f t="array" ref="AA21">EXP(T21)/SUM(EXP($P21:$U21))</f>
        <v>0.18932703146309188</v>
      </c>
      <c r="AB21" cm="1">
        <f t="array" ref="AB21">EXP(U21)/SUM(EXP($P21:$U21))</f>
        <v>0.15850405872296616</v>
      </c>
      <c r="AD21" s="89">
        <v>2.960201863260671</v>
      </c>
      <c r="AG21">
        <v>1</v>
      </c>
      <c r="AI21" s="7"/>
      <c r="AJ21" s="8">
        <v>1</v>
      </c>
      <c r="AN21" s="7"/>
      <c r="AO21" s="8">
        <v>1</v>
      </c>
      <c r="AT21">
        <v>1</v>
      </c>
      <c r="AU21">
        <f>AU12*IF(AU12&gt;0,1,0)</f>
        <v>0.29017237002224427</v>
      </c>
      <c r="AV21">
        <f>AV12*IF(AV12&gt;0,1,0)</f>
        <v>0</v>
      </c>
    </row>
    <row r="22" spans="2:97" x14ac:dyDescent="0.25">
      <c r="B22" s="7">
        <v>1</v>
      </c>
      <c r="C22" s="12">
        <v>-0.48699999999999999</v>
      </c>
      <c r="E22" s="29">
        <v>0.251</v>
      </c>
      <c r="G22" s="29">
        <v>0.94499999999999995</v>
      </c>
      <c r="I22">
        <v>6</v>
      </c>
      <c r="J22">
        <v>-1.3499039207689718</v>
      </c>
      <c r="L22">
        <v>0.72206760277244608</v>
      </c>
      <c r="N22">
        <v>3.2000263300005996</v>
      </c>
      <c r="P22">
        <v>-1.6484789021204713</v>
      </c>
      <c r="Q22">
        <v>-1.1794779092407803</v>
      </c>
      <c r="R22">
        <v>-0.40899372020089497</v>
      </c>
      <c r="S22">
        <v>-0.39750208014603566</v>
      </c>
      <c r="T22">
        <v>-0.32058935900794039</v>
      </c>
      <c r="U22">
        <v>-0.97472188804277748</v>
      </c>
      <c r="W22" cm="1">
        <f t="array" ref="W22">EXP(P22)/SUM(EXP($P22:$U22))</f>
        <v>6.5442238615890228E-2</v>
      </c>
      <c r="X22" cm="1">
        <f t="array" ref="X22">EXP(Q22)/SUM(EXP($P22:$U22))</f>
        <v>0.10460265076874276</v>
      </c>
      <c r="Y22" cm="1">
        <f t="array" ref="Y22">EXP(R22)/SUM(EXP($P22:$U22))</f>
        <v>0.22602668834153314</v>
      </c>
      <c r="Z22" cm="1">
        <f t="array" ref="Z22">EXP(S22)/SUM(EXP($P22:$U22))</f>
        <v>0.22863908731216445</v>
      </c>
      <c r="AA22" cm="1">
        <f t="array" ref="AA22">EXP(T22)/SUM(EXP($P22:$U22))</f>
        <v>0.24691828291793291</v>
      </c>
      <c r="AB22" cm="1">
        <f t="array" ref="AB22">EXP(U22)/SUM(EXP($P22:$U22))</f>
        <v>0.12837105204373653</v>
      </c>
      <c r="AD22" s="89">
        <v>2.6289974009912669</v>
      </c>
      <c r="AF22">
        <v>1</v>
      </c>
      <c r="AG22" cm="1">
        <f t="array" ref="AG22:AG24">TRANSPOSE(MMULT(TRANSPOSE(AG7:AG18),AJ7:AL18)+TRANSPOSE(AJ22:AJ24))</f>
        <v>-2.1630271898606477</v>
      </c>
      <c r="AI22" s="7">
        <v>1</v>
      </c>
      <c r="AJ22" s="8">
        <v>1</v>
      </c>
      <c r="AN22" s="7">
        <v>1</v>
      </c>
      <c r="AO22" s="8">
        <f>AG34</f>
        <v>0.16444275025235072</v>
      </c>
      <c r="AT22">
        <v>2</v>
      </c>
      <c r="AU22">
        <f t="shared" ref="AU22:AV22" si="5">AU13*IF(AU13&gt;0,1,0)</f>
        <v>0</v>
      </c>
      <c r="AV22">
        <f t="shared" si="5"/>
        <v>1.448380824667817E-2</v>
      </c>
      <c r="CH22" s="4"/>
      <c r="CI22" s="53" t="s">
        <v>50</v>
      </c>
      <c r="CJ22" s="5"/>
      <c r="CK22" s="6"/>
      <c r="CM22" s="4"/>
      <c r="CN22" s="52" t="s">
        <v>52</v>
      </c>
    </row>
    <row r="23" spans="2:97" ht="15.75" thickBot="1" x14ac:dyDescent="0.3">
      <c r="B23" s="9">
        <v>2</v>
      </c>
      <c r="C23" s="24">
        <v>0.23799999999999999</v>
      </c>
      <c r="E23" s="30">
        <v>-8.2000000000000003E-2</v>
      </c>
      <c r="G23" s="30">
        <v>0.435</v>
      </c>
      <c r="AF23">
        <v>2</v>
      </c>
      <c r="AG23">
        <v>-5.4202267483870035</v>
      </c>
      <c r="AI23" s="7">
        <v>2</v>
      </c>
      <c r="AJ23" s="8">
        <v>1</v>
      </c>
      <c r="AN23" s="7">
        <v>2</v>
      </c>
      <c r="AO23" s="8">
        <f>AG35</f>
        <v>9.238794413208215E-2</v>
      </c>
      <c r="AT23">
        <v>3</v>
      </c>
      <c r="AU23">
        <f t="shared" ref="AU23:AV23" si="6">AU14*IF(AU14&gt;0,1,0)</f>
        <v>0.22544986493384736</v>
      </c>
      <c r="AV23">
        <f t="shared" si="6"/>
        <v>4.4828972500427181E-2</v>
      </c>
      <c r="CH23" s="7"/>
      <c r="CI23" s="32">
        <v>1</v>
      </c>
      <c r="CJ23" s="32">
        <v>2</v>
      </c>
      <c r="CK23" s="8">
        <v>3</v>
      </c>
      <c r="CM23" s="7"/>
      <c r="CN23" s="8">
        <v>1</v>
      </c>
    </row>
    <row r="24" spans="2:97" ht="15.75" thickBot="1" x14ac:dyDescent="0.3">
      <c r="AF24">
        <v>3</v>
      </c>
      <c r="AG24">
        <v>0.64245447657575006</v>
      </c>
      <c r="AI24" s="9">
        <v>3</v>
      </c>
      <c r="AJ24" s="11">
        <v>1</v>
      </c>
      <c r="AN24" s="9">
        <v>3</v>
      </c>
      <c r="AO24" s="11">
        <f>AG36</f>
        <v>0.26983186197569531</v>
      </c>
      <c r="AT24">
        <v>4</v>
      </c>
      <c r="AU24">
        <f t="shared" ref="AU24:AV24" si="7">AU15*IF(AU15&gt;0,1,0)</f>
        <v>0</v>
      </c>
      <c r="AV24">
        <f t="shared" si="7"/>
        <v>0</v>
      </c>
      <c r="CH24" s="7">
        <v>1</v>
      </c>
      <c r="CI24" s="32" cm="1">
        <f t="array" ref="CI24">SUM($CI$15:$CM$20*CS5:CW10)</f>
        <v>0</v>
      </c>
      <c r="CJ24" s="32" cm="1">
        <f t="array" ref="CJ24">SUM($CI$15:$CM$20*CT5:CX10)</f>
        <v>-4.0544987942461468E-2</v>
      </c>
      <c r="CK24" s="8" cm="1">
        <f t="array" ref="CK24">SUM($CI$15:$CM$20*CU5:CY10)</f>
        <v>2.8522235967101281E-2</v>
      </c>
      <c r="CM24" s="9">
        <v>1</v>
      </c>
      <c r="CN24" s="11">
        <f>SUM(CG85:CG90)</f>
        <v>-8.3673767370926799E-2</v>
      </c>
    </row>
    <row r="25" spans="2:97" ht="15.75" thickBot="1" x14ac:dyDescent="0.3">
      <c r="B25" s="4"/>
      <c r="C25" s="5" t="s">
        <v>148</v>
      </c>
      <c r="D25" s="6"/>
      <c r="J25" t="s">
        <v>63</v>
      </c>
      <c r="M25" s="51" t="s">
        <v>168</v>
      </c>
      <c r="N25" s="6"/>
      <c r="AT25">
        <v>5</v>
      </c>
      <c r="AU25">
        <f t="shared" ref="AU25:AV25" si="8">AU16*IF(AU16&gt;0,1,0)</f>
        <v>0</v>
      </c>
      <c r="AV25">
        <f t="shared" si="8"/>
        <v>0</v>
      </c>
      <c r="CH25" s="7">
        <v>2</v>
      </c>
      <c r="CI25" s="32" cm="1">
        <f t="array" ref="CI25">SUM($CI$15:$CM$20*CS6:CW11)</f>
        <v>0</v>
      </c>
      <c r="CJ25" s="32" cm="1">
        <f t="array" ref="CJ25">SUM($CI$15:$CM$20*CT6:CX11)</f>
        <v>9.4103842140036142E-3</v>
      </c>
      <c r="CK25" s="8" cm="1">
        <f t="array" ref="CK25">SUM($CI$15:$CM$20*CU6:CY11)</f>
        <v>-6.8604146600602323E-2</v>
      </c>
    </row>
    <row r="26" spans="2:97" x14ac:dyDescent="0.25">
      <c r="B26" s="7"/>
      <c r="C26">
        <v>1</v>
      </c>
      <c r="D26" s="8">
        <v>2</v>
      </c>
      <c r="J26">
        <v>1</v>
      </c>
      <c r="K26">
        <v>2</v>
      </c>
      <c r="M26" s="7">
        <v>1</v>
      </c>
      <c r="N26" s="8">
        <v>2</v>
      </c>
      <c r="AF26" s="4"/>
      <c r="AG26" s="53" t="s">
        <v>70</v>
      </c>
      <c r="AH26" s="6"/>
      <c r="AO26" t="s">
        <v>82</v>
      </c>
      <c r="AT26">
        <v>6</v>
      </c>
      <c r="AU26">
        <f t="shared" ref="AU26:AV26" si="9">AU17*IF(AU17&gt;0,1,0)</f>
        <v>0</v>
      </c>
      <c r="AV26">
        <f t="shared" si="9"/>
        <v>3.9346698388611927E-2</v>
      </c>
      <c r="CH26" s="7">
        <v>3</v>
      </c>
      <c r="CI26" s="32" cm="1">
        <f t="array" ref="CI26">SUM($CI$15:$CM$20*CS7:CW12)</f>
        <v>0.40993959333727753</v>
      </c>
      <c r="CJ26" s="32" cm="1">
        <f t="array" ref="CJ26">SUM($CI$15:$CM$20*CT7:CX12)</f>
        <v>0.59822746351484601</v>
      </c>
      <c r="CK26" s="8" cm="1">
        <f t="array" ref="CK26">SUM($CI$15:$CM$20*CU7:CY12)</f>
        <v>-3.3735102865214861E-2</v>
      </c>
    </row>
    <row r="27" spans="2:97" ht="15.75" thickBot="1" x14ac:dyDescent="0.3">
      <c r="B27" s="7">
        <v>1</v>
      </c>
      <c r="C27" s="2">
        <v>-0.47399999999999998</v>
      </c>
      <c r="D27" s="12">
        <v>-6.8000000000000005E-2</v>
      </c>
      <c r="I27">
        <v>1</v>
      </c>
      <c r="J27" s="85" cm="1">
        <f t="array" ref="J27:J32">_xlfn.ANCHORARRAY(AD7)</f>
        <v>-1.001982460843112</v>
      </c>
      <c r="K27" s="89" cm="1">
        <f t="array" ref="K27:K32">_xlfn.ANCHORARRAY(AD17)</f>
        <v>2.4082199711484167</v>
      </c>
      <c r="M27" s="106" cm="1">
        <f t="array" ref="M27:N32">_xlfn.ANCHORARRAY(C4)+MMULT(J27:K32,C27:D28)</f>
        <v>6.8822665053629724</v>
      </c>
      <c r="N27" s="87">
        <v>2.7496326516382537</v>
      </c>
      <c r="AF27" s="7"/>
      <c r="AG27">
        <v>1</v>
      </c>
      <c r="AH27" s="8"/>
      <c r="AO27">
        <v>1</v>
      </c>
      <c r="CH27" s="7">
        <v>4</v>
      </c>
      <c r="CI27" s="32" cm="1">
        <f t="array" ref="CI27">SUM($CI$15:$CM$20*CS8:CW13)</f>
        <v>0.63986361681567294</v>
      </c>
      <c r="CJ27" s="32" cm="1">
        <f t="array" ref="CJ27">SUM($CI$15:$CM$20*CT8:CX13)</f>
        <v>0.37694101294382232</v>
      </c>
      <c r="CK27" s="8" cm="1">
        <f t="array" ref="CK27">SUM($CI$15:$CM$20*CU8:CY13)</f>
        <v>-0.12511550405280608</v>
      </c>
    </row>
    <row r="28" spans="2:97" ht="15.75" thickBot="1" x14ac:dyDescent="0.3">
      <c r="B28" s="9">
        <v>2</v>
      </c>
      <c r="C28" s="10">
        <v>0.53400000000000003</v>
      </c>
      <c r="D28" s="24">
        <v>0.78800000000000003</v>
      </c>
      <c r="I28">
        <v>2</v>
      </c>
      <c r="J28" s="85">
        <v>-0.98766150777877681</v>
      </c>
      <c r="K28" s="89">
        <v>2.5574432924763797</v>
      </c>
      <c r="M28" s="106">
        <v>5.6321829981914897</v>
      </c>
      <c r="N28" s="87">
        <v>3.0536215811206411</v>
      </c>
      <c r="AF28" s="7">
        <v>1</v>
      </c>
      <c r="AG28">
        <f>1/(1+EXP(-AG22))</f>
        <v>0.10312014107435824</v>
      </c>
      <c r="AH28" s="8" t="s">
        <v>42</v>
      </c>
      <c r="AN28">
        <v>1</v>
      </c>
      <c r="AO28" s="85" cm="1">
        <f t="array" ref="AO28">SUM(MMULT(TRANSPOSE($AG$34:$AG$36),TRANSPOSE(AJ7:AL7)))</f>
        <v>-0.29395682766353309</v>
      </c>
      <c r="AT28" s="4"/>
      <c r="AU28" s="53" t="s">
        <v>160</v>
      </c>
      <c r="AV28" s="6"/>
      <c r="AX28" s="51" t="s">
        <v>161</v>
      </c>
      <c r="AY28" s="6"/>
      <c r="CH28" s="9">
        <v>5</v>
      </c>
      <c r="CI28" s="14" cm="1">
        <f t="array" ref="CI28">SUM($CI$15:$CM$20*CS9:CW14)</f>
        <v>0.3660648348310318</v>
      </c>
      <c r="CJ28" s="14" cm="1">
        <f t="array" ref="CJ28">SUM($CI$15:$CM$20*CT9:CX14)</f>
        <v>0.10716762016775952</v>
      </c>
      <c r="CK28" s="11" cm="1">
        <f t="array" ref="CK28">SUM($CI$15:$CM$20*CU9:CY14)</f>
        <v>-8.542274398929614E-2</v>
      </c>
    </row>
    <row r="29" spans="2:97" x14ac:dyDescent="0.25">
      <c r="I29">
        <v>3</v>
      </c>
      <c r="J29" s="85">
        <v>-0.86844847248955925</v>
      </c>
      <c r="K29" s="89">
        <v>2.9217969043787959</v>
      </c>
      <c r="M29" s="106">
        <v>3.6824254579153406</v>
      </c>
      <c r="N29" s="87">
        <v>3.902479247170767</v>
      </c>
      <c r="AF29" s="7">
        <v>2</v>
      </c>
      <c r="AG29">
        <f t="shared" ref="AG29" si="10">1/(1+EXP(-AG23))</f>
        <v>4.4066385014972309E-3</v>
      </c>
      <c r="AH29" s="8" t="s">
        <v>43</v>
      </c>
      <c r="AN29">
        <v>2</v>
      </c>
      <c r="AO29" s="85" cm="1">
        <f t="array" ref="AO29">SUM(MMULT(TRANSPOSE($AG$34:$AG$36),TRANSPOSE(AJ8:AL8)))</f>
        <v>0.10830945846415935</v>
      </c>
      <c r="AT29" s="7"/>
      <c r="AU29">
        <v>1</v>
      </c>
      <c r="AV29" s="8">
        <v>2</v>
      </c>
      <c r="AX29" s="7">
        <v>1</v>
      </c>
      <c r="AY29" s="8">
        <v>2</v>
      </c>
    </row>
    <row r="30" spans="2:97" ht="15.75" thickBot="1" x14ac:dyDescent="0.3">
      <c r="I30">
        <v>4</v>
      </c>
      <c r="J30" s="85">
        <v>-0.8698140884222112</v>
      </c>
      <c r="K30" s="89">
        <v>2.9258541663272464</v>
      </c>
      <c r="M30" s="106">
        <v>3.6270120782036823</v>
      </c>
      <c r="N30" s="87">
        <v>3.831353252013816</v>
      </c>
      <c r="AF30" s="9">
        <v>3</v>
      </c>
      <c r="AG30" s="14">
        <f>1/(1+EXP(-AG24))</f>
        <v>0.65530808744293412</v>
      </c>
      <c r="AH30" s="11" t="s">
        <v>44</v>
      </c>
      <c r="AN30">
        <v>3</v>
      </c>
      <c r="AO30" s="85" cm="1">
        <f t="array" ref="AO30">SUM(MMULT(TRANSPOSE($AG$34:$AG$36),TRANSPOSE(AJ9:AL9)))</f>
        <v>-0.10577912188630695</v>
      </c>
      <c r="AT30" s="7">
        <v>1</v>
      </c>
      <c r="AU30" cm="1">
        <f t="array" ref="AU30:AV31">MMULT(TRANSPOSE(_xlfn.ANCHORARRAY($M$27)),AU21:AV26)</f>
        <v>2.827245905101857</v>
      </c>
      <c r="AV30" s="8">
        <v>0.44170178431411822</v>
      </c>
      <c r="AX30" s="9">
        <f>SUM(AU21:AU26)</f>
        <v>0.51562223495609161</v>
      </c>
      <c r="AY30" s="11">
        <f>SUM(AV21:AV26)</f>
        <v>9.8659479135717279E-2</v>
      </c>
    </row>
    <row r="31" spans="2:97" ht="27" thickBot="1" x14ac:dyDescent="0.45">
      <c r="B31" s="4"/>
      <c r="C31" s="5" t="s">
        <v>160</v>
      </c>
      <c r="D31" s="6"/>
      <c r="F31" s="4" t="s">
        <v>161</v>
      </c>
      <c r="G31" s="6"/>
      <c r="I31">
        <v>5</v>
      </c>
      <c r="J31" s="85">
        <v>-0.86699022828338224</v>
      </c>
      <c r="K31" s="89">
        <v>2.960201863260671</v>
      </c>
      <c r="M31" s="106">
        <v>3.3274481122482555</v>
      </c>
      <c r="N31" s="87">
        <v>3.584057608619442</v>
      </c>
      <c r="AN31">
        <v>4</v>
      </c>
      <c r="AO31" s="85" cm="1">
        <f t="array" ref="AO31">SUM(MMULT(TRANSPOSE($AG$34:$AG$36),TRANSPOSE(AJ10:AL10)))</f>
        <v>-1.6326478710635334E-2</v>
      </c>
      <c r="AT31" s="9">
        <v>2</v>
      </c>
      <c r="AU31" s="14">
        <v>1.6776808423982117</v>
      </c>
      <c r="AV31" s="11">
        <v>0.32878241290684507</v>
      </c>
      <c r="CI31" s="54" t="s">
        <v>87</v>
      </c>
    </row>
    <row r="32" spans="2:97" ht="27" thickBot="1" x14ac:dyDescent="0.45">
      <c r="B32" s="7"/>
      <c r="C32">
        <v>1</v>
      </c>
      <c r="D32" s="8">
        <v>2</v>
      </c>
      <c r="F32" s="7">
        <v>1</v>
      </c>
      <c r="G32" s="8">
        <v>2</v>
      </c>
      <c r="I32">
        <v>6</v>
      </c>
      <c r="J32" s="85">
        <v>-0.98098956467591114</v>
      </c>
      <c r="K32" s="89">
        <v>2.6289974009912669</v>
      </c>
      <c r="M32" s="107">
        <v>4.9571370447387828</v>
      </c>
      <c r="N32" s="88">
        <v>2.7857536490226527</v>
      </c>
      <c r="AF32" s="4"/>
      <c r="AG32" s="53" t="s">
        <v>73</v>
      </c>
      <c r="AH32" s="6"/>
      <c r="AN32">
        <v>5</v>
      </c>
      <c r="AO32" s="85" cm="1">
        <f t="array" ref="AO32">SUM(MMULT(TRANSPOSE($AG$34:$AG$36),TRANSPOSE(AJ11:AL11)))</f>
        <v>-6.5294324438246273E-2</v>
      </c>
      <c r="CI32" s="54" t="s">
        <v>56</v>
      </c>
      <c r="CQ32">
        <v>0</v>
      </c>
      <c r="CR32">
        <v>0</v>
      </c>
      <c r="CS32">
        <v>0</v>
      </c>
    </row>
    <row r="33" spans="2:97" ht="15.75" thickBot="1" x14ac:dyDescent="0.3">
      <c r="B33" s="7">
        <v>1</v>
      </c>
      <c r="C33" s="2">
        <v>-0.47399999999999998</v>
      </c>
      <c r="D33" s="12">
        <v>0.251</v>
      </c>
      <c r="F33" s="9">
        <v>1</v>
      </c>
      <c r="G33" s="11">
        <v>1</v>
      </c>
      <c r="M33" t="s">
        <v>170</v>
      </c>
      <c r="AF33" s="7"/>
      <c r="AG33">
        <v>1</v>
      </c>
      <c r="AH33" s="21" t="s">
        <v>78</v>
      </c>
      <c r="AN33">
        <v>6</v>
      </c>
      <c r="AO33" s="85" cm="1">
        <f t="array" ref="AO33">SUM(MMULT(TRANSPOSE($AG$34:$AG$36),TRANSPOSE(AJ12:AL12)))</f>
        <v>0.38073401882576319</v>
      </c>
      <c r="AT33" s="4"/>
      <c r="AU33" s="53" t="s">
        <v>167</v>
      </c>
      <c r="AV33" s="6"/>
      <c r="CI33" t="s">
        <v>92</v>
      </c>
      <c r="CQ33">
        <v>0</v>
      </c>
      <c r="CR33" s="18" cm="1">
        <f t="array" ref="CR33:CR38">FRONTEND!$B$26:$B$31</f>
        <v>0.54876651054069536</v>
      </c>
      <c r="CS33">
        <v>0</v>
      </c>
    </row>
    <row r="34" spans="2:97" ht="15.75" thickBot="1" x14ac:dyDescent="0.3">
      <c r="B34" s="9">
        <v>2</v>
      </c>
      <c r="C34" s="10">
        <v>0.94499999999999995</v>
      </c>
      <c r="D34" s="24">
        <v>0.23799999999999999</v>
      </c>
      <c r="AF34" s="22" t="s">
        <v>77</v>
      </c>
      <c r="AG34" s="3">
        <f>-1/3*((2/(1+DATA!I14))*AH34*LOG(AG28)+((2*DATA!I14)/(1+DATA!I14))*(1-AH34)*LOG(1-AG28))</f>
        <v>0.16444275025235072</v>
      </c>
      <c r="AH34" s="8">
        <v>1</v>
      </c>
      <c r="AN34">
        <v>7</v>
      </c>
      <c r="AO34" s="89" cm="1">
        <f t="array" ref="AO34">SUM(MMULT(TRANSPOSE($AG$34:$AG$36),TRANSPOSE(AJ13:AL13)))</f>
        <v>-4.6266144121105329E-2</v>
      </c>
      <c r="AT34" s="7"/>
      <c r="AU34">
        <v>1</v>
      </c>
      <c r="AV34" s="8">
        <v>2</v>
      </c>
      <c r="CI34">
        <v>1</v>
      </c>
      <c r="CQ34">
        <v>0</v>
      </c>
      <c r="CR34" s="19">
        <v>0.51109827267454389</v>
      </c>
      <c r="CS34">
        <v>0</v>
      </c>
    </row>
    <row r="35" spans="2:97" ht="27" thickBot="1" x14ac:dyDescent="0.45">
      <c r="J35" s="54" t="s">
        <v>154</v>
      </c>
      <c r="AF35" s="7">
        <v>2</v>
      </c>
      <c r="AG35" s="3">
        <f>-1/3*((2/(1+DATA!I15))*AH35*LOG(AG29)+((2*DATA!I15)/(1+DATA!I15))*(1-AH35)*LOG(1-AG29))</f>
        <v>9.238794413208215E-2</v>
      </c>
      <c r="AH35" s="8">
        <v>1</v>
      </c>
      <c r="AN35">
        <v>8</v>
      </c>
      <c r="AO35" s="89" cm="1">
        <f t="array" ref="AO35">SUM(MMULT(TRANSPOSE($AG$34:$AG$36),TRANSPOSE(AJ14:AL14)))</f>
        <v>-2.9703746330677461E-2</v>
      </c>
      <c r="AT35" s="7">
        <v>1</v>
      </c>
      <c r="AU35" s="85" cm="1">
        <f t="array" ref="AU35:AV40">AO61:AP66+MMULT(AU21:AV26,TRANSPOSE(C33:D34))</f>
        <v>-0.16067477545109643</v>
      </c>
      <c r="AV35" s="87">
        <v>-4.2877010053064935E-2</v>
      </c>
      <c r="CH35">
        <v>1</v>
      </c>
      <c r="CI35" s="89">
        <f>CH85*IF(CH85&gt;0,1,0)</f>
        <v>0</v>
      </c>
      <c r="CQ35">
        <v>0</v>
      </c>
      <c r="CR35" s="19">
        <v>0.36794364264660445</v>
      </c>
      <c r="CS35">
        <v>0</v>
      </c>
    </row>
    <row r="36" spans="2:97" ht="15.75" thickBot="1" x14ac:dyDescent="0.3">
      <c r="B36" s="4"/>
      <c r="C36" s="5" t="s">
        <v>162</v>
      </c>
      <c r="D36" s="6"/>
      <c r="F36" s="4" t="s">
        <v>163</v>
      </c>
      <c r="G36" s="6"/>
      <c r="J36" t="s">
        <v>164</v>
      </c>
      <c r="M36" t="s">
        <v>53</v>
      </c>
      <c r="AF36" s="9">
        <v>3</v>
      </c>
      <c r="AG36" s="23">
        <f>-1/3*((2/(1+DATA!I16))*AH36*LOG(AG30)+((2*DATA!I16)/(1+DATA!I16))*(1-AH36)*LOG(1-AG30))</f>
        <v>0.26983186197569531</v>
      </c>
      <c r="AH36" s="11">
        <v>0</v>
      </c>
      <c r="AN36">
        <v>9</v>
      </c>
      <c r="AO36" s="89" cm="1">
        <f t="array" ref="AO36">SUM(MMULT(TRANSPOSE($AG$34:$AG$36),TRANSPOSE(AJ15:AL15)))</f>
        <v>-0.16889089543125885</v>
      </c>
      <c r="AT36" s="7">
        <v>2</v>
      </c>
      <c r="AU36" s="85">
        <v>-1.1216437295422509E-2</v>
      </c>
      <c r="AV36" s="87">
        <v>9.6904731661530019E-2</v>
      </c>
      <c r="CH36">
        <v>2</v>
      </c>
      <c r="CI36" s="89">
        <f t="shared" ref="CI36:CI40" si="11">CH86*IF(CH86&gt;0,1,0)</f>
        <v>0.14161601398941195</v>
      </c>
      <c r="CQ36">
        <v>0</v>
      </c>
      <c r="CR36" s="19">
        <v>-0.2956354979724084</v>
      </c>
      <c r="CS36">
        <v>0</v>
      </c>
    </row>
    <row r="37" spans="2:97" x14ac:dyDescent="0.25">
      <c r="B37" s="7"/>
      <c r="C37">
        <v>1</v>
      </c>
      <c r="D37" s="8">
        <v>2</v>
      </c>
      <c r="F37" s="7">
        <v>1</v>
      </c>
      <c r="G37" s="8">
        <v>2</v>
      </c>
      <c r="J37">
        <v>1</v>
      </c>
      <c r="K37">
        <v>2</v>
      </c>
      <c r="M37">
        <v>1</v>
      </c>
      <c r="N37">
        <v>2</v>
      </c>
      <c r="AN37">
        <v>10</v>
      </c>
      <c r="AO37" s="89" cm="1">
        <f t="array" ref="AO37">SUM(MMULT(TRANSPOSE($AG$34:$AG$36),TRANSPOSE(AJ16:AL16)))</f>
        <v>5.4990054047593551E-2</v>
      </c>
      <c r="AT37" s="7">
        <v>3</v>
      </c>
      <c r="AU37" s="85">
        <v>-0.18005661159666583</v>
      </c>
      <c r="AV37" s="87">
        <v>3.3494848215651046E-2</v>
      </c>
      <c r="CH37">
        <v>3</v>
      </c>
      <c r="CI37" s="89">
        <f t="shared" si="11"/>
        <v>0.13704247275487164</v>
      </c>
      <c r="CQ37">
        <v>0</v>
      </c>
      <c r="CR37" s="19">
        <v>-0.58781126252416827</v>
      </c>
      <c r="CS37">
        <v>0</v>
      </c>
    </row>
    <row r="38" spans="2:97" ht="15.75" thickBot="1" x14ac:dyDescent="0.3">
      <c r="B38" s="7">
        <v>1</v>
      </c>
      <c r="C38" s="2">
        <v>-0.72799999999999998</v>
      </c>
      <c r="D38" s="12">
        <v>-0.86199999999999999</v>
      </c>
      <c r="F38" s="9">
        <v>1</v>
      </c>
      <c r="G38" s="11">
        <v>1</v>
      </c>
      <c r="I38">
        <v>1</v>
      </c>
      <c r="J38" cm="1">
        <f t="array" ref="J38:K38">MMULT(M27:N27,$C$33:$D$34)+$F$33:$G$33</f>
        <v>0.33620853225610103</v>
      </c>
      <c r="K38">
        <v>3.3818614639360103</v>
      </c>
      <c r="M38">
        <f>MAX(0,J38)</f>
        <v>0.33620853225610103</v>
      </c>
      <c r="N38">
        <f>MAX(0,K38)</f>
        <v>3.3818614639360103</v>
      </c>
      <c r="AN38">
        <v>11</v>
      </c>
      <c r="AO38" s="89" cm="1">
        <f t="array" ref="AO38">SUM(MMULT(TRANSPOSE($AG$34:$AG$36),TRANSPOSE(AJ17:AL17)))</f>
        <v>8.2912252487154267E-2</v>
      </c>
      <c r="AT38" s="7">
        <v>4</v>
      </c>
      <c r="AU38" s="85">
        <v>2.7495027023796775E-2</v>
      </c>
      <c r="AV38" s="87">
        <v>1.1168548313161442E-2</v>
      </c>
      <c r="CH38">
        <v>4</v>
      </c>
      <c r="CI38" s="89">
        <f t="shared" si="11"/>
        <v>5.9008303755639882E-2</v>
      </c>
      <c r="CQ38">
        <v>0</v>
      </c>
      <c r="CR38" s="20">
        <v>-0.54436166536526909</v>
      </c>
      <c r="CS38">
        <v>0</v>
      </c>
    </row>
    <row r="39" spans="2:97" ht="15.75" thickBot="1" x14ac:dyDescent="0.3">
      <c r="B39" s="9">
        <v>2</v>
      </c>
      <c r="C39" s="10">
        <v>-0.64800000000000002</v>
      </c>
      <c r="D39" s="24">
        <v>5.1999999999999998E-2</v>
      </c>
      <c r="I39">
        <v>2</v>
      </c>
      <c r="J39" cm="1">
        <f t="array" ref="J39:K39">MMULT(M28:N28,$C$33:$D$34)+$F$33:$G$33</f>
        <v>1.2160176530162401</v>
      </c>
      <c r="K39">
        <v>3.1404398688527766</v>
      </c>
      <c r="M39">
        <f t="shared" ref="M39:M43" si="12">MAX(0,J39)</f>
        <v>1.2160176530162401</v>
      </c>
      <c r="N39">
        <f t="shared" ref="N39:N43" si="13">MAX(0,K39)</f>
        <v>3.1404398688527766</v>
      </c>
      <c r="AF39" s="13"/>
      <c r="AN39">
        <v>12</v>
      </c>
      <c r="AO39" s="89" cm="1">
        <f t="array" ref="AO39">SUM(MMULT(TRANSPOSE($AG$34:$AG$36),TRANSPOSE(AJ18:AL18)))</f>
        <v>-6.5599091978765914E-2</v>
      </c>
      <c r="AT39" s="7">
        <v>5</v>
      </c>
      <c r="AU39" s="85">
        <v>4.1456126243577134E-2</v>
      </c>
      <c r="AV39" s="87">
        <v>-2.383819819466914E-2</v>
      </c>
      <c r="CH39">
        <v>5</v>
      </c>
      <c r="CI39" s="89">
        <f t="shared" si="11"/>
        <v>1.237792546883798E-2</v>
      </c>
      <c r="CQ39">
        <v>0</v>
      </c>
      <c r="CR39">
        <v>0</v>
      </c>
      <c r="CS39">
        <v>0</v>
      </c>
    </row>
    <row r="40" spans="2:97" ht="15.75" thickBot="1" x14ac:dyDescent="0.3">
      <c r="I40">
        <v>3</v>
      </c>
      <c r="J40" cm="1">
        <f t="array" ref="J40:K40">MMULT(M29:N29,$C$33:$D$34)+$F$33:$G$33</f>
        <v>2.9423732215245031</v>
      </c>
      <c r="K40">
        <v>2.8530788507633931</v>
      </c>
      <c r="M40">
        <f t="shared" si="12"/>
        <v>2.9423732215245031</v>
      </c>
      <c r="N40">
        <f t="shared" si="13"/>
        <v>2.8530788507633931</v>
      </c>
      <c r="AT40" s="9">
        <v>6</v>
      </c>
      <c r="AU40" s="86">
        <v>-2.2923524693841364E-2</v>
      </c>
      <c r="AV40" s="88">
        <v>0.35729898705286989</v>
      </c>
      <c r="CH40">
        <v>6</v>
      </c>
      <c r="CI40" s="89">
        <f t="shared" si="11"/>
        <v>0.51255373894932399</v>
      </c>
    </row>
    <row r="41" spans="2:97" ht="15.75" thickBot="1" x14ac:dyDescent="0.3">
      <c r="I41">
        <v>4</v>
      </c>
      <c r="J41" cm="1">
        <f t="array" ref="J41:K41">MMULT(M30:N30,$C$33:$D$34)+$F$33:$G$33</f>
        <v>2.9014250980845109</v>
      </c>
      <c r="K41">
        <v>2.8222421056084124</v>
      </c>
      <c r="M41">
        <f t="shared" si="12"/>
        <v>2.9014250980845109</v>
      </c>
      <c r="N41">
        <f t="shared" si="13"/>
        <v>2.8222421056084124</v>
      </c>
      <c r="AO41" s="85" t="s">
        <v>54</v>
      </c>
      <c r="AQ41" s="13" t="s">
        <v>51</v>
      </c>
    </row>
    <row r="42" spans="2:97" x14ac:dyDescent="0.25">
      <c r="I42">
        <v>5</v>
      </c>
      <c r="J42" cm="1">
        <f t="array" ref="J42:K42">MMULT(M31:N31,$C$33:$D$34)+$F$33:$G$33</f>
        <v>2.8097240349396997</v>
      </c>
      <c r="K42">
        <v>2.6881951870257392</v>
      </c>
      <c r="M42">
        <f t="shared" si="12"/>
        <v>2.8097240349396997</v>
      </c>
      <c r="N42">
        <f t="shared" si="13"/>
        <v>2.6881951870257392</v>
      </c>
      <c r="AO42">
        <v>1</v>
      </c>
      <c r="AP42" s="13" t="s">
        <v>83</v>
      </c>
      <c r="AQ42">
        <v>1</v>
      </c>
      <c r="AR42">
        <v>2</v>
      </c>
      <c r="CH42" s="4"/>
      <c r="CI42" s="52" t="s">
        <v>50</v>
      </c>
      <c r="CK42" s="4"/>
      <c r="CL42" s="52" t="s">
        <v>52</v>
      </c>
    </row>
    <row r="43" spans="2:97" ht="26.25" x14ac:dyDescent="0.4">
      <c r="I43">
        <v>6</v>
      </c>
      <c r="J43" cm="1">
        <f t="array" ref="J43:K43">MMULT(M32:N32,$C$33:$D$34)+$F$33:$G$33</f>
        <v>1.2828542391202236</v>
      </c>
      <c r="K43">
        <v>2.9072507666968259</v>
      </c>
      <c r="M43">
        <f t="shared" si="12"/>
        <v>1.2828542391202236</v>
      </c>
      <c r="N43">
        <f t="shared" si="13"/>
        <v>2.9072507666968259</v>
      </c>
      <c r="AN43">
        <v>1</v>
      </c>
      <c r="AO43" s="3">
        <f>AO28</f>
        <v>-0.29395682766353309</v>
      </c>
      <c r="AP43">
        <f>MATCH(MAX(_xlfn.ANCHORARRAY(J47)),_xlfn.ANCHORARRAY(J47),0)</f>
        <v>2</v>
      </c>
      <c r="AQ43">
        <f>IF($AP43=AQ$42,$AO43,0)</f>
        <v>0</v>
      </c>
      <c r="AR43">
        <f>IF($AP43=AR$42,$AO43,0)</f>
        <v>-0.29395682766353309</v>
      </c>
      <c r="AU43" s="54" t="s">
        <v>79</v>
      </c>
      <c r="CH43" s="7"/>
      <c r="CI43" s="8">
        <v>1</v>
      </c>
      <c r="CK43" s="7"/>
      <c r="CL43" s="8">
        <v>1</v>
      </c>
    </row>
    <row r="44" spans="2:97" ht="27" thickBot="1" x14ac:dyDescent="0.45">
      <c r="AN44">
        <v>2</v>
      </c>
      <c r="AO44" s="3">
        <f t="shared" ref="AO44:AO48" si="14">AO29</f>
        <v>0.10830945846415935</v>
      </c>
      <c r="AP44">
        <f t="shared" ref="AP44:AP48" si="15">MATCH(MAX(_xlfn.ANCHORARRAY(J48)),_xlfn.ANCHORARRAY(J48),0)</f>
        <v>2</v>
      </c>
      <c r="AQ44">
        <f t="shared" ref="AQ44:AR48" si="16">IF($AP44=AQ$42,$AO44,0)</f>
        <v>0</v>
      </c>
      <c r="AR44">
        <f t="shared" si="16"/>
        <v>0.10830945846415935</v>
      </c>
      <c r="AU44" s="54" t="s">
        <v>139</v>
      </c>
      <c r="CH44" s="7">
        <v>1</v>
      </c>
      <c r="CI44" s="8" cm="1">
        <f t="array" ref="CI44">SUM($CI$35:$CI$40*CR32:CR37)</f>
        <v>-0.13547618739116793</v>
      </c>
      <c r="CK44" s="9">
        <v>1</v>
      </c>
      <c r="CL44" s="11">
        <f>SUM(CH85:CH90)</f>
        <v>0.35790988652236944</v>
      </c>
    </row>
    <row r="45" spans="2:97" ht="15.75" thickBot="1" x14ac:dyDescent="0.3">
      <c r="J45" t="s">
        <v>165</v>
      </c>
      <c r="M45" s="51" t="s">
        <v>169</v>
      </c>
      <c r="N45" s="6"/>
      <c r="P45" t="s">
        <v>54</v>
      </c>
      <c r="R45" t="s">
        <v>57</v>
      </c>
      <c r="T45" s="4"/>
      <c r="U45" s="52" t="s">
        <v>65</v>
      </c>
      <c r="AN45">
        <v>3</v>
      </c>
      <c r="AO45" s="3">
        <f t="shared" si="14"/>
        <v>-0.10577912188630695</v>
      </c>
      <c r="AP45">
        <f t="shared" si="15"/>
        <v>2</v>
      </c>
      <c r="AQ45">
        <f t="shared" si="16"/>
        <v>0</v>
      </c>
      <c r="AR45">
        <f t="shared" si="16"/>
        <v>-0.10577912188630695</v>
      </c>
      <c r="CH45" s="7">
        <v>2</v>
      </c>
      <c r="CI45" s="8" cm="1">
        <f t="array" ref="CI45">SUM($CI$35:$CI$40*CR33:CR38)</f>
        <v>-0.18093183343045482</v>
      </c>
    </row>
    <row r="46" spans="2:97" ht="15.75" thickBot="1" x14ac:dyDescent="0.3">
      <c r="J46">
        <v>1</v>
      </c>
      <c r="K46">
        <v>2</v>
      </c>
      <c r="M46" s="7">
        <v>1</v>
      </c>
      <c r="N46" s="8">
        <v>2</v>
      </c>
      <c r="P46">
        <v>1</v>
      </c>
      <c r="R46">
        <v>1</v>
      </c>
      <c r="T46" s="7"/>
      <c r="U46" s="8">
        <v>1</v>
      </c>
      <c r="AN46">
        <v>4</v>
      </c>
      <c r="AO46" s="3">
        <f t="shared" si="14"/>
        <v>-1.6326478710635334E-2</v>
      </c>
      <c r="AP46">
        <f t="shared" si="15"/>
        <v>2</v>
      </c>
      <c r="AQ46">
        <f t="shared" si="16"/>
        <v>0</v>
      </c>
      <c r="AR46">
        <f t="shared" si="16"/>
        <v>-1.6326478710635334E-2</v>
      </c>
      <c r="AT46" s="4"/>
      <c r="AU46" s="53" t="s">
        <v>148</v>
      </c>
      <c r="AV46" s="6"/>
      <c r="CH46" s="9">
        <v>3</v>
      </c>
      <c r="CI46" s="11" cm="1">
        <f t="array" ref="CI46">SUM($CI$35:$CI$40*CR34:CR39)</f>
        <v>-2.9831721283896082E-2</v>
      </c>
    </row>
    <row r="47" spans="2:97" x14ac:dyDescent="0.25">
      <c r="I47">
        <v>1</v>
      </c>
      <c r="J47" cm="1">
        <f t="array" ref="J47:K47">MMULT(M38:N38,$C$38:$D$39)+F38:G38</f>
        <v>-1.4362060401129759</v>
      </c>
      <c r="K47">
        <v>0.88604504131991346</v>
      </c>
      <c r="M47" s="106">
        <f>M27+J47</f>
        <v>5.446060465249996</v>
      </c>
      <c r="N47" s="87">
        <f>N27+K47</f>
        <v>3.6356776929581671</v>
      </c>
      <c r="P47" s="85">
        <f>MAX(M47:N47)</f>
        <v>5.446060465249996</v>
      </c>
      <c r="R47" s="89">
        <f>AVERAGE(M47:N47)</f>
        <v>4.5408690791040813</v>
      </c>
      <c r="T47" s="7">
        <v>1</v>
      </c>
      <c r="U47" s="92" cm="1">
        <f t="array" ref="U47:U52">P47:P52</f>
        <v>5.446060465249996</v>
      </c>
      <c r="AN47">
        <v>5</v>
      </c>
      <c r="AO47" s="3">
        <f t="shared" si="14"/>
        <v>-6.5294324438246273E-2</v>
      </c>
      <c r="AP47">
        <f t="shared" si="15"/>
        <v>2</v>
      </c>
      <c r="AQ47">
        <f t="shared" si="16"/>
        <v>0</v>
      </c>
      <c r="AR47">
        <f t="shared" si="16"/>
        <v>-6.5294324438246273E-2</v>
      </c>
      <c r="AT47" s="7"/>
      <c r="AU47">
        <v>1</v>
      </c>
      <c r="AV47" s="8">
        <v>2</v>
      </c>
    </row>
    <row r="48" spans="2:97" x14ac:dyDescent="0.25">
      <c r="I48">
        <v>2</v>
      </c>
      <c r="J48" cm="1">
        <f t="array" ref="J48:K48">MMULT(M39:N39,$C$38:$D$39)+F39:G39</f>
        <v>-2.9202658864124222</v>
      </c>
      <c r="K48">
        <v>-0.88490434371965465</v>
      </c>
      <c r="M48" s="106">
        <f t="shared" ref="M48:N48" si="17">M28+J48</f>
        <v>2.7119171117790675</v>
      </c>
      <c r="N48" s="87">
        <f t="shared" si="17"/>
        <v>2.1687172374009864</v>
      </c>
      <c r="P48" s="85">
        <f t="shared" ref="P48:P52" si="18">MAX(M48:N48)</f>
        <v>2.7119171117790675</v>
      </c>
      <c r="R48" s="89">
        <f t="shared" ref="R48:R52" si="19">AVERAGE(M48:N48)</f>
        <v>2.4403171745900272</v>
      </c>
      <c r="T48" s="7">
        <v>2</v>
      </c>
      <c r="U48" s="92">
        <v>2.7119171117790675</v>
      </c>
      <c r="AN48">
        <v>6</v>
      </c>
      <c r="AO48" s="3">
        <f t="shared" si="14"/>
        <v>0.38073401882576319</v>
      </c>
      <c r="AP48">
        <f t="shared" si="15"/>
        <v>2</v>
      </c>
      <c r="AQ48">
        <f t="shared" si="16"/>
        <v>0</v>
      </c>
      <c r="AR48">
        <f t="shared" si="16"/>
        <v>0.38073401882576319</v>
      </c>
      <c r="AT48" s="7">
        <v>1</v>
      </c>
      <c r="AU48" cm="1">
        <f t="array" ref="AU48:AV49">MMULT(TRANSPOSE(J27:K32),_xlfn.ANCHORARRAY(AU35))</f>
        <v>0.29107135986351484</v>
      </c>
      <c r="AV48" s="8">
        <v>-0.42138926464980153</v>
      </c>
    </row>
    <row r="49" spans="9:83" ht="15.75" thickBot="1" x14ac:dyDescent="0.3">
      <c r="I49">
        <v>3</v>
      </c>
      <c r="J49" cm="1">
        <f t="array" ref="J49:K49">MMULT(M40:N40,$C$38:$D$39)+F40:G40</f>
        <v>-3.9908428005645171</v>
      </c>
      <c r="K49">
        <v>-2.3879656167144252</v>
      </c>
      <c r="M49" s="106">
        <f t="shared" ref="M49:N49" si="20">M29+J49</f>
        <v>-0.30841734264917653</v>
      </c>
      <c r="N49" s="87">
        <f t="shared" si="20"/>
        <v>1.5145136304563418</v>
      </c>
      <c r="P49" s="85">
        <f t="shared" si="18"/>
        <v>1.5145136304563418</v>
      </c>
      <c r="R49" s="89">
        <f t="shared" si="19"/>
        <v>0.60304814390358263</v>
      </c>
      <c r="T49" s="7">
        <v>3</v>
      </c>
      <c r="U49" s="92">
        <v>1.5145136304563418</v>
      </c>
      <c r="AT49" s="9">
        <v>2</v>
      </c>
      <c r="AU49" s="14">
        <v>-0.79881540112485694</v>
      </c>
      <c r="AV49" s="11">
        <v>1.1438860011532688</v>
      </c>
    </row>
    <row r="50" spans="9:83" x14ac:dyDescent="0.25">
      <c r="I50">
        <v>4</v>
      </c>
      <c r="J50" cm="1">
        <f t="array" ref="J50:K50">MMULT(M41:N41,$C$38:$D$39)+F41:G41</f>
        <v>-3.9410503558397751</v>
      </c>
      <c r="K50">
        <v>-2.3542718450572107</v>
      </c>
      <c r="M50" s="106">
        <f t="shared" ref="M50:N50" si="21">M30+J50</f>
        <v>-0.31403827763609282</v>
      </c>
      <c r="N50" s="87">
        <f t="shared" si="21"/>
        <v>1.4770814069566054</v>
      </c>
      <c r="P50" s="85">
        <f t="shared" si="18"/>
        <v>1.4770814069566054</v>
      </c>
      <c r="R50" s="89">
        <f t="shared" si="19"/>
        <v>0.58152156466025628</v>
      </c>
      <c r="T50" s="7">
        <v>4</v>
      </c>
      <c r="U50" s="92">
        <v>1.4770814069566054</v>
      </c>
      <c r="AO50" s="89" t="s">
        <v>57</v>
      </c>
      <c r="AQ50" s="13" t="s">
        <v>84</v>
      </c>
    </row>
    <row r="51" spans="9:83" x14ac:dyDescent="0.25">
      <c r="I51">
        <v>5</v>
      </c>
      <c r="J51" cm="1">
        <f t="array" ref="J51:K51">MMULT(M42:N42,$C$38:$D$39)+F42:G42</f>
        <v>-3.7874295786287804</v>
      </c>
      <c r="K51">
        <v>-2.2821959683926827</v>
      </c>
      <c r="M51" s="106">
        <f t="shared" ref="M51:N51" si="22">M31+J51</f>
        <v>-0.45998146638052484</v>
      </c>
      <c r="N51" s="87">
        <f t="shared" si="22"/>
        <v>1.3018616402267593</v>
      </c>
      <c r="P51" s="85">
        <f t="shared" si="18"/>
        <v>1.3018616402267593</v>
      </c>
      <c r="R51" s="89">
        <f t="shared" si="19"/>
        <v>0.42094008692311724</v>
      </c>
      <c r="T51" s="7">
        <v>5</v>
      </c>
      <c r="U51" s="92">
        <v>1.3018616402267593</v>
      </c>
      <c r="AO51">
        <v>1</v>
      </c>
      <c r="AP51">
        <v>2</v>
      </c>
      <c r="AQ51" s="13">
        <v>2</v>
      </c>
      <c r="AU51" t="s">
        <v>171</v>
      </c>
    </row>
    <row r="52" spans="9:83" ht="15.75" thickBot="1" x14ac:dyDescent="0.3">
      <c r="I52">
        <v>6</v>
      </c>
      <c r="J52" cm="1">
        <f t="array" ref="J52:K52">MMULT(M43:N43,$C$38:$D$39)+F43:G43</f>
        <v>-2.8178163828990659</v>
      </c>
      <c r="K52">
        <v>-0.95464331425339777</v>
      </c>
      <c r="M52" s="107">
        <f t="shared" ref="M52:N52" si="23">M32+J52</f>
        <v>2.1393206618397169</v>
      </c>
      <c r="N52" s="88">
        <f t="shared" si="23"/>
        <v>1.8311103347692548</v>
      </c>
      <c r="P52" s="85">
        <f t="shared" si="18"/>
        <v>2.1393206618397169</v>
      </c>
      <c r="R52" s="89">
        <f t="shared" si="19"/>
        <v>1.9852154983044858</v>
      </c>
      <c r="T52" s="7">
        <v>6</v>
      </c>
      <c r="U52" s="92">
        <v>2.1393206618397169</v>
      </c>
      <c r="AN52">
        <v>1</v>
      </c>
      <c r="AO52">
        <f>$AO34*1/$AQ$51</f>
        <v>-2.3133072060552665E-2</v>
      </c>
      <c r="AP52">
        <f>$AO34*1/$AQ$51</f>
        <v>-2.3133072060552665E-2</v>
      </c>
      <c r="AU52">
        <v>1</v>
      </c>
      <c r="AV52">
        <v>2</v>
      </c>
    </row>
    <row r="53" spans="9:83" x14ac:dyDescent="0.25">
      <c r="M53" t="s">
        <v>170</v>
      </c>
      <c r="T53" s="7">
        <v>7</v>
      </c>
      <c r="U53" s="87" cm="1">
        <f t="array" ref="U53:U58">R47:R52</f>
        <v>4.5408690791040813</v>
      </c>
      <c r="AN53">
        <v>2</v>
      </c>
      <c r="AO53">
        <f t="shared" ref="AO53:AP53" si="24">$AO35*1/$AQ$51</f>
        <v>-1.485187316533873E-2</v>
      </c>
      <c r="AP53">
        <f t="shared" si="24"/>
        <v>-1.485187316533873E-2</v>
      </c>
      <c r="AT53">
        <v>1</v>
      </c>
      <c r="AU53" s="85" cm="1">
        <f t="array" ref="AU53:AV58">MMULT(_xlfn.ANCHORARRAY(AU35),TRANSPOSE(C27:D28))</f>
        <v>7.9075480247428123E-2</v>
      </c>
      <c r="AV53" s="89">
        <v>-0.11958741401270068</v>
      </c>
    </row>
    <row r="54" spans="9:83" x14ac:dyDescent="0.25">
      <c r="T54" s="7">
        <v>8</v>
      </c>
      <c r="U54" s="87">
        <v>2.4403171745900272</v>
      </c>
      <c r="AN54">
        <v>3</v>
      </c>
      <c r="AO54">
        <f t="shared" ref="AO54:AP54" si="25">$AO36*1/$AQ$51</f>
        <v>-8.4445447715629424E-2</v>
      </c>
      <c r="AP54">
        <f t="shared" si="25"/>
        <v>-8.4445447715629424E-2</v>
      </c>
      <c r="AT54">
        <v>2</v>
      </c>
      <c r="AU54" s="85">
        <v>-1.2729304749537727E-3</v>
      </c>
      <c r="AV54" s="89">
        <v>7.0371351033530039E-2</v>
      </c>
    </row>
    <row r="55" spans="9:83" x14ac:dyDescent="0.25">
      <c r="T55" s="7">
        <v>9</v>
      </c>
      <c r="U55" s="87">
        <v>0.60304814390358263</v>
      </c>
      <c r="AN55">
        <v>4</v>
      </c>
      <c r="AO55">
        <f t="shared" ref="AO55:AP55" si="26">$AO37*1/$AQ$51</f>
        <v>2.7495027023796775E-2</v>
      </c>
      <c r="AP55">
        <f t="shared" si="26"/>
        <v>2.7495027023796775E-2</v>
      </c>
      <c r="AT55">
        <v>3</v>
      </c>
      <c r="AU55" s="85">
        <v>8.3069184218155331E-2</v>
      </c>
      <c r="AV55" s="89">
        <v>-6.9756290198686524E-2</v>
      </c>
    </row>
    <row r="56" spans="9:83" x14ac:dyDescent="0.25">
      <c r="T56" s="7">
        <v>10</v>
      </c>
      <c r="U56" s="87">
        <v>0.58152156466025628</v>
      </c>
      <c r="AN56">
        <v>5</v>
      </c>
      <c r="AO56">
        <f t="shared" ref="AO56:AP56" si="27">$AO38*1/$AQ$51</f>
        <v>4.1456126243577134E-2</v>
      </c>
      <c r="AP56">
        <f t="shared" si="27"/>
        <v>4.1456126243577134E-2</v>
      </c>
      <c r="AT56">
        <v>4</v>
      </c>
      <c r="AU56" s="85">
        <v>-1.379210409457465E-2</v>
      </c>
      <c r="AV56" s="89">
        <v>2.3483160501478695E-2</v>
      </c>
    </row>
    <row r="57" spans="9:83" x14ac:dyDescent="0.25">
      <c r="T57" s="7">
        <v>11</v>
      </c>
      <c r="U57" s="87">
        <v>0.42094008692311724</v>
      </c>
      <c r="AN57">
        <v>6</v>
      </c>
      <c r="AO57">
        <f t="shared" ref="AO57:AP57" si="28">$AO39*1/$AQ$51</f>
        <v>-3.2799545989382957E-2</v>
      </c>
      <c r="AP57">
        <f t="shared" si="28"/>
        <v>-3.2799545989382957E-2</v>
      </c>
      <c r="AT57">
        <v>5</v>
      </c>
      <c r="AU57" s="85">
        <v>-1.8029206362218057E-2</v>
      </c>
      <c r="AV57" s="89">
        <v>3.3530712366709077E-3</v>
      </c>
    </row>
    <row r="58" spans="9:83" ht="15.75" thickBot="1" x14ac:dyDescent="0.3">
      <c r="T58" s="9">
        <v>12</v>
      </c>
      <c r="U58" s="88">
        <v>1.9852154983044858</v>
      </c>
      <c r="AT58">
        <v>6</v>
      </c>
      <c r="AU58" s="85">
        <v>-1.3430580414714349E-2</v>
      </c>
      <c r="AV58" s="89">
        <v>0.2693104396111502</v>
      </c>
    </row>
    <row r="59" spans="9:83" x14ac:dyDescent="0.25">
      <c r="AN59" s="4"/>
      <c r="AO59" s="53" t="s">
        <v>80</v>
      </c>
      <c r="AP59" s="6"/>
      <c r="BK59" s="3"/>
      <c r="CA59" t="s">
        <v>180</v>
      </c>
    </row>
    <row r="60" spans="9:83" x14ac:dyDescent="0.25">
      <c r="AN60" s="7"/>
      <c r="AO60">
        <v>1</v>
      </c>
      <c r="AP60" s="8">
        <v>2</v>
      </c>
    </row>
    <row r="61" spans="9:83" x14ac:dyDescent="0.25">
      <c r="AN61" s="22" t="s">
        <v>108</v>
      </c>
      <c r="AO61" s="85">
        <f>AQ43+AO52</f>
        <v>-2.3133072060552665E-2</v>
      </c>
      <c r="AP61" s="87">
        <f>AR43+AP52</f>
        <v>-0.31708989972408574</v>
      </c>
      <c r="AU61" s="85" t="s">
        <v>140</v>
      </c>
      <c r="BK61" t="s">
        <v>140</v>
      </c>
      <c r="CD61" s="35" t="s">
        <v>140</v>
      </c>
    </row>
    <row r="62" spans="9:83" x14ac:dyDescent="0.25">
      <c r="AN62" s="7">
        <v>2</v>
      </c>
      <c r="AO62" s="85">
        <f t="shared" ref="AO62:AP66" si="29">AQ44+AO53</f>
        <v>-1.485187316533873E-2</v>
      </c>
      <c r="AP62" s="87">
        <f t="shared" si="29"/>
        <v>9.3457585298820617E-2</v>
      </c>
      <c r="AU62" t="s">
        <v>172</v>
      </c>
      <c r="AW62" t="s">
        <v>173</v>
      </c>
      <c r="BD62" t="s">
        <v>174</v>
      </c>
      <c r="BF62">
        <f>ROW(AW64)</f>
        <v>64</v>
      </c>
      <c r="BG62">
        <f>COLUMN(AW64)</f>
        <v>49</v>
      </c>
      <c r="BH62">
        <f>IF($BF$62&gt;$BG$62,$BF$62-$BG$62,0)</f>
        <v>15</v>
      </c>
      <c r="BI62">
        <f>IF($BF$62&lt;$BG$62,$BG$62-$BF$62,0)</f>
        <v>0</v>
      </c>
      <c r="BK62" t="s">
        <v>175</v>
      </c>
      <c r="BM62" t="s">
        <v>176</v>
      </c>
      <c r="BO62" t="s">
        <v>177</v>
      </c>
      <c r="BQ62" t="s">
        <v>178</v>
      </c>
      <c r="BS62" t="s">
        <v>179</v>
      </c>
      <c r="BU62" t="s">
        <v>181</v>
      </c>
      <c r="BX62" t="s">
        <v>182</v>
      </c>
      <c r="CA62" t="s">
        <v>183</v>
      </c>
      <c r="CD62" t="s">
        <v>18</v>
      </c>
    </row>
    <row r="63" spans="9:83" x14ac:dyDescent="0.25">
      <c r="AN63" s="7">
        <v>3</v>
      </c>
      <c r="AO63" s="85">
        <f t="shared" si="29"/>
        <v>-8.4445447715629424E-2</v>
      </c>
      <c r="AP63" s="87">
        <f t="shared" si="29"/>
        <v>-0.19022456960193637</v>
      </c>
      <c r="AU63">
        <v>1</v>
      </c>
      <c r="AW63">
        <v>1</v>
      </c>
      <c r="AX63">
        <v>2</v>
      </c>
      <c r="AY63">
        <v>3</v>
      </c>
      <c r="AZ63">
        <v>4</v>
      </c>
      <c r="BA63">
        <v>5</v>
      </c>
      <c r="BB63">
        <v>6</v>
      </c>
      <c r="BD63">
        <v>1</v>
      </c>
      <c r="BE63">
        <v>2</v>
      </c>
      <c r="BF63">
        <v>3</v>
      </c>
      <c r="BG63">
        <v>4</v>
      </c>
      <c r="BH63">
        <v>5</v>
      </c>
      <c r="BI63">
        <v>6</v>
      </c>
      <c r="BK63">
        <v>1</v>
      </c>
      <c r="BM63">
        <v>1</v>
      </c>
      <c r="BO63">
        <v>1</v>
      </c>
      <c r="BQ63">
        <v>1</v>
      </c>
      <c r="BS63">
        <v>1</v>
      </c>
      <c r="BU63">
        <v>1</v>
      </c>
      <c r="BV63">
        <v>2</v>
      </c>
      <c r="BX63">
        <v>1</v>
      </c>
      <c r="BY63">
        <v>2</v>
      </c>
      <c r="CA63">
        <v>1</v>
      </c>
      <c r="CB63">
        <v>2</v>
      </c>
      <c r="CD63">
        <v>1</v>
      </c>
      <c r="CE63">
        <v>2</v>
      </c>
    </row>
    <row r="64" spans="9:83" x14ac:dyDescent="0.25">
      <c r="AN64" s="7">
        <v>4</v>
      </c>
      <c r="AO64" s="85">
        <f t="shared" si="29"/>
        <v>2.7495027023796775E-2</v>
      </c>
      <c r="AP64" s="87">
        <f t="shared" si="29"/>
        <v>1.1168548313161442E-2</v>
      </c>
      <c r="AT64">
        <v>1</v>
      </c>
      <c r="AU64" cm="1">
        <f t="array" ref="AU64:AU69">MMULT(TRANSPOSE(W7:AB12),AU53:AU58)</f>
        <v>7.3165353189663896E-3</v>
      </c>
      <c r="AW64" cm="1">
        <f t="array" ref="AW64:BB69">MMULT(AU53:AU58,TRANSPOSE(_xlfn.ANCHORARRAY(N7)))</f>
        <v>-6.1222231959773124E-2</v>
      </c>
      <c r="AX64">
        <v>-6.5383489186496627E-2</v>
      </c>
      <c r="AY64">
        <v>-8.5998361856382169E-2</v>
      </c>
      <c r="AZ64">
        <v>-8.1945793138582843E-2</v>
      </c>
      <c r="BA64">
        <v>-6.6595392426490763E-2</v>
      </c>
      <c r="BB64">
        <v>-4.5871889094943705E-2</v>
      </c>
      <c r="BD64" s="3" cm="1">
        <f t="array" ref="BD64">SUM($AW64:$BB64*$W7:$AB7*(IF((ROW(AW64)-$BH$62)=(COLUMN(AW64)-$BI$62),1,0)-W7))</f>
        <v>-7.9210603707862953E-2</v>
      </c>
      <c r="BE64" s="3" cm="1">
        <f t="array" ref="BE64">SUM($AW64:$BB64*$W7:$AB7*(IF((ROW(AX64)-$BH$62)=(COLUMN(AX64)-$BI$62),1,0)-X7))</f>
        <v>2.6993270920983768E-4</v>
      </c>
      <c r="BF64" s="3" cm="1">
        <f t="array" ref="BF64">SUM($AW64:$BB64*$W7:$AB7*(IF((ROW(AY64)-$BH$62)=(COLUMN(AY64)-$BI$62),1,0)-Y7))</f>
        <v>3.0458660458759557E-2</v>
      </c>
      <c r="BG64" s="3" cm="1">
        <f t="array" ref="BG64">SUM($AW64:$BB64*$W7:$AB7*(IF((ROW(AZ64)-$BH$62)=(COLUMN(AZ64)-$BI$62),1,0)-Z7))</f>
        <v>2.7201848764117593E-2</v>
      </c>
      <c r="BH64" s="3" cm="1">
        <f t="array" ref="BH64">SUM($AW64:$BB64*$W7:$AB7*(IF((ROW(BA64)-$BH$62)=(COLUMN(BA64)-$BI$62),1,0)-AA7))</f>
        <v>2.0949223918912501E-2</v>
      </c>
      <c r="BI64" s="3" cm="1">
        <f t="array" ref="BI64">SUM($AW64:$BB64*$W7:$AB7*(IF((ROW(BB64)-$BH$62)=(COLUMN(BB64)-$BI$62),1,0)-AB7))</f>
        <v>3.3093785686346241E-4</v>
      </c>
      <c r="BK64" cm="1">
        <f t="array" ref="BK64:BK69">(1/SQRT($G$2))*MMULT(TRANSPOSE($BD$64:$BI$69),_xlfn.ANCHORARRAY($J$7))</f>
        <v>0.29444684801242121</v>
      </c>
      <c r="BM64" cm="1">
        <f t="array" ref="BM64:BM69">(1/SQRT($G$2))*MMULT($BD$64:$BI$69,_xlfn.ANCHORARRAY(L7))</f>
        <v>-0.1504907627585064</v>
      </c>
      <c r="BO64" cm="1">
        <f t="array" ref="BO64:BO65">MMULT(TRANSPOSE(_xlfn.ANCHORARRAY($C$4)),_xlfn.ANCHORARRAY($BM$64))</f>
        <v>-0.66021392963369241</v>
      </c>
      <c r="BQ64" cm="1">
        <f t="array" ref="BQ64:BQ65">MMULT(TRANSPOSE(_xlfn.ANCHORARRAY($C$4)),_xlfn.ANCHORARRAY($BK$64))</f>
        <v>0.98835653179438943</v>
      </c>
      <c r="BS64" cm="1">
        <f t="array" ref="BS64:BS65">MMULT(TRANSPOSE(_xlfn.ANCHORARRAY($C$4)),_xlfn.ANCHORARRAY($AU$64))</f>
        <v>0.23869906655657364</v>
      </c>
      <c r="BU64" cm="1">
        <f t="array" ref="BU64:BV69">MMULT(_xlfn.ANCHORARRAY(BM64),TRANSPOSE(C16:C17))</f>
        <v>0.12972303749783251</v>
      </c>
      <c r="BV64">
        <v>-0.13243187122748562</v>
      </c>
      <c r="BX64" cm="1">
        <f t="array" ref="BX64:BY69">MMULT(_xlfn.ANCHORARRAY(BK64),TRANSPOSE(E16:E17))</f>
        <v>0.12042876083708028</v>
      </c>
      <c r="BY64">
        <v>-0.21435730535304265</v>
      </c>
      <c r="CA64" cm="1">
        <f t="array" ref="CA64:CB69">MMULT(_xlfn.ANCHORARRAY(AU64),TRANSPOSE(G16:G17))</f>
        <v>-3.8045983658625224E-4</v>
      </c>
      <c r="CB64">
        <v>-4.7411148866902206E-3</v>
      </c>
      <c r="CD64" cm="1">
        <f t="array" ref="CD64:CE69">_xlfn.ANCHORARRAY(BU64)+_xlfn.ANCHORARRAY(BX64)+_xlfn.ANCHORARRAY(CA64)</f>
        <v>0.24977133849832656</v>
      </c>
      <c r="CE64">
        <v>-0.35153029146721848</v>
      </c>
    </row>
    <row r="65" spans="40:83" x14ac:dyDescent="0.25">
      <c r="AN65" s="7">
        <v>5</v>
      </c>
      <c r="AO65" s="85">
        <f t="shared" si="29"/>
        <v>4.1456126243577134E-2</v>
      </c>
      <c r="AP65" s="87">
        <f t="shared" si="29"/>
        <v>-2.383819819466914E-2</v>
      </c>
      <c r="AT65">
        <v>2</v>
      </c>
      <c r="AU65">
        <v>7.9275617647977786E-3</v>
      </c>
      <c r="AW65">
        <v>9.8553489099825883E-4</v>
      </c>
      <c r="AX65">
        <v>1.0525214097199108E-3</v>
      </c>
      <c r="AY65">
        <v>1.3843726937927943E-3</v>
      </c>
      <c r="AZ65">
        <v>1.3191358061180099E-3</v>
      </c>
      <c r="BA65">
        <v>1.072030220315265E-3</v>
      </c>
      <c r="BB65">
        <v>7.3843023640128482E-4</v>
      </c>
      <c r="BD65" s="3" cm="1">
        <f t="array" ref="BD65">SUM($AW65:$BB65*$W8:$AB8*(IF((ROW(AW65)-$BH$62)=(COLUMN(AW65)-$BI$62),1,0)-W8))</f>
        <v>-4.0156765489807138E-6</v>
      </c>
      <c r="BE65" s="3" cm="1">
        <f t="array" ref="BE65">SUM($AW65:$BB65*$W8:$AB8*(IF((ROW(AX65)-$BH$62)=(COLUMN(AX65)-$BI$62),1,0)-X8))</f>
        <v>1.2365384210794132E-3</v>
      </c>
      <c r="BF65" s="3" cm="1">
        <f t="array" ref="BF65">SUM($AW65:$BB65*$W8:$AB8*(IF((ROW(AY65)-$BH$62)=(COLUMN(AY65)-$BI$62),1,0)-Y8))</f>
        <v>-4.4553975440044674E-4</v>
      </c>
      <c r="BG65" s="3" cm="1">
        <f t="array" ref="BG65">SUM($AW65:$BB65*$W8:$AB8*(IF((ROW(AZ65)-$BH$62)=(COLUMN(AZ65)-$BI$62),1,0)-Z8))</f>
        <v>-4.1398501541423653E-4</v>
      </c>
      <c r="BH65" s="3" cm="1">
        <f t="array" ref="BH65">SUM($AW65:$BB65*$W8:$AB8*(IF((ROW(BA65)-$BH$62)=(COLUMN(BA65)-$BI$62),1,0)-AA8))</f>
        <v>-3.4938462207363121E-4</v>
      </c>
      <c r="BI65" s="3" cm="1">
        <f t="array" ref="BI65">SUM($AW65:$BB65*$W8:$AB8*(IF((ROW(BB65)-$BH$62)=(COLUMN(BB65)-$BI$62),1,0)-AB8))</f>
        <v>-2.3613352642117909E-5</v>
      </c>
      <c r="BK65">
        <v>-4.1669277045623754E-3</v>
      </c>
      <c r="BM65">
        <v>1.4847243484241231E-3</v>
      </c>
      <c r="BO65">
        <v>-5.2753650339870825E-2</v>
      </c>
      <c r="BQ65">
        <v>-0.16269694167754309</v>
      </c>
      <c r="BS65">
        <v>0.14953858505891621</v>
      </c>
      <c r="BU65">
        <v>-1.2798323883415942E-3</v>
      </c>
      <c r="BV65">
        <v>1.3065574266132283E-3</v>
      </c>
      <c r="BX65">
        <v>-1.7042734311660114E-3</v>
      </c>
      <c r="BY65">
        <v>3.0335233689214093E-3</v>
      </c>
      <c r="CA65">
        <v>-4.1223321176948446E-4</v>
      </c>
      <c r="CB65">
        <v>-5.1370600235889604E-3</v>
      </c>
      <c r="CD65">
        <v>-3.3963390312770902E-3</v>
      </c>
      <c r="CE65">
        <v>-7.9697922805432257E-4</v>
      </c>
    </row>
    <row r="66" spans="40:83" ht="15.75" thickBot="1" x14ac:dyDescent="0.3">
      <c r="AN66" s="9">
        <v>6</v>
      </c>
      <c r="AO66" s="86">
        <f t="shared" si="29"/>
        <v>-3.2799545989382957E-2</v>
      </c>
      <c r="AP66" s="88">
        <f t="shared" si="29"/>
        <v>0.34793447283638024</v>
      </c>
      <c r="AT66">
        <v>3</v>
      </c>
      <c r="AU66">
        <v>3.4658918796235019E-2</v>
      </c>
      <c r="AW66">
        <v>-6.4314258338992999E-2</v>
      </c>
      <c r="AX66">
        <v>-6.868567969570448E-2</v>
      </c>
      <c r="AY66">
        <v>-9.0341705686191404E-2</v>
      </c>
      <c r="AZ66">
        <v>-8.6084462147205054E-2</v>
      </c>
      <c r="BA66">
        <v>-6.99587900604174E-2</v>
      </c>
      <c r="BB66">
        <v>-4.8188647021041697E-2</v>
      </c>
      <c r="BD66" s="3" cm="1">
        <f t="array" ref="BD66">SUM($AW66:$BB66*$W9:$AB9*(IF((ROW(AW66)-$BH$62)=(COLUMN(AW66)-$BI$62),1,0)-W9))</f>
        <v>1.0407268581427785E-2</v>
      </c>
      <c r="BE66" s="3" cm="1">
        <f t="array" ref="BE66">SUM($AW66:$BB66*$W9:$AB9*(IF((ROW(AX66)-$BH$62)=(COLUMN(AX66)-$BI$62),1,0)-X9))</f>
        <v>1.1276228129426028E-2</v>
      </c>
      <c r="BF66" s="3" cm="1">
        <f t="array" ref="BF66">SUM($AW66:$BB66*$W9:$AB9*(IF((ROW(AY66)-$BH$62)=(COLUMN(AY66)-$BI$62),1,0)-Y9))</f>
        <v>-5.9037888410151264E-2</v>
      </c>
      <c r="BG66" s="3" cm="1">
        <f t="array" ref="BG66">SUM($AW66:$BB66*$W9:$AB9*(IF((ROW(AZ66)-$BH$62)=(COLUMN(AZ66)-$BI$62),1,0)-Z9))</f>
        <v>1.30564150009521E-2</v>
      </c>
      <c r="BH66" s="3" cm="1">
        <f t="array" ref="BH66">SUM($AW66:$BB66*$W9:$AB9*(IF((ROW(BA66)-$BH$62)=(COLUMN(BA66)-$BI$62),1,0)-AA9))</f>
        <v>1.294850035347965E-2</v>
      </c>
      <c r="BI66" s="3" cm="1">
        <f t="array" ref="BI66">SUM($AW66:$BB66*$W9:$AB9*(IF((ROW(BB66)-$BH$62)=(COLUMN(BB66)-$BI$62),1,0)-AB9))</f>
        <v>1.1349476344865699E-2</v>
      </c>
      <c r="BK66">
        <v>-9.5349626438523793E-2</v>
      </c>
      <c r="BM66">
        <v>5.0038850017186186E-2</v>
      </c>
      <c r="BU66">
        <v>-4.313348871481449E-2</v>
      </c>
      <c r="BV66">
        <v>4.4034188015123842E-2</v>
      </c>
      <c r="BX66">
        <v>-3.8997997213356228E-2</v>
      </c>
      <c r="BY66">
        <v>6.9414528047245322E-2</v>
      </c>
      <c r="CA66">
        <v>-1.802263777404221E-3</v>
      </c>
      <c r="CB66">
        <v>-2.2458979379960293E-2</v>
      </c>
      <c r="CD66">
        <v>-8.3933749705574934E-2</v>
      </c>
      <c r="CE66">
        <v>9.0989736682408881E-2</v>
      </c>
    </row>
    <row r="67" spans="40:83" x14ac:dyDescent="0.25">
      <c r="AT67">
        <v>4</v>
      </c>
      <c r="AU67">
        <v>3.1690220087997337E-2</v>
      </c>
      <c r="AW67">
        <v>1.0678194978383945E-2</v>
      </c>
      <c r="AX67">
        <v>1.1403988772562492E-2</v>
      </c>
      <c r="AY67">
        <v>1.4999571990897872E-2</v>
      </c>
      <c r="AZ67">
        <v>1.4292735314959719E-2</v>
      </c>
      <c r="BA67">
        <v>1.1615365239531151E-2</v>
      </c>
      <c r="BB67">
        <v>8.0008349924985053E-3</v>
      </c>
      <c r="BD67" s="3" cm="1">
        <f t="array" ref="BD67">SUM($AW67:$BB67*$W10:$AB10*(IF((ROW(AW67)-$BH$62)=(COLUMN(AW67)-$BI$62),1,0)-W10))</f>
        <v>-1.6977019430462446E-3</v>
      </c>
      <c r="BE67" s="3" cm="1">
        <f t="array" ref="BE67">SUM($AW67:$BB67*$W10:$AB10*(IF((ROW(AX67)-$BH$62)=(COLUMN(AX67)-$BI$62),1,0)-X10))</f>
        <v>-1.8586116718141039E-3</v>
      </c>
      <c r="BF67" s="3" cm="1">
        <f t="array" ref="BF67">SUM($AW67:$BB67*$W10:$AB10*(IF((ROW(AY67)-$BH$62)=(COLUMN(AY67)-$BI$62),1,0)-Y10))</f>
        <v>-2.2020986949894072E-3</v>
      </c>
      <c r="BG67" s="3" cm="1">
        <f t="array" ref="BG67">SUM($AW67:$BB67*$W10:$AB10*(IF((ROW(AZ67)-$BH$62)=(COLUMN(AZ67)-$BI$62),1,0)-Z10))</f>
        <v>9.8033854077984837E-3</v>
      </c>
      <c r="BH67" s="3" cm="1">
        <f t="array" ref="BH67">SUM($AW67:$BB67*$W10:$AB10*(IF((ROW(BA67)-$BH$62)=(COLUMN(BA67)-$BI$62),1,0)-AA10))</f>
        <v>-2.1727225142969312E-3</v>
      </c>
      <c r="BI67" s="3" cm="1">
        <f t="array" ref="BI67">SUM($AW67:$BB67*$W10:$AB10*(IF((ROW(BB67)-$BH$62)=(COLUMN(BB67)-$BI$62),1,0)-AB10))</f>
        <v>-1.8722505836517957E-3</v>
      </c>
      <c r="BK67">
        <v>-9.4015829639087362E-2</v>
      </c>
      <c r="BM67">
        <v>-7.8560723224740843E-3</v>
      </c>
      <c r="BU67">
        <v>6.7719343419726605E-3</v>
      </c>
      <c r="BV67">
        <v>-6.9133436437771945E-3</v>
      </c>
      <c r="BX67">
        <v>-3.8452474322386729E-2</v>
      </c>
      <c r="BY67">
        <v>6.8443523977255602E-2</v>
      </c>
      <c r="CA67">
        <v>-1.6478914445758614E-3</v>
      </c>
      <c r="CB67">
        <v>-2.0535262617022276E-2</v>
      </c>
      <c r="CD67">
        <v>-3.3328431424989931E-2</v>
      </c>
      <c r="CE67">
        <v>4.0994917716456136E-2</v>
      </c>
    </row>
    <row r="68" spans="40:83" x14ac:dyDescent="0.25">
      <c r="AT68">
        <v>5</v>
      </c>
      <c r="AU68">
        <v>2.6027671154719965E-2</v>
      </c>
      <c r="AW68">
        <v>1.3958666460254994E-2</v>
      </c>
      <c r="AX68">
        <v>1.4907432943014476E-2</v>
      </c>
      <c r="AY68">
        <v>1.9607623094667761E-2</v>
      </c>
      <c r="AZ68">
        <v>1.8683637587635069E-2</v>
      </c>
      <c r="BA68">
        <v>1.5183746833698757E-2</v>
      </c>
      <c r="BB68">
        <v>1.0458788895492276E-2</v>
      </c>
      <c r="BD68" s="3" cm="1">
        <f t="array" ref="BD68">SUM($AW68:$BB68*$W11:$AB11*(IF((ROW(AW68)-$BH$62)=(COLUMN(AW68)-$BI$62),1,0)-W11))</f>
        <v>-2.3013819570619036E-3</v>
      </c>
      <c r="BE68" s="3" cm="1">
        <f t="array" ref="BE68">SUM($AW68:$BB68*$W11:$AB11*(IF((ROW(AX68)-$BH$62)=(COLUMN(AX68)-$BI$62),1,0)-X11))</f>
        <v>-2.4661221454884419E-3</v>
      </c>
      <c r="BF68" s="3" cm="1">
        <f t="array" ref="BF68">SUM($AW68:$BB68*$W11:$AB11*(IF((ROW(AY68)-$BH$62)=(COLUMN(AY68)-$BI$62),1,0)-Y11))</f>
        <v>-2.8070107866537122E-3</v>
      </c>
      <c r="BG68" s="3" cm="1">
        <f t="array" ref="BG68">SUM($AW68:$BB68*$W11:$AB11*(IF((ROW(AZ68)-$BH$62)=(COLUMN(AZ68)-$BI$62),1,0)-Z11))</f>
        <v>-2.7983278093847009E-3</v>
      </c>
      <c r="BH68" s="3" cm="1">
        <f t="array" ref="BH68">SUM($AW68:$BB68*$W11:$AB11*(IF((ROW(BA68)-$BH$62)=(COLUMN(BA68)-$BI$62),1,0)-AA11))</f>
        <v>1.2852769713089754E-2</v>
      </c>
      <c r="BI68" s="3" cm="1">
        <f t="array" ref="BI68">SUM($AW68:$BB68*$W11:$AB11*(IF((ROW(BB68)-$BH$62)=(COLUMN(BB68)-$BI$62),1,0)-AB11))</f>
        <v>-2.4799270145009966E-3</v>
      </c>
      <c r="BK68">
        <v>-7.2076909602682426E-2</v>
      </c>
      <c r="BM68">
        <v>-9.4123864042022186E-3</v>
      </c>
      <c r="BU68">
        <v>8.1134770804223121E-3</v>
      </c>
      <c r="BV68">
        <v>-8.2829000356979526E-3</v>
      </c>
      <c r="BX68">
        <v>-2.947945602749711E-2</v>
      </c>
      <c r="BY68">
        <v>5.2471990190752806E-2</v>
      </c>
      <c r="CA68">
        <v>-1.3534389000454381E-3</v>
      </c>
      <c r="CB68">
        <v>-1.6865930908258539E-2</v>
      </c>
      <c r="CD68">
        <v>-2.2719417847120237E-2</v>
      </c>
      <c r="CE68">
        <v>2.7323159246796312E-2</v>
      </c>
    </row>
    <row r="69" spans="40:83" x14ac:dyDescent="0.25">
      <c r="AT69">
        <v>6</v>
      </c>
      <c r="AU69">
        <v>7.9989359964061143E-3</v>
      </c>
      <c r="AW69">
        <v>1.0398294223837748E-2</v>
      </c>
      <c r="AX69">
        <v>1.1105063245473111E-2</v>
      </c>
      <c r="AY69">
        <v>1.4606397720656394E-2</v>
      </c>
      <c r="AZ69">
        <v>1.3918088906340595E-2</v>
      </c>
      <c r="BA69">
        <v>1.1310899035134639E-2</v>
      </c>
      <c r="BB69">
        <v>7.7911141777041231E-3</v>
      </c>
      <c r="BD69" s="3" cm="1">
        <f t="array" ref="BD69">SUM($AW69:$BB69*$W12:$AB12*(IF((ROW(AW69)-$BH$62)=(COLUMN(AW69)-$BI$62),1,0)-W12))</f>
        <v>-7.7005080335017161E-5</v>
      </c>
      <c r="BE69" s="3" cm="1">
        <f t="array" ref="BE69">SUM($AW69:$BB69*$W12:$AB12*(IF((ROW(AX69)-$BH$62)=(COLUMN(AX69)-$BI$62),1,0)-X12))</f>
        <v>-3.1781564314914645E-4</v>
      </c>
      <c r="BF69" s="3" cm="1">
        <f t="array" ref="BF69">SUM($AW69:$BB69*$W12:$AB12*(IF((ROW(AY69)-$BH$62)=(COLUMN(AY69)-$BI$62),1,0)-Y12))</f>
        <v>-4.5197536249104546E-3</v>
      </c>
      <c r="BG69" s="3" cm="1">
        <f t="array" ref="BG69">SUM($AW69:$BB69*$W12:$AB12*(IF((ROW(AZ69)-$BH$62)=(COLUMN(AZ69)-$BI$62),1,0)-Z12))</f>
        <v>-4.2415689958556707E-3</v>
      </c>
      <c r="BH69" s="3" cm="1">
        <f t="array" ref="BH69">SUM($AW69:$BB69*$W12:$AB12*(IF((ROW(BA69)-$BH$62)=(COLUMN(BA69)-$BI$62),1,0)-AA12))</f>
        <v>-3.6627600522929453E-3</v>
      </c>
      <c r="BI69" s="3" cm="1">
        <f t="array" ref="BI69">SUM($AW69:$BB69*$W12:$AB12*(IF((ROW(BB69)-$BH$62)=(COLUMN(BB69)-$BI$62),1,0)-AB12))</f>
        <v>1.2818903396543235E-2</v>
      </c>
      <c r="BK69">
        <v>-2.8837554627565216E-2</v>
      </c>
      <c r="BM69">
        <v>1.4513097147892024E-2</v>
      </c>
      <c r="BU69">
        <v>-1.2510289741482924E-2</v>
      </c>
      <c r="BV69">
        <v>1.2771525490144981E-2</v>
      </c>
      <c r="BX69">
        <v>-1.1794559842674173E-2</v>
      </c>
      <c r="BY69">
        <v>2.0993739768867477E-2</v>
      </c>
      <c r="CA69">
        <v>-4.159446718131179E-4</v>
      </c>
      <c r="CB69">
        <v>-5.183310525671162E-3</v>
      </c>
      <c r="CD69">
        <v>-2.4720794255970215E-2</v>
      </c>
      <c r="CE69">
        <v>2.8581954733341297E-2</v>
      </c>
    </row>
    <row r="72" spans="40:83" x14ac:dyDescent="0.25">
      <c r="AU72" s="89" t="s">
        <v>141</v>
      </c>
      <c r="BK72" t="s">
        <v>141</v>
      </c>
      <c r="CD72" s="35" t="s">
        <v>141</v>
      </c>
    </row>
    <row r="73" spans="40:83" x14ac:dyDescent="0.25">
      <c r="AU73" t="s">
        <v>172</v>
      </c>
      <c r="AW73" t="s">
        <v>173</v>
      </c>
      <c r="BD73" t="s">
        <v>174</v>
      </c>
      <c r="BF73">
        <f>ROW(AW75)</f>
        <v>75</v>
      </c>
      <c r="BG73">
        <f>COLUMN(AW75)</f>
        <v>49</v>
      </c>
      <c r="BH73">
        <f>IF($BF$73&gt;$BG$73,$BF$73-$BG$73,0)</f>
        <v>26</v>
      </c>
      <c r="BI73">
        <f>IF($BF$73&lt;$BG$73,$BG$73-$BF$73,0)</f>
        <v>0</v>
      </c>
      <c r="BK73" t="s">
        <v>175</v>
      </c>
      <c r="BM73" t="s">
        <v>176</v>
      </c>
      <c r="BO73" t="s">
        <v>177</v>
      </c>
      <c r="BQ73" t="s">
        <v>178</v>
      </c>
      <c r="BS73" t="s">
        <v>179</v>
      </c>
      <c r="BU73" t="s">
        <v>181</v>
      </c>
      <c r="BX73" t="s">
        <v>182</v>
      </c>
      <c r="CA73" t="s">
        <v>183</v>
      </c>
      <c r="CD73" t="s">
        <v>18</v>
      </c>
    </row>
    <row r="74" spans="40:83" x14ac:dyDescent="0.25">
      <c r="AU74">
        <v>1</v>
      </c>
      <c r="AW74">
        <v>1</v>
      </c>
      <c r="AX74">
        <v>2</v>
      </c>
      <c r="AY74">
        <v>3</v>
      </c>
      <c r="AZ74">
        <v>4</v>
      </c>
      <c r="BA74">
        <v>5</v>
      </c>
      <c r="BB74">
        <v>6</v>
      </c>
      <c r="BD74">
        <v>1</v>
      </c>
      <c r="BE74">
        <v>2</v>
      </c>
      <c r="BF74">
        <v>3</v>
      </c>
      <c r="BG74">
        <v>4</v>
      </c>
      <c r="BH74">
        <v>5</v>
      </c>
      <c r="BI74">
        <v>6</v>
      </c>
      <c r="BK74">
        <v>1</v>
      </c>
      <c r="BM74">
        <v>1</v>
      </c>
      <c r="BO74">
        <v>1</v>
      </c>
      <c r="BQ74">
        <v>1</v>
      </c>
      <c r="BS74">
        <v>1</v>
      </c>
      <c r="BU74">
        <v>1</v>
      </c>
      <c r="BV74">
        <v>2</v>
      </c>
      <c r="BX74">
        <v>1</v>
      </c>
      <c r="BY74">
        <v>2</v>
      </c>
      <c r="CA74">
        <v>1</v>
      </c>
      <c r="CB74">
        <v>2</v>
      </c>
      <c r="CD74">
        <v>1</v>
      </c>
      <c r="CE74">
        <v>2</v>
      </c>
    </row>
    <row r="75" spans="40:83" x14ac:dyDescent="0.25">
      <c r="AT75">
        <v>1</v>
      </c>
      <c r="AU75" cm="1">
        <f t="array" ref="AU75:AU80">MMULT(TRANSPOSE(W17:AB22),AV53:AV58)</f>
        <v>1.2474072401579335E-2</v>
      </c>
      <c r="AW75" cm="1">
        <f t="array" ref="AW75:BB80">MMULT(AV53:AV58,TRANSPOSE(_xlfn.ANCHORARRAY(N17)))</f>
        <v>-0.61953763287062835</v>
      </c>
      <c r="AX75">
        <v>-0.47977478572389359</v>
      </c>
      <c r="AY75">
        <v>-0.27347462527557115</v>
      </c>
      <c r="AZ75">
        <v>-0.26302319816151365</v>
      </c>
      <c r="BA75">
        <v>-0.21298546669900473</v>
      </c>
      <c r="BB75">
        <v>-0.38268287357732483</v>
      </c>
      <c r="BD75" s="3" cm="1">
        <f t="array" ref="BD75">SUM($AW75:$BB75*$W17:$AB17*(IF((ROW(AW75)-$BH$73)=(COLUMN(AW75)-$BI$73),1,0)-W17))</f>
        <v>-0.27923356539923316</v>
      </c>
      <c r="BE75" s="3" cm="1">
        <f t="array" ref="BE75">SUM($AW75:$BB75*$W17:$AB17*(IF((ROW(AX75)-$BH$73)=(COLUMN(AX75)-$BI$73),1,0)-X17))</f>
        <v>1.9527511621010952E-2</v>
      </c>
      <c r="BF75" s="3" cm="1">
        <f t="array" ref="BF75">SUM($AW75:$BB75*$W17:$AB17*(IF((ROW(AY75)-$BH$73)=(COLUMN(AY75)-$BI$73),1,0)-Y17))</f>
        <v>7.28861963520928E-2</v>
      </c>
      <c r="BG75" s="3" cm="1">
        <f t="array" ref="BG75">SUM($AW75:$BB75*$W17:$AB17*(IF((ROW(AZ75)-$BH$73)=(COLUMN(AZ75)-$BI$73),1,0)-Z17))</f>
        <v>7.4332124361760843E-2</v>
      </c>
      <c r="BH75" s="3" cm="1">
        <f t="array" ref="BH75">SUM($AW75:$BB75*$W17:$AB17*(IF((ROW(BA75)-$BH$73)=(COLUMN(BA75)-$BI$73),1,0)-AA17))</f>
        <v>8.4776531199894825E-2</v>
      </c>
      <c r="BI75" s="3" cm="1">
        <f t="array" ref="BI75">SUM($AW75:$BB75*$W17:$AB17*(IF((ROW(BB75)-$BH$73)=(COLUMN(BB75)-$BI$73),1,0)-AB17))</f>
        <v>2.7711201864473782E-2</v>
      </c>
      <c r="BK75" cm="1">
        <f t="array" ref="BK75:BK80">(1/SQRT($G$2))*MMULT(TRANSPOSE($BD$75:$BI$80),_xlfn.ANCHORARRAY(J17))</f>
        <v>0.71500814343709185</v>
      </c>
      <c r="BM75" cm="1">
        <f t="array" ref="BM75:BM80">(1/SQRT($G$2))*MMULT($BD$75:$BI$80,_xlfn.ANCHORARRAY(L17))</f>
        <v>-0.23981857398436143</v>
      </c>
      <c r="BO75" cm="1">
        <f t="array" ref="BO75:BO76">MMULT(TRANSPOSE(_xlfn.ANCHORARRAY($C$4)),_xlfn.ANCHORARRAY(BM75))</f>
        <v>-0.29972528004794585</v>
      </c>
      <c r="BQ75" cm="1">
        <f t="array" ref="BQ75:BQ76">MMULT(TRANSPOSE(_xlfn.ANCHORARRAY($C$4)),_xlfn.ANCHORARRAY(BK75))</f>
        <v>0.74075019753138394</v>
      </c>
      <c r="BS75" cm="1">
        <f t="array" ref="BS75:BS76">MMULT(TRANSPOSE(_xlfn.ANCHORARRAY($C$4)),_xlfn.ANCHORARRAY(AU75))</f>
        <v>0.40462871565615011</v>
      </c>
      <c r="BU75" cm="1">
        <f t="array" ref="BU75:BV80">MMULT(_xlfn.ANCHORARRAY(BM75),TRANSPOSE(C22:C23))</f>
        <v>0.11679164553038401</v>
      </c>
      <c r="BV75">
        <v>-5.7076820608278019E-2</v>
      </c>
      <c r="BX75" cm="1">
        <f t="array" ref="BX75:BY80">MMULT(_xlfn.ANCHORARRAY(BK75),TRANSPOSE(E22:E23))</f>
        <v>0.17946704400271005</v>
      </c>
      <c r="BY75">
        <v>-5.8630667761841532E-2</v>
      </c>
      <c r="CA75" cm="1">
        <f t="array" ref="CA75:CB80">MMULT(_xlfn.ANCHORARRAY(AU75),TRANSPOSE(G22:G23))</f>
        <v>1.1787998419492471E-2</v>
      </c>
      <c r="CB75">
        <v>5.4262214946870103E-3</v>
      </c>
      <c r="CD75" cm="1">
        <f t="array" ref="CD75:CE80">_xlfn.ANCHORARRAY(BU75)+_xlfn.ANCHORARRAY(BX75)+_xlfn.ANCHORARRAY(CA75)</f>
        <v>0.30804668795258655</v>
      </c>
      <c r="CE75">
        <v>-0.11028126687543253</v>
      </c>
    </row>
    <row r="76" spans="40:83" x14ac:dyDescent="0.25">
      <c r="AT76">
        <v>2</v>
      </c>
      <c r="AU76">
        <v>2.0417928187865135E-2</v>
      </c>
      <c r="AW76">
        <v>0.36456763114378399</v>
      </c>
      <c r="AX76">
        <v>0.28232402332595857</v>
      </c>
      <c r="AY76">
        <v>0.16092645712688819</v>
      </c>
      <c r="AZ76">
        <v>0.15477630284588181</v>
      </c>
      <c r="BA76">
        <v>0.12533154233541741</v>
      </c>
      <c r="BB76">
        <v>0.22519017618501103</v>
      </c>
      <c r="BD76" s="3" cm="1">
        <f t="array" ref="BD76">SUM($AW76:$BB76*$W18:$AB18*(IF((ROW(AW76)-$BH$73)=(COLUMN(AW76)-$BI$73),1,0)-W18))</f>
        <v>-9.5651847349841768E-3</v>
      </c>
      <c r="BE76" s="3" cm="1">
        <f t="array" ref="BE76">SUM($AW76:$BB76*$W18:$AB18*(IF((ROW(AX76)-$BH$73)=(COLUMN(AX76)-$BI$73),1,0)-X18))</f>
        <v>0.16318543212061551</v>
      </c>
      <c r="BF76" s="3" cm="1">
        <f t="array" ref="BF76">SUM($AW76:$BB76*$W18:$AB18*(IF((ROW(AY76)-$BH$73)=(COLUMN(AY76)-$BI$73),1,0)-Y18))</f>
        <v>-4.2282920923669476E-2</v>
      </c>
      <c r="BG76" s="3" cm="1">
        <f t="array" ref="BG76">SUM($AW76:$BB76*$W18:$AB18*(IF((ROW(AZ76)-$BH$73)=(COLUMN(AZ76)-$BI$73),1,0)-Z18))</f>
        <v>-4.2869591237307186E-2</v>
      </c>
      <c r="BH76" s="3" cm="1">
        <f t="array" ref="BH76">SUM($AW76:$BB76*$W18:$AB18*(IF((ROW(BA76)-$BH$73)=(COLUMN(BA76)-$BI$73),1,0)-AA18))</f>
        <v>-4.7011298239335475E-2</v>
      </c>
      <c r="BI76" s="3" cm="1">
        <f t="array" ref="BI76">SUM($AW76:$BB76*$W18:$AB18*(IF((ROW(BB76)-$BH$73)=(COLUMN(BB76)-$BI$73),1,0)-AB18))</f>
        <v>-2.1456436985319204E-2</v>
      </c>
      <c r="BK76">
        <v>-0.21792275124629001</v>
      </c>
      <c r="BM76">
        <v>7.8810072235374576E-2</v>
      </c>
      <c r="BO76">
        <v>5.7313862005673816E-2</v>
      </c>
      <c r="BQ76">
        <v>0.32099254926436005</v>
      </c>
      <c r="BS76">
        <v>0.21250714577710444</v>
      </c>
      <c r="BU76">
        <v>-3.8380505178627421E-2</v>
      </c>
      <c r="BV76">
        <v>1.8756797192019149E-2</v>
      </c>
      <c r="BX76">
        <v>-5.4698610562818793E-2</v>
      </c>
      <c r="BY76">
        <v>1.7869665602195783E-2</v>
      </c>
      <c r="CA76">
        <v>1.929494213753255E-2</v>
      </c>
      <c r="CB76">
        <v>8.8817987617213334E-3</v>
      </c>
      <c r="CD76">
        <v>-7.3784173603913664E-2</v>
      </c>
      <c r="CE76">
        <v>4.5508261555936264E-2</v>
      </c>
    </row>
    <row r="77" spans="40:83" x14ac:dyDescent="0.25">
      <c r="AT77">
        <v>3</v>
      </c>
      <c r="AU77">
        <v>3.89758320443091E-2</v>
      </c>
      <c r="AW77">
        <v>-0.36138123116318138</v>
      </c>
      <c r="AX77">
        <v>-0.27985645027338912</v>
      </c>
      <c r="AY77">
        <v>-0.15951992507065821</v>
      </c>
      <c r="AZ77">
        <v>-0.15342352446882573</v>
      </c>
      <c r="BA77">
        <v>-0.12423611753642047</v>
      </c>
      <c r="BB77">
        <v>-0.22322196531895963</v>
      </c>
      <c r="BD77" s="3" cm="1">
        <f t="array" ref="BD77">SUM($AW77:$BB77*$W19:$AB19*(IF((ROW(AW77)-$BH$73)=(COLUMN(AW77)-$BI$73),1,0)-W19))</f>
        <v>2.5178684829237272E-2</v>
      </c>
      <c r="BE77" s="3" cm="1">
        <f t="array" ref="BE77">SUM($AW77:$BB77*$W19:$AB19*(IF((ROW(AX77)-$BH$73)=(COLUMN(AX77)-$BI$73),1,0)-X19))</f>
        <v>2.9606479584719521E-2</v>
      </c>
      <c r="BF77" s="3" cm="1">
        <f t="array" ref="BF77">SUM($AW77:$BB77*$W19:$AB19*(IF((ROW(AY77)-$BH$73)=(COLUMN(AY77)-$BI$73),1,0)-Y19))</f>
        <v>-0.16518010392736154</v>
      </c>
      <c r="BG77" s="3" cm="1">
        <f t="array" ref="BG77">SUM($AW77:$BB77*$W19:$AB19*(IF((ROW(AZ77)-$BH$73)=(COLUMN(AZ77)-$BI$73),1,0)-Z19))</f>
        <v>3.8787260949399993E-2</v>
      </c>
      <c r="BH77" s="3" cm="1">
        <f t="array" ref="BH77">SUM($AW77:$BB77*$W19:$AB19*(IF((ROW(BA77)-$BH$73)=(COLUMN(BA77)-$BI$73),1,0)-AA19))</f>
        <v>3.9831494999583085E-2</v>
      </c>
      <c r="BI77" s="3" cm="1">
        <f t="array" ref="BI77">SUM($AW77:$BB77*$W19:$AB19*(IF((ROW(BB77)-$BH$73)=(COLUMN(BB77)-$BI$73),1,0)-AB19))</f>
        <v>3.1776183564421613E-2</v>
      </c>
      <c r="BK77">
        <v>0.19988805259218012</v>
      </c>
      <c r="BM77">
        <v>5.03958875214119E-2</v>
      </c>
      <c r="BU77">
        <v>-2.4542797222927595E-2</v>
      </c>
      <c r="BV77">
        <v>1.1994221230096032E-2</v>
      </c>
      <c r="BX77">
        <v>5.0171901200637213E-2</v>
      </c>
      <c r="BY77">
        <v>-1.6390820312558771E-2</v>
      </c>
      <c r="CA77">
        <v>3.6832161281872097E-2</v>
      </c>
      <c r="CB77">
        <v>1.6954486939274458E-2</v>
      </c>
      <c r="CD77">
        <v>6.2461265259581719E-2</v>
      </c>
      <c r="CE77">
        <v>1.2557887856811719E-2</v>
      </c>
    </row>
    <row r="78" spans="40:83" x14ac:dyDescent="0.25">
      <c r="AT78">
        <v>4</v>
      </c>
      <c r="AU78">
        <v>3.9274964501444312E-2</v>
      </c>
      <c r="AW78">
        <v>0.12165746529030233</v>
      </c>
      <c r="AX78">
        <v>9.4212492098208436E-2</v>
      </c>
      <c r="AY78">
        <v>5.3701709092446225E-2</v>
      </c>
      <c r="AZ78">
        <v>5.1649381576083571E-2</v>
      </c>
      <c r="BA78">
        <v>4.1823564296188276E-2</v>
      </c>
      <c r="BB78">
        <v>7.5146731916361911E-2</v>
      </c>
      <c r="BD78" s="3" cm="1">
        <f t="array" ref="BD78">SUM($AW78:$BB78*$W20:$AB20*(IF((ROW(AW78)-$BH$73)=(COLUMN(AW78)-$BI$73),1,0)-W20))</f>
        <v>-8.5488545630091548E-3</v>
      </c>
      <c r="BE78" s="3" cm="1">
        <f t="array" ref="BE78">SUM($AW78:$BB78*$W20:$AB20*(IF((ROW(AX78)-$BH$73)=(COLUMN(AX78)-$BI$73),1,0)-X20))</f>
        <v>-1.0015101401643797E-2</v>
      </c>
      <c r="BF78" s="3" cm="1">
        <f t="array" ref="BF78">SUM($AW78:$BB78*$W20:$AB20*(IF((ROW(AY78)-$BH$73)=(COLUMN(AY78)-$BI$73),1,0)-Y20))</f>
        <v>-1.2989576368179058E-2</v>
      </c>
      <c r="BG78" s="3" cm="1">
        <f t="array" ref="BG78">SUM($AW78:$BB78*$W20:$AB20*(IF((ROW(AZ78)-$BH$73)=(COLUMN(AZ78)-$BI$73),1,0)-Z20))</f>
        <v>5.5668246796814709E-2</v>
      </c>
      <c r="BH78" s="3" cm="1">
        <f t="array" ref="BH78">SUM($AW78:$BB78*$W20:$AB20*(IF((ROW(BA78)-$BH$73)=(COLUMN(BA78)-$BI$73),1,0)-AA20))</f>
        <v>-1.3383001778789518E-2</v>
      </c>
      <c r="BI78" s="3" cm="1">
        <f t="array" ref="BI78">SUM($AW78:$BB78*$W20:$AB20*(IF((ROW(BB78)-$BH$73)=(COLUMN(BB78)-$BI$73),1,0)-AB20))</f>
        <v>-1.07317126851932E-2</v>
      </c>
      <c r="BK78">
        <v>7.361563771249649E-2</v>
      </c>
      <c r="BM78">
        <v>-1.766088041882883E-2</v>
      </c>
      <c r="BU78">
        <v>8.6008487639696405E-3</v>
      </c>
      <c r="BV78">
        <v>-4.2032895396812613E-3</v>
      </c>
      <c r="BX78">
        <v>1.8477525065836619E-2</v>
      </c>
      <c r="BY78">
        <v>-6.0364822924247122E-3</v>
      </c>
      <c r="CA78">
        <v>3.7114841453864872E-2</v>
      </c>
      <c r="CB78">
        <v>1.7084609558128277E-2</v>
      </c>
      <c r="CD78">
        <v>6.419321528367114E-2</v>
      </c>
      <c r="CE78">
        <v>6.8448377260223042E-3</v>
      </c>
    </row>
    <row r="79" spans="40:83" x14ac:dyDescent="0.25">
      <c r="AT79">
        <v>5</v>
      </c>
      <c r="AU79">
        <v>4.1253176073985418E-2</v>
      </c>
      <c r="AW79">
        <v>1.7371007091039371E-2</v>
      </c>
      <c r="AX79">
        <v>1.3452243677749257E-2</v>
      </c>
      <c r="AY79">
        <v>7.6678629397696086E-3</v>
      </c>
      <c r="AZ79">
        <v>7.3748188938921157E-3</v>
      </c>
      <c r="BA79">
        <v>5.9718277890139504E-3</v>
      </c>
      <c r="BB79">
        <v>1.0729916243714577E-2</v>
      </c>
      <c r="BD79" s="3" cm="1">
        <f t="array" ref="BD79">SUM($AW79:$BB79*$W21:$AB21*(IF((ROW(AW79)-$BH$73)=(COLUMN(AW79)-$BI$73),1,0)-W21))</f>
        <v>-1.3101379598074523E-3</v>
      </c>
      <c r="BE79" s="3" cm="1">
        <f t="array" ref="BE79">SUM($AW79:$BB79*$W21:$AB21*(IF((ROW(AX79)-$BH$73)=(COLUMN(AX79)-$BI$73),1,0)-X21))</f>
        <v>-1.4881547859429268E-3</v>
      </c>
      <c r="BF79" s="3" cm="1">
        <f t="array" ref="BF79">SUM($AW79:$BB79*$W21:$AB21*(IF((ROW(AY79)-$BH$73)=(COLUMN(AY79)-$BI$73),1,0)-Y21))</f>
        <v>-1.8346241246179804E-3</v>
      </c>
      <c r="BG79" s="3" cm="1">
        <f t="array" ref="BG79">SUM($AW79:$BB79*$W21:$AB21*(IF((ROW(AZ79)-$BH$73)=(COLUMN(AZ79)-$BI$73),1,0)-Z21))</f>
        <v>-1.8403602442410856E-3</v>
      </c>
      <c r="BH79" s="3" cm="1">
        <f t="array" ref="BH79">SUM($AW79:$BB79*$W21:$AB21*(IF((ROW(BA79)-$BH$73)=(COLUMN(BA79)-$BI$73),1,0)-AA21))</f>
        <v>8.0465515845574362E-3</v>
      </c>
      <c r="BI79" s="3" cm="1">
        <f t="array" ref="BI79">SUM($AW79:$BB79*$W21:$AB21*(IF((ROW(BB79)-$BH$73)=(COLUMN(BB79)-$BI$73),1,0)-AB21))</f>
        <v>-1.5732744699479906E-3</v>
      </c>
      <c r="BK79">
        <v>0.10103771485182569</v>
      </c>
      <c r="BM79">
        <v>-3.2230023429543758E-3</v>
      </c>
      <c r="BU79">
        <v>1.5696021410187811E-3</v>
      </c>
      <c r="BV79">
        <v>-7.6707455762314142E-4</v>
      </c>
      <c r="BX79">
        <v>2.5360466427808249E-2</v>
      </c>
      <c r="BY79">
        <v>-8.285092617849708E-3</v>
      </c>
      <c r="CA79">
        <v>3.8984251389916215E-2</v>
      </c>
      <c r="CB79">
        <v>1.7945131592183656E-2</v>
      </c>
      <c r="CD79">
        <v>6.591431995874325E-2</v>
      </c>
      <c r="CE79">
        <v>8.8929644167108062E-3</v>
      </c>
    </row>
    <row r="80" spans="40:83" x14ac:dyDescent="0.25">
      <c r="AT80">
        <v>6</v>
      </c>
      <c r="AU80">
        <v>2.4778344962259349E-2</v>
      </c>
      <c r="AW80">
        <v>1.395196590222449</v>
      </c>
      <c r="AX80">
        <v>1.0804511455020234</v>
      </c>
      <c r="AY80">
        <v>0.6158639030996752</v>
      </c>
      <c r="AZ80">
        <v>0.59232732566058288</v>
      </c>
      <c r="BA80">
        <v>0.47964252878152519</v>
      </c>
      <c r="BB80">
        <v>0.86180049769971712</v>
      </c>
      <c r="BD80" s="3" cm="1">
        <f t="array" ref="BD80">SUM($AW80:$BB80*$W22:$AB22*(IF((ROW(AW80)-$BH$73)=(COLUMN(AW80)-$BI$73),1,0)-W22))</f>
        <v>-4.6334181189856424E-2</v>
      </c>
      <c r="BE80" s="3" cm="1">
        <f t="array" ref="BE80">SUM($AW80:$BB80*$W22:$AB22*(IF((ROW(AX80)-$BH$73)=(COLUMN(AX80)-$BI$73),1,0)-X22))</f>
        <v>-7.4060397018285457E-2</v>
      </c>
      <c r="BF80" s="3" cm="1">
        <f t="array" ref="BF80">SUM($AW80:$BB80*$W22:$AB22*(IF((ROW(AY80)-$BH$73)=(COLUMN(AY80)-$BI$73),1,0)-Y22))</f>
        <v>-0.16003061253495815</v>
      </c>
      <c r="BG80" s="3" cm="1">
        <f t="array" ref="BG80">SUM($AW80:$BB80*$W22:$AB22*(IF((ROW(AZ80)-$BH$73)=(COLUMN(AZ80)-$BI$73),1,0)-Z22))</f>
        <v>-0.16188023396914969</v>
      </c>
      <c r="BH80" s="3" cm="1">
        <f t="array" ref="BH80">SUM($AW80:$BB80*$W22:$AB22*(IF((ROW(BA80)-$BH$73)=(COLUMN(BA80)-$BI$73),1,0)-AA22))</f>
        <v>-0.17482220507398363</v>
      </c>
      <c r="BI80" s="3" cm="1">
        <f t="array" ref="BI80">SUM($AW80:$BB80*$W22:$AB22*(IF((ROW(BB80)-$BH$73)=(COLUMN(BB80)-$BI$73),1,0)-AB22))</f>
        <v>0.61712762978623326</v>
      </c>
      <c r="BK80">
        <v>-0.87162679734730397</v>
      </c>
      <c r="BM80">
        <v>0.18664209967248363</v>
      </c>
      <c r="BU80">
        <v>-9.0894702540499528E-2</v>
      </c>
      <c r="BV80">
        <v>4.44208197220511E-2</v>
      </c>
      <c r="BX80">
        <v>-0.21877832613417331</v>
      </c>
      <c r="BY80">
        <v>7.1473397382478931E-2</v>
      </c>
      <c r="CA80">
        <v>2.3415535989335084E-2</v>
      </c>
      <c r="CB80">
        <v>1.0778580058582817E-2</v>
      </c>
      <c r="CD80">
        <v>-0.28625749268533773</v>
      </c>
      <c r="CE80">
        <v>0.12667279716311286</v>
      </c>
    </row>
    <row r="81" spans="81:86" ht="15.75" thickBot="1" x14ac:dyDescent="0.3"/>
    <row r="82" spans="81:86" x14ac:dyDescent="0.25">
      <c r="CD82" t="s">
        <v>185</v>
      </c>
      <c r="CG82" s="51" t="s">
        <v>81</v>
      </c>
      <c r="CH82" s="6"/>
    </row>
    <row r="83" spans="81:86" x14ac:dyDescent="0.25">
      <c r="CD83" t="s">
        <v>18</v>
      </c>
      <c r="CG83" s="7" t="s">
        <v>137</v>
      </c>
      <c r="CH83" s="8"/>
    </row>
    <row r="84" spans="81:86" x14ac:dyDescent="0.25">
      <c r="CD84">
        <v>1</v>
      </c>
      <c r="CE84">
        <v>2</v>
      </c>
      <c r="CG84" s="7">
        <v>1</v>
      </c>
      <c r="CH84" s="8">
        <v>2</v>
      </c>
    </row>
    <row r="85" spans="81:86" x14ac:dyDescent="0.25">
      <c r="CC85">
        <v>1</v>
      </c>
      <c r="CD85" cm="1">
        <f t="array" ref="CD85:CE90">_xlfn.ANCHORARRAY(CD64)+_xlfn.ANCHORARRAY(CD75)</f>
        <v>0.55781802645091316</v>
      </c>
      <c r="CE85">
        <v>-0.46181155834265103</v>
      </c>
      <c r="CG85" s="106" cm="1">
        <f t="array" ref="CG85:CH90">_xlfn.ANCHORARRAY(AU35)+_xlfn.ANCHORARRAY(CD85)</f>
        <v>0.39714325099981673</v>
      </c>
      <c r="CH85" s="87">
        <v>-0.50468856839571596</v>
      </c>
    </row>
    <row r="86" spans="81:86" x14ac:dyDescent="0.25">
      <c r="CC86">
        <v>2</v>
      </c>
      <c r="CD86">
        <v>-7.7180512635190754E-2</v>
      </c>
      <c r="CE86">
        <v>4.4711282327881942E-2</v>
      </c>
      <c r="CG86" s="106">
        <v>-8.8396949930613256E-2</v>
      </c>
      <c r="CH86" s="87">
        <v>0.14161601398941195</v>
      </c>
    </row>
    <row r="87" spans="81:86" x14ac:dyDescent="0.25">
      <c r="CC87">
        <v>3</v>
      </c>
      <c r="CD87">
        <v>-2.1472484445993215E-2</v>
      </c>
      <c r="CE87">
        <v>0.1035476245392206</v>
      </c>
      <c r="CG87" s="106">
        <v>-0.20152909604265906</v>
      </c>
      <c r="CH87" s="87">
        <v>0.13704247275487164</v>
      </c>
    </row>
    <row r="88" spans="81:86" x14ac:dyDescent="0.25">
      <c r="CC88">
        <v>4</v>
      </c>
      <c r="CD88">
        <v>3.0864783858681209E-2</v>
      </c>
      <c r="CE88">
        <v>4.783975544247844E-2</v>
      </c>
      <c r="CG88" s="106">
        <v>5.8359810882477985E-2</v>
      </c>
      <c r="CH88" s="87">
        <v>5.9008303755639882E-2</v>
      </c>
    </row>
    <row r="89" spans="81:86" x14ac:dyDescent="0.25">
      <c r="CC89">
        <v>5</v>
      </c>
      <c r="CD89">
        <v>4.319490211162301E-2</v>
      </c>
      <c r="CE89">
        <v>3.621612366350712E-2</v>
      </c>
      <c r="CG89" s="106">
        <v>8.4651028355200136E-2</v>
      </c>
      <c r="CH89" s="87">
        <v>1.237792546883798E-2</v>
      </c>
    </row>
    <row r="90" spans="81:86" ht="15.75" thickBot="1" x14ac:dyDescent="0.3">
      <c r="CC90">
        <v>6</v>
      </c>
      <c r="CD90">
        <v>-0.31097828694130797</v>
      </c>
      <c r="CE90">
        <v>0.15525475189645416</v>
      </c>
      <c r="CG90" s="107">
        <v>-0.33390181163514931</v>
      </c>
      <c r="CH90" s="88">
        <v>0.51255373894932399</v>
      </c>
    </row>
    <row r="91" spans="81:86" x14ac:dyDescent="0.25">
      <c r="CG91" t="s">
        <v>184</v>
      </c>
    </row>
  </sheetData>
  <pageMargins left="0.7" right="0.7" top="0.75" bottom="0.75" header="0.3" footer="0.3"/>
  <ignoredErrors>
    <ignoredError sqref="AO28:AO39" formulaRange="1"/>
  </ignoredError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F9AD1-DA29-4072-9F68-4519EE583285}">
  <dimension ref="B2:AE95"/>
  <sheetViews>
    <sheetView zoomScale="115" zoomScaleNormal="115" workbookViewId="0">
      <selection activeCell="AD19" sqref="AD19"/>
    </sheetView>
  </sheetViews>
  <sheetFormatPr defaultRowHeight="15" x14ac:dyDescent="0.25"/>
  <cols>
    <col min="1" max="1" width="6.85546875" customWidth="1"/>
    <col min="2" max="2" width="4.28515625" customWidth="1"/>
    <col min="3" max="3" width="9.140625" bestFit="1" customWidth="1"/>
    <col min="4" max="4" width="6" customWidth="1"/>
    <col min="8" max="8" width="2.28515625" customWidth="1"/>
    <col min="11" max="11" width="5" customWidth="1"/>
    <col min="12" max="14" width="8.28515625" customWidth="1"/>
    <col min="15" max="15" width="5" customWidth="1"/>
    <col min="27" max="27" width="3.42578125" customWidth="1"/>
  </cols>
  <sheetData>
    <row r="2" spans="2:31" x14ac:dyDescent="0.25">
      <c r="E2" t="s">
        <v>47</v>
      </c>
      <c r="I2" t="s">
        <v>71</v>
      </c>
      <c r="L2" t="s">
        <v>78</v>
      </c>
      <c r="P2" s="32"/>
      <c r="Q2" s="50" t="s">
        <v>195</v>
      </c>
      <c r="R2" s="46"/>
      <c r="T2" s="49" t="s">
        <v>226</v>
      </c>
      <c r="U2" s="49"/>
      <c r="V2" s="49"/>
      <c r="W2" s="49"/>
      <c r="X2" s="49"/>
      <c r="Y2" s="49"/>
      <c r="Z2" s="49"/>
    </row>
    <row r="3" spans="2:31" x14ac:dyDescent="0.25">
      <c r="E3" t="s">
        <v>42</v>
      </c>
      <c r="F3" t="s">
        <v>43</v>
      </c>
      <c r="G3" t="s">
        <v>44</v>
      </c>
      <c r="I3" t="s">
        <v>196</v>
      </c>
      <c r="L3" t="s">
        <v>77</v>
      </c>
      <c r="M3">
        <v>2</v>
      </c>
      <c r="N3">
        <v>3</v>
      </c>
      <c r="P3" s="32"/>
      <c r="Q3" s="50" t="s">
        <v>42</v>
      </c>
      <c r="R3" s="32"/>
      <c r="T3" s="49"/>
      <c r="U3" s="49"/>
      <c r="V3" s="49"/>
      <c r="W3" s="49"/>
      <c r="X3" s="49"/>
      <c r="Y3" s="49"/>
      <c r="Z3" s="49"/>
    </row>
    <row r="4" spans="2:31" ht="15.75" thickBot="1" x14ac:dyDescent="0.3">
      <c r="B4" s="14"/>
      <c r="C4" s="14" t="s">
        <v>228</v>
      </c>
      <c r="D4" s="14"/>
      <c r="E4" s="14">
        <v>1</v>
      </c>
      <c r="F4" s="14">
        <v>2</v>
      </c>
      <c r="G4" s="14">
        <v>3</v>
      </c>
      <c r="H4" s="14"/>
      <c r="I4" s="14">
        <v>1</v>
      </c>
      <c r="J4" s="14">
        <v>2</v>
      </c>
      <c r="L4" s="14" t="s">
        <v>42</v>
      </c>
      <c r="M4" s="14" t="s">
        <v>43</v>
      </c>
      <c r="N4" s="14" t="s">
        <v>44</v>
      </c>
      <c r="P4" s="32"/>
      <c r="Q4" s="43" t="s">
        <v>204</v>
      </c>
      <c r="R4" s="32" t="s">
        <v>205</v>
      </c>
      <c r="S4" s="43"/>
      <c r="T4" s="36" t="s">
        <v>227</v>
      </c>
    </row>
    <row r="5" spans="2:31" x14ac:dyDescent="0.25">
      <c r="C5" t="s">
        <v>195</v>
      </c>
      <c r="D5">
        <v>1</v>
      </c>
      <c r="E5" s="13" cm="1">
        <f t="array" ref="E5:G5">TRANSPOSE('CNN-BE'!M28:M30)</f>
        <v>0.41732222785501649</v>
      </c>
      <c r="F5" s="13">
        <v>2.2595128545573613E-2</v>
      </c>
      <c r="G5" s="13">
        <v>0.38792376552476071</v>
      </c>
      <c r="H5" s="13"/>
      <c r="I5" t="s">
        <v>42</v>
      </c>
      <c r="J5" t="s">
        <v>43</v>
      </c>
      <c r="L5">
        <f>COUNTIF($I5:$J5,"gembira")</f>
        <v>1</v>
      </c>
      <c r="M5">
        <f>COUNTIF($I5:$J5,"sedih")</f>
        <v>1</v>
      </c>
      <c r="N5">
        <f>COUNTIF($I5:$J5,"tegang")</f>
        <v>0</v>
      </c>
      <c r="P5" s="47"/>
      <c r="Q5">
        <f>E5</f>
        <v>0.41732222785501649</v>
      </c>
      <c r="R5" s="32">
        <f>L5</f>
        <v>1</v>
      </c>
    </row>
    <row r="6" spans="2:31" x14ac:dyDescent="0.25">
      <c r="C6" t="s">
        <v>94</v>
      </c>
      <c r="D6">
        <v>1</v>
      </c>
      <c r="E6" s="13" cm="1">
        <f t="array" ref="E6:G6">TRANSPOSE('GRU-BE'!W28:W30)</f>
        <v>0.56668266240914977</v>
      </c>
      <c r="F6" s="13">
        <v>0.83693392591623439</v>
      </c>
      <c r="G6" s="13">
        <v>0.88455214801069848</v>
      </c>
      <c r="H6" s="13"/>
      <c r="I6" t="s">
        <v>42</v>
      </c>
      <c r="J6" t="s">
        <v>43</v>
      </c>
      <c r="L6">
        <f t="shared" ref="L6:L16" si="0">COUNTIF($I6:$J6,"gembira")</f>
        <v>1</v>
      </c>
      <c r="M6">
        <f t="shared" ref="M6:M16" si="1">COUNTIF($I6:$J6,"sedih")</f>
        <v>1</v>
      </c>
      <c r="N6">
        <f t="shared" ref="N6:N16" si="2">COUNTIF($I6:$J6,"tegang")</f>
        <v>0</v>
      </c>
      <c r="P6" s="47"/>
      <c r="Q6" cm="1">
        <f t="array" ref="Q6:Q8">E8:E10</f>
        <v>0.89800000000000002</v>
      </c>
      <c r="R6" s="47" cm="1">
        <f t="array" ref="R6:R8">L8:L10</f>
        <v>1</v>
      </c>
    </row>
    <row r="7" spans="2:31" ht="15.75" thickBot="1" x14ac:dyDescent="0.3">
      <c r="B7" s="14"/>
      <c r="C7" s="14" t="s">
        <v>202</v>
      </c>
      <c r="D7" s="14">
        <v>1</v>
      </c>
      <c r="E7" s="39" cm="1">
        <f t="array" ref="E7:G7">TRANSPOSE('ATTN-BE'!AG28:AG30)</f>
        <v>0.10312014107435824</v>
      </c>
      <c r="F7" s="39">
        <v>4.4066385014972309E-3</v>
      </c>
      <c r="G7" s="39">
        <v>0.65530808744293412</v>
      </c>
      <c r="H7" s="39"/>
      <c r="I7" s="14" t="s">
        <v>42</v>
      </c>
      <c r="J7" s="14" t="s">
        <v>43</v>
      </c>
      <c r="L7" s="14">
        <f t="shared" si="0"/>
        <v>1</v>
      </c>
      <c r="M7" s="14">
        <f t="shared" si="1"/>
        <v>1</v>
      </c>
      <c r="N7" s="14">
        <f t="shared" si="2"/>
        <v>0</v>
      </c>
      <c r="P7" s="47"/>
      <c r="Q7">
        <v>0.48299999999999998</v>
      </c>
      <c r="R7" s="47">
        <v>0</v>
      </c>
    </row>
    <row r="8" spans="2:31" ht="15" customHeight="1" x14ac:dyDescent="0.25">
      <c r="B8" s="40" t="s">
        <v>197</v>
      </c>
      <c r="C8" t="s">
        <v>195</v>
      </c>
      <c r="D8">
        <v>2</v>
      </c>
      <c r="E8" s="15">
        <v>0.89800000000000002</v>
      </c>
      <c r="F8" s="15">
        <v>0.68700000000000006</v>
      </c>
      <c r="G8" s="15">
        <v>0.997</v>
      </c>
      <c r="H8" s="15"/>
      <c r="I8" t="s">
        <v>42</v>
      </c>
      <c r="J8" t="s">
        <v>44</v>
      </c>
      <c r="L8">
        <f t="shared" si="0"/>
        <v>1</v>
      </c>
      <c r="M8">
        <f t="shared" si="1"/>
        <v>0</v>
      </c>
      <c r="N8">
        <f t="shared" si="2"/>
        <v>1</v>
      </c>
      <c r="P8" s="47"/>
      <c r="Q8" s="47">
        <v>0.10199999999999999</v>
      </c>
      <c r="R8" s="47">
        <v>1</v>
      </c>
    </row>
    <row r="9" spans="2:31" x14ac:dyDescent="0.25">
      <c r="B9" s="41"/>
      <c r="C9" t="s">
        <v>195</v>
      </c>
      <c r="D9">
        <v>3</v>
      </c>
      <c r="E9" s="15">
        <v>0.48299999999999998</v>
      </c>
      <c r="F9" s="15">
        <v>0.748</v>
      </c>
      <c r="G9" s="15">
        <v>0.23300000000000001</v>
      </c>
      <c r="H9" s="15"/>
      <c r="I9" t="s">
        <v>44</v>
      </c>
      <c r="J9" t="s">
        <v>43</v>
      </c>
      <c r="L9">
        <f t="shared" si="0"/>
        <v>0</v>
      </c>
      <c r="M9">
        <f t="shared" si="1"/>
        <v>1</v>
      </c>
      <c r="N9">
        <f t="shared" si="2"/>
        <v>1</v>
      </c>
      <c r="P9" s="47"/>
      <c r="Q9" s="47"/>
      <c r="R9" s="47"/>
      <c r="AB9" s="35" t="s">
        <v>42</v>
      </c>
    </row>
    <row r="10" spans="2:31" ht="15.75" thickBot="1" x14ac:dyDescent="0.3">
      <c r="B10" s="41"/>
      <c r="C10" s="14" t="s">
        <v>195</v>
      </c>
      <c r="D10" s="14">
        <v>4</v>
      </c>
      <c r="E10" s="42">
        <v>0.10199999999999999</v>
      </c>
      <c r="F10" s="42">
        <v>0.63100000000000001</v>
      </c>
      <c r="G10" s="42">
        <v>0.46300000000000002</v>
      </c>
      <c r="H10" s="42"/>
      <c r="I10" s="14" t="s">
        <v>42</v>
      </c>
      <c r="J10" s="14"/>
      <c r="L10" s="14">
        <f t="shared" si="0"/>
        <v>1</v>
      </c>
      <c r="M10" s="14">
        <f t="shared" si="1"/>
        <v>0</v>
      </c>
      <c r="N10" s="14">
        <f t="shared" si="2"/>
        <v>0</v>
      </c>
      <c r="P10" s="47"/>
      <c r="Q10" t="s">
        <v>213</v>
      </c>
      <c r="R10" s="47" t="s">
        <v>204</v>
      </c>
      <c r="S10" t="s">
        <v>205</v>
      </c>
      <c r="T10" s="43" t="s">
        <v>209</v>
      </c>
      <c r="U10" s="43" t="s">
        <v>211</v>
      </c>
      <c r="V10" s="43" t="s">
        <v>214</v>
      </c>
      <c r="W10" s="43" t="s">
        <v>212</v>
      </c>
      <c r="X10" s="43" t="s">
        <v>210</v>
      </c>
      <c r="Y10" s="43" t="s">
        <v>215</v>
      </c>
      <c r="Z10" s="43" t="s">
        <v>216</v>
      </c>
      <c r="AB10" t="s">
        <v>213</v>
      </c>
      <c r="AC10" t="s">
        <v>215</v>
      </c>
      <c r="AD10" t="s">
        <v>214</v>
      </c>
      <c r="AE10" t="s">
        <v>216</v>
      </c>
    </row>
    <row r="11" spans="2:31" ht="15" customHeight="1" x14ac:dyDescent="0.25">
      <c r="B11" s="40" t="s">
        <v>197</v>
      </c>
      <c r="C11" t="s">
        <v>94</v>
      </c>
      <c r="D11">
        <v>2</v>
      </c>
      <c r="E11" s="15">
        <v>0.72299999999999998</v>
      </c>
      <c r="F11" s="15">
        <v>0.872</v>
      </c>
      <c r="G11" s="15">
        <v>0.42199999999999999</v>
      </c>
      <c r="H11" s="15"/>
      <c r="I11" t="s">
        <v>42</v>
      </c>
      <c r="J11" t="s">
        <v>44</v>
      </c>
      <c r="L11">
        <f t="shared" si="0"/>
        <v>1</v>
      </c>
      <c r="M11">
        <f t="shared" si="1"/>
        <v>0</v>
      </c>
      <c r="N11">
        <f t="shared" si="2"/>
        <v>1</v>
      </c>
      <c r="P11" s="47"/>
      <c r="Q11" s="47">
        <v>0.8</v>
      </c>
      <c r="R11" s="47">
        <f>IF($Q$5&gt;$Q11,1,0)</f>
        <v>0</v>
      </c>
      <c r="S11">
        <f>$R$5</f>
        <v>1</v>
      </c>
      <c r="T11">
        <f>IF(AND(R11=1,S11=1),1,0)</f>
        <v>0</v>
      </c>
      <c r="U11">
        <f>IF(AND(R11=0,S11=1),1,0)</f>
        <v>1</v>
      </c>
      <c r="V11">
        <f>SUM(T11:T14)/(SUM(T11:T14)+SUM(U11:U14))</f>
        <v>0.33333333333333331</v>
      </c>
      <c r="W11">
        <f>IF(AND(R11=1,S11=0),1,0)</f>
        <v>0</v>
      </c>
      <c r="X11">
        <f>IF(AND(R11=0,S11=0),1,0)</f>
        <v>0</v>
      </c>
      <c r="Y11">
        <f>SUM(W11:W14)/(SUM(W11:W14)+SUM(X11:X14))</f>
        <v>0</v>
      </c>
      <c r="Z11">
        <f>SUM(T11:T14)/(SUM(T11:T14)+SUM(W11:W14))</f>
        <v>1</v>
      </c>
      <c r="AB11" cm="1">
        <f t="array" ref="AB11:AB15">_xlfn._xlws.FILTER(Q11:Q30,Q11:Q30&lt;&gt;"")</f>
        <v>0.8</v>
      </c>
      <c r="AC11" cm="1">
        <f t="array" ref="AC11:AC15">_xlfn._xlws.FILTER(Y11:Y30,Y11:Y30&lt;&gt;"")</f>
        <v>0</v>
      </c>
      <c r="AD11" cm="1">
        <f t="array" ref="AD11:AD15">_xlfn._xlws.FILTER(V11:V30,V11:V30&lt;&gt;"")</f>
        <v>0.33333333333333331</v>
      </c>
      <c r="AE11" cm="1">
        <f t="array" ref="AE11:AE15">_xlfn._xlws.FILTER(Z11:Z30,Z11:Z30&lt;&gt;"")</f>
        <v>1</v>
      </c>
    </row>
    <row r="12" spans="2:31" x14ac:dyDescent="0.25">
      <c r="B12" s="41"/>
      <c r="C12" t="s">
        <v>94</v>
      </c>
      <c r="D12">
        <v>3</v>
      </c>
      <c r="E12" s="15">
        <v>0.78800000000000003</v>
      </c>
      <c r="F12" s="15">
        <v>0.27400000000000002</v>
      </c>
      <c r="G12" s="15">
        <v>0.89500000000000002</v>
      </c>
      <c r="H12" s="15"/>
      <c r="I12" t="s">
        <v>44</v>
      </c>
      <c r="J12" t="s">
        <v>43</v>
      </c>
      <c r="L12">
        <f t="shared" si="0"/>
        <v>0</v>
      </c>
      <c r="M12">
        <f t="shared" si="1"/>
        <v>1</v>
      </c>
      <c r="N12">
        <f t="shared" si="2"/>
        <v>1</v>
      </c>
      <c r="P12" s="47"/>
      <c r="R12" s="47">
        <f>IF($Q$6&gt;$Q11,1,0)</f>
        <v>1</v>
      </c>
      <c r="S12">
        <f>$R$6</f>
        <v>1</v>
      </c>
      <c r="T12">
        <f t="shared" ref="T12:T30" si="3">IF(AND(R12=1,S12=1),1,0)</f>
        <v>1</v>
      </c>
      <c r="U12">
        <f t="shared" ref="U12:U30" si="4">IF(AND(R12=0,S12=1),1,0)</f>
        <v>0</v>
      </c>
      <c r="W12">
        <f t="shared" ref="W12:W30" si="5">IF(AND(R12=1,S12=0),1,0)</f>
        <v>0</v>
      </c>
      <c r="X12">
        <f t="shared" ref="X12:X30" si="6">IF(AND(R12=0,S12=0),1,0)</f>
        <v>0</v>
      </c>
      <c r="AB12">
        <v>0.6</v>
      </c>
      <c r="AC12">
        <v>0</v>
      </c>
      <c r="AD12">
        <v>0.33333333333333331</v>
      </c>
      <c r="AE12">
        <v>1</v>
      </c>
    </row>
    <row r="13" spans="2:31" ht="15.75" thickBot="1" x14ac:dyDescent="0.3">
      <c r="B13" s="41"/>
      <c r="C13" s="14" t="s">
        <v>94</v>
      </c>
      <c r="D13" s="14">
        <v>4</v>
      </c>
      <c r="E13" s="14">
        <v>0.50600000000000001</v>
      </c>
      <c r="F13" s="14">
        <v>0.153</v>
      </c>
      <c r="G13" s="14">
        <v>0.64500000000000002</v>
      </c>
      <c r="H13" s="14"/>
      <c r="I13" s="14" t="s">
        <v>42</v>
      </c>
      <c r="J13" s="14"/>
      <c r="L13" s="14">
        <f t="shared" si="0"/>
        <v>1</v>
      </c>
      <c r="M13" s="14">
        <f t="shared" si="1"/>
        <v>0</v>
      </c>
      <c r="N13" s="14">
        <f t="shared" si="2"/>
        <v>0</v>
      </c>
      <c r="P13" s="47"/>
      <c r="R13" s="47">
        <f>IF($Q$7&gt;$Q11,1,0)</f>
        <v>0</v>
      </c>
      <c r="S13">
        <f>$R$7</f>
        <v>0</v>
      </c>
      <c r="T13">
        <f t="shared" si="3"/>
        <v>0</v>
      </c>
      <c r="U13">
        <f t="shared" si="4"/>
        <v>0</v>
      </c>
      <c r="W13">
        <f t="shared" si="5"/>
        <v>0</v>
      </c>
      <c r="X13">
        <f t="shared" si="6"/>
        <v>1</v>
      </c>
      <c r="AB13">
        <v>0.4</v>
      </c>
      <c r="AC13">
        <v>1</v>
      </c>
      <c r="AD13">
        <v>0.66666666666666663</v>
      </c>
      <c r="AE13">
        <v>0.66666666666666663</v>
      </c>
    </row>
    <row r="14" spans="2:31" ht="15" customHeight="1" x14ac:dyDescent="0.25">
      <c r="B14" s="40" t="s">
        <v>197</v>
      </c>
      <c r="C14" t="s">
        <v>202</v>
      </c>
      <c r="D14">
        <v>2</v>
      </c>
      <c r="E14">
        <v>0.58699999999999997</v>
      </c>
      <c r="F14">
        <v>0.54400000000000004</v>
      </c>
      <c r="G14">
        <v>0.94499999999999995</v>
      </c>
      <c r="I14" t="s">
        <v>42</v>
      </c>
      <c r="J14" t="s">
        <v>44</v>
      </c>
      <c r="L14">
        <f t="shared" si="0"/>
        <v>1</v>
      </c>
      <c r="M14">
        <f t="shared" si="1"/>
        <v>0</v>
      </c>
      <c r="N14">
        <f t="shared" si="2"/>
        <v>1</v>
      </c>
      <c r="P14" s="47"/>
      <c r="R14" s="47">
        <f>IF($Q$8&gt;$Q11,1,0)</f>
        <v>0</v>
      </c>
      <c r="S14">
        <f>$R$8</f>
        <v>1</v>
      </c>
      <c r="T14">
        <f t="shared" si="3"/>
        <v>0</v>
      </c>
      <c r="U14">
        <f t="shared" si="4"/>
        <v>1</v>
      </c>
      <c r="W14">
        <f t="shared" si="5"/>
        <v>0</v>
      </c>
      <c r="X14">
        <f t="shared" si="6"/>
        <v>0</v>
      </c>
      <c r="AB14">
        <v>0.2</v>
      </c>
      <c r="AC14">
        <v>1</v>
      </c>
      <c r="AD14">
        <v>0.66666666666666663</v>
      </c>
      <c r="AE14">
        <v>0.66666666666666663</v>
      </c>
    </row>
    <row r="15" spans="2:31" x14ac:dyDescent="0.25">
      <c r="B15" s="41"/>
      <c r="C15" t="s">
        <v>202</v>
      </c>
      <c r="D15">
        <v>3</v>
      </c>
      <c r="E15">
        <v>0.81100000000000005</v>
      </c>
      <c r="F15">
        <v>0.44600000000000001</v>
      </c>
      <c r="G15">
        <v>0.63100000000000001</v>
      </c>
      <c r="I15" t="s">
        <v>44</v>
      </c>
      <c r="J15" t="s">
        <v>43</v>
      </c>
      <c r="L15">
        <f t="shared" si="0"/>
        <v>0</v>
      </c>
      <c r="M15">
        <f t="shared" si="1"/>
        <v>1</v>
      </c>
      <c r="N15">
        <f t="shared" si="2"/>
        <v>1</v>
      </c>
      <c r="P15" s="47"/>
      <c r="Q15" s="47">
        <v>0.6</v>
      </c>
      <c r="R15" s="47">
        <f>IF($Q$5&gt;$Q15,1,0)</f>
        <v>0</v>
      </c>
      <c r="S15">
        <f>$R$5</f>
        <v>1</v>
      </c>
      <c r="T15">
        <f t="shared" si="3"/>
        <v>0</v>
      </c>
      <c r="U15">
        <f t="shared" si="4"/>
        <v>1</v>
      </c>
      <c r="V15">
        <f>SUM(T15:T18)/(SUM(T15:T18)+SUM(U15:U18))</f>
        <v>0.33333333333333331</v>
      </c>
      <c r="W15">
        <f t="shared" si="5"/>
        <v>0</v>
      </c>
      <c r="X15">
        <f t="shared" si="6"/>
        <v>0</v>
      </c>
      <c r="Y15">
        <f>SUM(W15:W18)/(SUM(W15:W18)+SUM(X15:X18))</f>
        <v>0</v>
      </c>
      <c r="Z15">
        <f>SUM(T15:T18)/(SUM(T15:T18)+SUM(W15:W18))</f>
        <v>1</v>
      </c>
      <c r="AB15">
        <v>0</v>
      </c>
      <c r="AC15">
        <v>1</v>
      </c>
      <c r="AD15">
        <v>1</v>
      </c>
      <c r="AE15">
        <v>0.75</v>
      </c>
    </row>
    <row r="16" spans="2:31" ht="15.75" thickBot="1" x14ac:dyDescent="0.3">
      <c r="B16" s="44"/>
      <c r="C16" s="14" t="s">
        <v>202</v>
      </c>
      <c r="D16" s="14">
        <v>4</v>
      </c>
      <c r="E16" s="14">
        <v>0.42699999999999999</v>
      </c>
      <c r="F16" s="14">
        <v>0.97699999999999998</v>
      </c>
      <c r="G16" s="14">
        <v>0.60599999999999998</v>
      </c>
      <c r="H16" s="14"/>
      <c r="I16" s="14" t="s">
        <v>42</v>
      </c>
      <c r="J16" s="14"/>
      <c r="L16" s="14">
        <f t="shared" si="0"/>
        <v>1</v>
      </c>
      <c r="M16" s="14">
        <f t="shared" si="1"/>
        <v>0</v>
      </c>
      <c r="N16" s="14">
        <f t="shared" si="2"/>
        <v>0</v>
      </c>
      <c r="P16" s="47"/>
      <c r="R16" s="47">
        <f>IF($Q$6&gt;$Q15,1,0)</f>
        <v>1</v>
      </c>
      <c r="S16">
        <f>$R$6</f>
        <v>1</v>
      </c>
      <c r="T16">
        <f t="shared" si="3"/>
        <v>1</v>
      </c>
      <c r="U16">
        <f t="shared" si="4"/>
        <v>0</v>
      </c>
      <c r="W16">
        <f t="shared" si="5"/>
        <v>0</v>
      </c>
      <c r="X16">
        <f t="shared" si="6"/>
        <v>0</v>
      </c>
    </row>
    <row r="17" spans="5:31" x14ac:dyDescent="0.25">
      <c r="R17" s="47">
        <f>IF($Q$7&gt;$Q15,1,0)</f>
        <v>0</v>
      </c>
      <c r="S17">
        <f>$R$7</f>
        <v>0</v>
      </c>
      <c r="T17">
        <f t="shared" si="3"/>
        <v>0</v>
      </c>
      <c r="U17">
        <f t="shared" si="4"/>
        <v>0</v>
      </c>
      <c r="W17">
        <f t="shared" si="5"/>
        <v>0</v>
      </c>
      <c r="X17">
        <f t="shared" si="6"/>
        <v>1</v>
      </c>
      <c r="AC17" t="s">
        <v>217</v>
      </c>
      <c r="AD17" t="s">
        <v>218</v>
      </c>
      <c r="AE17" t="s">
        <v>219</v>
      </c>
    </row>
    <row r="18" spans="5:31" x14ac:dyDescent="0.25">
      <c r="R18" s="47">
        <f>IF($Q$8&gt;$Q15,1,0)</f>
        <v>0</v>
      </c>
      <c r="S18">
        <f>$R$8</f>
        <v>1</v>
      </c>
      <c r="T18">
        <f t="shared" si="3"/>
        <v>0</v>
      </c>
      <c r="U18">
        <f t="shared" si="4"/>
        <v>1</v>
      </c>
      <c r="W18">
        <f t="shared" si="5"/>
        <v>0</v>
      </c>
      <c r="X18">
        <f t="shared" si="6"/>
        <v>0</v>
      </c>
      <c r="AB18" s="13" t="s">
        <v>222</v>
      </c>
      <c r="AC18">
        <f>ABS(AC12-AC11)</f>
        <v>0</v>
      </c>
      <c r="AD18">
        <f>(AD11+AD12)/2</f>
        <v>0.33333333333333331</v>
      </c>
      <c r="AE18">
        <f>AC18*AD18</f>
        <v>0</v>
      </c>
    </row>
    <row r="19" spans="5:31" x14ac:dyDescent="0.25">
      <c r="Q19" s="47">
        <v>0.4</v>
      </c>
      <c r="R19" s="47">
        <f>IF($Q$5&gt;$Q19,1,0)</f>
        <v>1</v>
      </c>
      <c r="S19">
        <f>$R$5</f>
        <v>1</v>
      </c>
      <c r="T19">
        <f t="shared" si="3"/>
        <v>1</v>
      </c>
      <c r="U19">
        <f t="shared" si="4"/>
        <v>0</v>
      </c>
      <c r="V19">
        <f>SUM(T19:T22)/(SUM(T19:T22)+SUM(U19:U22))</f>
        <v>0.66666666666666663</v>
      </c>
      <c r="W19">
        <f t="shared" si="5"/>
        <v>0</v>
      </c>
      <c r="X19">
        <f t="shared" si="6"/>
        <v>0</v>
      </c>
      <c r="Y19">
        <f>SUM(W19:W22)/(SUM(W19:W22)+SUM(X19:X22))</f>
        <v>1</v>
      </c>
      <c r="Z19">
        <f>SUM(T19:T22)/(SUM(T19:T22)+SUM(W19:W22))</f>
        <v>0.66666666666666663</v>
      </c>
      <c r="AC19">
        <f>ABS(AC13-AC12)</f>
        <v>1</v>
      </c>
      <c r="AD19">
        <f>(AD12+AD13)/2</f>
        <v>0.5</v>
      </c>
      <c r="AE19">
        <f t="shared" ref="AE19:AE21" si="7">AC19*AD19</f>
        <v>0.5</v>
      </c>
    </row>
    <row r="20" spans="5:31" x14ac:dyDescent="0.25">
      <c r="F20" t="s">
        <v>74</v>
      </c>
      <c r="M20" t="s">
        <v>206</v>
      </c>
      <c r="R20" s="47">
        <f>IF($Q$6&gt;$Q19,1,0)</f>
        <v>1</v>
      </c>
      <c r="S20">
        <f>$R$6</f>
        <v>1</v>
      </c>
      <c r="T20">
        <f t="shared" si="3"/>
        <v>1</v>
      </c>
      <c r="U20">
        <f t="shared" si="4"/>
        <v>0</v>
      </c>
      <c r="W20">
        <f t="shared" si="5"/>
        <v>0</v>
      </c>
      <c r="X20">
        <f t="shared" si="6"/>
        <v>0</v>
      </c>
      <c r="AC20">
        <f>ABS(AC14-AC13)</f>
        <v>0</v>
      </c>
      <c r="AD20">
        <f>(AD13+AD14)/2</f>
        <v>0.66666666666666663</v>
      </c>
      <c r="AE20">
        <f t="shared" si="7"/>
        <v>0</v>
      </c>
    </row>
    <row r="21" spans="5:31" ht="15.75" thickBot="1" x14ac:dyDescent="0.3">
      <c r="F21" t="s">
        <v>75</v>
      </c>
      <c r="G21" t="s">
        <v>76</v>
      </c>
      <c r="M21" s="31" t="s">
        <v>204</v>
      </c>
      <c r="N21" s="31"/>
      <c r="R21" s="47">
        <f>IF($Q$7&gt;$Q19,1,0)</f>
        <v>1</v>
      </c>
      <c r="S21">
        <f>$R$7</f>
        <v>0</v>
      </c>
      <c r="T21">
        <f t="shared" si="3"/>
        <v>0</v>
      </c>
      <c r="U21">
        <f t="shared" si="4"/>
        <v>0</v>
      </c>
      <c r="W21">
        <f t="shared" si="5"/>
        <v>1</v>
      </c>
      <c r="X21">
        <f t="shared" si="6"/>
        <v>0</v>
      </c>
      <c r="AC21">
        <f>ABS(AC15-AC14)</f>
        <v>0</v>
      </c>
      <c r="AD21">
        <f>(AD14+AD15)/2</f>
        <v>0.83333333333333326</v>
      </c>
      <c r="AE21">
        <f t="shared" si="7"/>
        <v>0</v>
      </c>
    </row>
    <row r="22" spans="5:31" ht="15.75" thickBot="1" x14ac:dyDescent="0.3">
      <c r="E22" t="s">
        <v>42</v>
      </c>
      <c r="F22">
        <v>3</v>
      </c>
      <c r="K22" s="37" t="s">
        <v>205</v>
      </c>
      <c r="M22" t="s">
        <v>207</v>
      </c>
      <c r="N22" t="s">
        <v>208</v>
      </c>
      <c r="R22" s="47">
        <f>IF($Q$8&gt;$Q19,1,0)</f>
        <v>0</v>
      </c>
      <c r="S22">
        <f>$R$8</f>
        <v>1</v>
      </c>
      <c r="T22">
        <f t="shared" si="3"/>
        <v>0</v>
      </c>
      <c r="U22">
        <f t="shared" si="4"/>
        <v>1</v>
      </c>
      <c r="W22">
        <f t="shared" si="5"/>
        <v>0</v>
      </c>
      <c r="X22">
        <f t="shared" si="6"/>
        <v>0</v>
      </c>
      <c r="AD22" s="48" t="s">
        <v>221</v>
      </c>
      <c r="AE22" s="38">
        <f>SUM(AE18:AE21)</f>
        <v>0.5</v>
      </c>
    </row>
    <row r="23" spans="5:31" ht="15" customHeight="1" x14ac:dyDescent="0.25">
      <c r="E23" t="s">
        <v>43</v>
      </c>
      <c r="F23">
        <v>16</v>
      </c>
      <c r="K23" s="37"/>
      <c r="L23" t="s">
        <v>207</v>
      </c>
      <c r="M23" t="s">
        <v>209</v>
      </c>
      <c r="N23" t="s">
        <v>211</v>
      </c>
      <c r="Q23" s="47">
        <v>0.2</v>
      </c>
      <c r="R23" s="47">
        <f>IF($Q$5&gt;$Q23,1,0)</f>
        <v>1</v>
      </c>
      <c r="S23">
        <f>$R$5</f>
        <v>1</v>
      </c>
      <c r="T23">
        <f t="shared" si="3"/>
        <v>1</v>
      </c>
      <c r="U23">
        <f t="shared" si="4"/>
        <v>0</v>
      </c>
      <c r="V23">
        <f>SUM(T23:T26)/(SUM(T23:T26)+SUM(U23:U26))</f>
        <v>0.66666666666666663</v>
      </c>
      <c r="W23">
        <f t="shared" si="5"/>
        <v>0</v>
      </c>
      <c r="X23">
        <f t="shared" si="6"/>
        <v>0</v>
      </c>
      <c r="Y23">
        <f>SUM(W23:W26)/(SUM(W23:W26)+SUM(X23:X26))</f>
        <v>1</v>
      </c>
      <c r="Z23">
        <f>SUM(T23:T26)/(SUM(T23:T26)+SUM(W23:W26))</f>
        <v>0.66666666666666663</v>
      </c>
    </row>
    <row r="24" spans="5:31" x14ac:dyDescent="0.25">
      <c r="E24" t="s">
        <v>44</v>
      </c>
      <c r="F24">
        <v>7</v>
      </c>
      <c r="K24" s="37"/>
      <c r="L24" t="s">
        <v>208</v>
      </c>
      <c r="M24" t="s">
        <v>212</v>
      </c>
      <c r="N24" t="s">
        <v>210</v>
      </c>
      <c r="R24" s="47">
        <f>IF($Q$6&gt;$Q23,1,0)</f>
        <v>1</v>
      </c>
      <c r="S24">
        <f>$R$6</f>
        <v>1</v>
      </c>
      <c r="T24">
        <f t="shared" si="3"/>
        <v>1</v>
      </c>
      <c r="U24">
        <f t="shared" si="4"/>
        <v>0</v>
      </c>
      <c r="W24">
        <f t="shared" si="5"/>
        <v>0</v>
      </c>
      <c r="X24">
        <f t="shared" si="6"/>
        <v>0</v>
      </c>
      <c r="AC24" t="s">
        <v>217</v>
      </c>
      <c r="AD24" t="s">
        <v>218</v>
      </c>
      <c r="AE24" t="s">
        <v>219</v>
      </c>
    </row>
    <row r="25" spans="5:31" x14ac:dyDescent="0.25">
      <c r="F25" t="s">
        <v>203</v>
      </c>
      <c r="K25" s="37"/>
      <c r="R25" s="47">
        <f>IF($Q$7&gt;$Q23,1,0)</f>
        <v>1</v>
      </c>
      <c r="S25">
        <f>$R$7</f>
        <v>0</v>
      </c>
      <c r="T25">
        <f t="shared" si="3"/>
        <v>0</v>
      </c>
      <c r="U25">
        <f t="shared" si="4"/>
        <v>0</v>
      </c>
      <c r="W25">
        <f t="shared" si="5"/>
        <v>1</v>
      </c>
      <c r="X25">
        <f t="shared" si="6"/>
        <v>0</v>
      </c>
      <c r="AB25" s="13" t="s">
        <v>223</v>
      </c>
      <c r="AC25">
        <f>ABS(AD12-AD11)</f>
        <v>0</v>
      </c>
      <c r="AD25">
        <f>(AE11+AE12)/2</f>
        <v>1</v>
      </c>
      <c r="AE25">
        <f>AC25*AD25</f>
        <v>0</v>
      </c>
    </row>
    <row r="26" spans="5:31" x14ac:dyDescent="0.25">
      <c r="R26" s="47">
        <f>IF($Q$8&gt;$Q23,1,0)</f>
        <v>0</v>
      </c>
      <c r="S26">
        <f>$R$8</f>
        <v>1</v>
      </c>
      <c r="T26">
        <f t="shared" si="3"/>
        <v>0</v>
      </c>
      <c r="U26">
        <f t="shared" si="4"/>
        <v>1</v>
      </c>
      <c r="W26">
        <f t="shared" si="5"/>
        <v>0</v>
      </c>
      <c r="X26">
        <f t="shared" si="6"/>
        <v>0</v>
      </c>
      <c r="AC26">
        <f t="shared" ref="AC26:AC28" si="8">ABS(AD13-AD12)</f>
        <v>0.33333333333333331</v>
      </c>
      <c r="AD26">
        <f t="shared" ref="AD26:AD28" si="9">(AE12+AE13)/2</f>
        <v>0.83333333333333326</v>
      </c>
      <c r="AE26">
        <f t="shared" ref="AE26:AE28" si="10">AC26*AD26</f>
        <v>0.27777777777777773</v>
      </c>
    </row>
    <row r="27" spans="5:31" x14ac:dyDescent="0.25">
      <c r="Q27" s="47">
        <v>0</v>
      </c>
      <c r="R27" s="47">
        <f>IF($Q$5&gt;$Q27,1,0)</f>
        <v>1</v>
      </c>
      <c r="S27">
        <f>$R$5</f>
        <v>1</v>
      </c>
      <c r="T27">
        <f t="shared" si="3"/>
        <v>1</v>
      </c>
      <c r="U27">
        <f t="shared" si="4"/>
        <v>0</v>
      </c>
      <c r="V27">
        <f>SUM(T27:T30)/(SUM(T27:T30)+SUM(U27:U30))</f>
        <v>1</v>
      </c>
      <c r="W27">
        <f t="shared" si="5"/>
        <v>0</v>
      </c>
      <c r="X27">
        <f t="shared" si="6"/>
        <v>0</v>
      </c>
      <c r="Y27">
        <f>SUM(W27:W30)/(SUM(W27:W30)+SUM(X27:X30))</f>
        <v>1</v>
      </c>
      <c r="Z27">
        <f>SUM(T27:T30)/(SUM(T27:T30)+SUM(W27:W30))</f>
        <v>0.75</v>
      </c>
      <c r="AC27">
        <f t="shared" si="8"/>
        <v>0</v>
      </c>
      <c r="AD27">
        <f t="shared" si="9"/>
        <v>0.66666666666666663</v>
      </c>
      <c r="AE27">
        <f t="shared" si="10"/>
        <v>0</v>
      </c>
    </row>
    <row r="28" spans="5:31" ht="15.75" thickBot="1" x14ac:dyDescent="0.3">
      <c r="R28" s="47">
        <f>IF($Q$6&gt;$Q27,1,0)</f>
        <v>1</v>
      </c>
      <c r="S28">
        <f>$R$6</f>
        <v>1</v>
      </c>
      <c r="T28">
        <f t="shared" si="3"/>
        <v>1</v>
      </c>
      <c r="U28">
        <f t="shared" si="4"/>
        <v>0</v>
      </c>
      <c r="W28">
        <f t="shared" si="5"/>
        <v>0</v>
      </c>
      <c r="X28">
        <f t="shared" si="6"/>
        <v>0</v>
      </c>
      <c r="AC28">
        <f t="shared" si="8"/>
        <v>0.33333333333333337</v>
      </c>
      <c r="AD28">
        <f t="shared" si="9"/>
        <v>0.70833333333333326</v>
      </c>
      <c r="AE28">
        <f t="shared" si="10"/>
        <v>0.2361111111111111</v>
      </c>
    </row>
    <row r="29" spans="5:31" ht="15.75" thickBot="1" x14ac:dyDescent="0.3">
      <c r="R29" s="47">
        <f>IF($Q$7&gt;$Q27,1,0)</f>
        <v>1</v>
      </c>
      <c r="S29">
        <f>$R$7</f>
        <v>0</v>
      </c>
      <c r="T29">
        <f t="shared" si="3"/>
        <v>0</v>
      </c>
      <c r="U29">
        <f t="shared" si="4"/>
        <v>0</v>
      </c>
      <c r="W29">
        <f t="shared" si="5"/>
        <v>1</v>
      </c>
      <c r="X29">
        <f t="shared" si="6"/>
        <v>0</v>
      </c>
      <c r="AD29" s="48" t="s">
        <v>224</v>
      </c>
      <c r="AE29" s="38">
        <f>SUM(AE25:AE28)</f>
        <v>0.51388888888888884</v>
      </c>
    </row>
    <row r="30" spans="5:31" x14ac:dyDescent="0.25">
      <c r="R30" s="47">
        <f>IF($Q$8&gt;$Q27,1,0)</f>
        <v>1</v>
      </c>
      <c r="S30">
        <f>$R$8</f>
        <v>1</v>
      </c>
      <c r="T30">
        <f t="shared" si="3"/>
        <v>1</v>
      </c>
      <c r="U30">
        <f t="shared" si="4"/>
        <v>0</v>
      </c>
      <c r="W30">
        <f t="shared" si="5"/>
        <v>0</v>
      </c>
      <c r="X30">
        <f t="shared" si="6"/>
        <v>0</v>
      </c>
      <c r="AB30" t="s">
        <v>220</v>
      </c>
    </row>
    <row r="31" spans="5:31" x14ac:dyDescent="0.25">
      <c r="Q31" s="47"/>
      <c r="R31" s="47"/>
    </row>
    <row r="32" spans="5:31" x14ac:dyDescent="0.25">
      <c r="R32" s="47"/>
    </row>
    <row r="33" spans="17:31" x14ac:dyDescent="0.25">
      <c r="Q33" s="50" t="s">
        <v>43</v>
      </c>
      <c r="R33" s="32"/>
      <c r="T33" s="13"/>
    </row>
    <row r="34" spans="17:31" x14ac:dyDescent="0.25">
      <c r="Q34" s="43" t="s">
        <v>204</v>
      </c>
      <c r="R34" s="32" t="s">
        <v>205</v>
      </c>
      <c r="S34" s="43"/>
      <c r="T34" s="32"/>
    </row>
    <row r="35" spans="17:31" x14ac:dyDescent="0.25">
      <c r="Q35">
        <f>$F$5</f>
        <v>2.2595128545573613E-2</v>
      </c>
      <c r="R35" s="32">
        <f>$M$5</f>
        <v>1</v>
      </c>
    </row>
    <row r="36" spans="17:31" x14ac:dyDescent="0.25">
      <c r="Q36" cm="1">
        <f t="array" ref="Q36:Q38">F8:$F$10</f>
        <v>0.68700000000000006</v>
      </c>
      <c r="R36" s="47" cm="1">
        <f t="array" ref="R36:R38">M8:$M$10</f>
        <v>0</v>
      </c>
    </row>
    <row r="37" spans="17:31" x14ac:dyDescent="0.25">
      <c r="Q37">
        <v>0.748</v>
      </c>
      <c r="R37" s="47">
        <v>1</v>
      </c>
    </row>
    <row r="38" spans="17:31" x14ac:dyDescent="0.25">
      <c r="Q38" s="47">
        <v>0.63100000000000001</v>
      </c>
      <c r="R38" s="47">
        <v>0</v>
      </c>
    </row>
    <row r="39" spans="17:31" x14ac:dyDescent="0.25">
      <c r="Q39" s="47"/>
      <c r="R39" s="47"/>
      <c r="AB39" s="35" t="s">
        <v>43</v>
      </c>
    </row>
    <row r="40" spans="17:31" x14ac:dyDescent="0.25">
      <c r="Q40" t="s">
        <v>213</v>
      </c>
      <c r="R40" s="47" t="s">
        <v>204</v>
      </c>
      <c r="S40" t="s">
        <v>205</v>
      </c>
      <c r="T40" s="43" t="s">
        <v>209</v>
      </c>
      <c r="U40" s="43" t="s">
        <v>211</v>
      </c>
      <c r="V40" s="43" t="s">
        <v>214</v>
      </c>
      <c r="W40" s="43" t="s">
        <v>212</v>
      </c>
      <c r="X40" s="43" t="s">
        <v>210</v>
      </c>
      <c r="Y40" s="43" t="s">
        <v>215</v>
      </c>
      <c r="Z40" s="43" t="s">
        <v>216</v>
      </c>
      <c r="AB40" t="s">
        <v>213</v>
      </c>
      <c r="AC40" t="s">
        <v>215</v>
      </c>
      <c r="AD40" t="s">
        <v>214</v>
      </c>
      <c r="AE40" t="s">
        <v>216</v>
      </c>
    </row>
    <row r="41" spans="17:31" x14ac:dyDescent="0.25">
      <c r="Q41" s="47">
        <v>0.7</v>
      </c>
      <c r="R41" s="47">
        <f>IF($Q$35&gt;$Q41,1,0)</f>
        <v>0</v>
      </c>
      <c r="S41">
        <f>$R$35</f>
        <v>1</v>
      </c>
      <c r="T41">
        <f>IF(AND(R41=1,S41=1),1,0)</f>
        <v>0</v>
      </c>
      <c r="U41">
        <f>IF(AND(R41=0,S41=1),1,0)</f>
        <v>1</v>
      </c>
      <c r="V41">
        <f>SUM(T41:T44)/(SUM(T41:T44)+SUM(U41:U44))</f>
        <v>0.5</v>
      </c>
      <c r="W41">
        <f>IF(AND(R41=1,S41=0),1,0)</f>
        <v>0</v>
      </c>
      <c r="X41">
        <f>IF(AND(R41=0,S41=0),1,0)</f>
        <v>0</v>
      </c>
      <c r="Y41">
        <f>SUM(W41:W44)/(SUM(W41:W44)+SUM(X41:X44))</f>
        <v>0</v>
      </c>
      <c r="Z41">
        <f>SUM(T41:T44)/(SUM(T41:T44)+SUM(W41:W44))</f>
        <v>1</v>
      </c>
      <c r="AB41" cm="1">
        <f t="array" ref="AB41:AB45">_xlfn._xlws.FILTER(Q41:Q60,Q41:Q60&lt;&gt;"")</f>
        <v>0.7</v>
      </c>
      <c r="AC41" cm="1">
        <f t="array" ref="AC41:AC45">_xlfn._xlws.FILTER(Y41:Y60,Y41:Y60&lt;&gt;"")</f>
        <v>0</v>
      </c>
      <c r="AD41" cm="1">
        <f t="array" ref="AD41:AD45">_xlfn._xlws.FILTER(V41:V60,V41:V60&lt;&gt;"")</f>
        <v>0.5</v>
      </c>
      <c r="AE41" cm="1">
        <f t="array" ref="AE41:AE45">_xlfn._xlws.FILTER(Z41:Z60,Z41:Z60&lt;&gt;"")</f>
        <v>1</v>
      </c>
    </row>
    <row r="42" spans="17:31" x14ac:dyDescent="0.25">
      <c r="R42" s="47">
        <f>IF($Q$36&gt;$Q41,1,0)</f>
        <v>0</v>
      </c>
      <c r="S42">
        <f>$R$36</f>
        <v>0</v>
      </c>
      <c r="T42">
        <f t="shared" ref="T42:T60" si="11">IF(AND(R42=1,S42=1),1,0)</f>
        <v>0</v>
      </c>
      <c r="U42">
        <f t="shared" ref="U42:U60" si="12">IF(AND(R42=0,S42=1),1,0)</f>
        <v>0</v>
      </c>
      <c r="W42">
        <f t="shared" ref="W42:W60" si="13">IF(AND(R42=1,S42=0),1,0)</f>
        <v>0</v>
      </c>
      <c r="X42">
        <f t="shared" ref="X42:X60" si="14">IF(AND(R42=0,S42=0),1,0)</f>
        <v>1</v>
      </c>
      <c r="AB42">
        <v>0.6</v>
      </c>
      <c r="AC42">
        <v>1</v>
      </c>
      <c r="AD42">
        <v>0.5</v>
      </c>
      <c r="AE42">
        <v>0.33333333333333331</v>
      </c>
    </row>
    <row r="43" spans="17:31" x14ac:dyDescent="0.25">
      <c r="R43" s="47">
        <f>IF($Q$37&gt;$Q41,1,0)</f>
        <v>1</v>
      </c>
      <c r="S43">
        <f>$R$37</f>
        <v>1</v>
      </c>
      <c r="T43">
        <f t="shared" si="11"/>
        <v>1</v>
      </c>
      <c r="U43">
        <f t="shared" si="12"/>
        <v>0</v>
      </c>
      <c r="W43">
        <f t="shared" si="13"/>
        <v>0</v>
      </c>
      <c r="X43">
        <f t="shared" si="14"/>
        <v>0</v>
      </c>
      <c r="AB43">
        <v>0.4</v>
      </c>
      <c r="AC43">
        <v>1</v>
      </c>
      <c r="AD43">
        <v>0.5</v>
      </c>
      <c r="AE43">
        <v>0.33333333333333331</v>
      </c>
    </row>
    <row r="44" spans="17:31" x14ac:dyDescent="0.25">
      <c r="R44" s="47">
        <f>IF($Q$38&gt;$Q41,1,0)</f>
        <v>0</v>
      </c>
      <c r="S44">
        <f>$R$38</f>
        <v>0</v>
      </c>
      <c r="T44">
        <f t="shared" si="11"/>
        <v>0</v>
      </c>
      <c r="U44">
        <f t="shared" si="12"/>
        <v>0</v>
      </c>
      <c r="W44">
        <f t="shared" si="13"/>
        <v>0</v>
      </c>
      <c r="X44">
        <f t="shared" si="14"/>
        <v>1</v>
      </c>
      <c r="AB44">
        <v>0.2</v>
      </c>
      <c r="AC44">
        <v>1</v>
      </c>
      <c r="AD44">
        <v>0.5</v>
      </c>
      <c r="AE44">
        <v>0.33333333333333331</v>
      </c>
    </row>
    <row r="45" spans="17:31" x14ac:dyDescent="0.25">
      <c r="Q45" s="47">
        <v>0.6</v>
      </c>
      <c r="R45" s="47">
        <f>IF($Q$35&gt;$Q45,1,0)</f>
        <v>0</v>
      </c>
      <c r="S45">
        <f>$R$35</f>
        <v>1</v>
      </c>
      <c r="T45">
        <f t="shared" si="11"/>
        <v>0</v>
      </c>
      <c r="U45">
        <f t="shared" si="12"/>
        <v>1</v>
      </c>
      <c r="V45">
        <f>SUM(T45:T48)/(SUM(T45:T48)+SUM(U45:U48))</f>
        <v>0.5</v>
      </c>
      <c r="W45">
        <f t="shared" si="13"/>
        <v>0</v>
      </c>
      <c r="X45">
        <f t="shared" si="14"/>
        <v>0</v>
      </c>
      <c r="Y45">
        <f>SUM(W45:W48)/(SUM(W45:W48)+SUM(X45:X48))</f>
        <v>1</v>
      </c>
      <c r="Z45">
        <f>SUM(T45:T48)/(SUM(T45:T48)+SUM(W45:W48))</f>
        <v>0.33333333333333331</v>
      </c>
      <c r="AB45">
        <v>0</v>
      </c>
      <c r="AC45">
        <v>1</v>
      </c>
      <c r="AD45">
        <v>1</v>
      </c>
      <c r="AE45">
        <v>0.5</v>
      </c>
    </row>
    <row r="46" spans="17:31" x14ac:dyDescent="0.25">
      <c r="R46" s="47">
        <f>IF($Q$36&gt;$Q45,1,0)</f>
        <v>1</v>
      </c>
      <c r="S46">
        <f>$R$36</f>
        <v>0</v>
      </c>
      <c r="T46">
        <f t="shared" si="11"/>
        <v>0</v>
      </c>
      <c r="U46">
        <f t="shared" si="12"/>
        <v>0</v>
      </c>
      <c r="W46">
        <f t="shared" si="13"/>
        <v>1</v>
      </c>
      <c r="X46">
        <f t="shared" si="14"/>
        <v>0</v>
      </c>
    </row>
    <row r="47" spans="17:31" x14ac:dyDescent="0.25">
      <c r="R47" s="47">
        <f>IF($Q$37&gt;$Q45,1,0)</f>
        <v>1</v>
      </c>
      <c r="S47">
        <f>$R$37</f>
        <v>1</v>
      </c>
      <c r="T47">
        <f t="shared" si="11"/>
        <v>1</v>
      </c>
      <c r="U47">
        <f t="shared" si="12"/>
        <v>0</v>
      </c>
      <c r="W47">
        <f t="shared" si="13"/>
        <v>0</v>
      </c>
      <c r="X47">
        <f t="shared" si="14"/>
        <v>0</v>
      </c>
      <c r="AC47" t="s">
        <v>217</v>
      </c>
      <c r="AD47" t="s">
        <v>218</v>
      </c>
      <c r="AE47" t="s">
        <v>219</v>
      </c>
    </row>
    <row r="48" spans="17:31" x14ac:dyDescent="0.25">
      <c r="R48" s="47">
        <f>IF($Q$38&gt;$Q45,1,0)</f>
        <v>1</v>
      </c>
      <c r="S48">
        <f>$R$38</f>
        <v>0</v>
      </c>
      <c r="T48">
        <f t="shared" si="11"/>
        <v>0</v>
      </c>
      <c r="U48">
        <f t="shared" si="12"/>
        <v>0</v>
      </c>
      <c r="W48">
        <f t="shared" si="13"/>
        <v>1</v>
      </c>
      <c r="X48">
        <f t="shared" si="14"/>
        <v>0</v>
      </c>
      <c r="AB48" s="13" t="s">
        <v>222</v>
      </c>
      <c r="AC48">
        <f>ABS(AC42-AC41)</f>
        <v>1</v>
      </c>
      <c r="AD48">
        <f>(AD41+AD42)/2</f>
        <v>0.5</v>
      </c>
      <c r="AE48">
        <f>AC48*AD48</f>
        <v>0.5</v>
      </c>
    </row>
    <row r="49" spans="17:31" x14ac:dyDescent="0.25">
      <c r="Q49" s="47">
        <v>0.4</v>
      </c>
      <c r="R49" s="47">
        <f>IF($Q$35&gt;$Q49,1,0)</f>
        <v>0</v>
      </c>
      <c r="S49">
        <f>$R$35</f>
        <v>1</v>
      </c>
      <c r="T49">
        <f t="shared" si="11"/>
        <v>0</v>
      </c>
      <c r="U49">
        <f t="shared" si="12"/>
        <v>1</v>
      </c>
      <c r="V49">
        <f>SUM(T49:T52)/(SUM(T49:T52)+SUM(U49:U52))</f>
        <v>0.5</v>
      </c>
      <c r="W49">
        <f t="shared" si="13"/>
        <v>0</v>
      </c>
      <c r="X49">
        <f t="shared" si="14"/>
        <v>0</v>
      </c>
      <c r="Y49">
        <f>SUM(W49:W52)/(SUM(W49:W52)+SUM(X49:X52))</f>
        <v>1</v>
      </c>
      <c r="Z49">
        <f>SUM(T49:T52)/(SUM(T49:T52)+SUM(W49:W52))</f>
        <v>0.33333333333333331</v>
      </c>
      <c r="AC49">
        <f>ABS(AC43-AC42)</f>
        <v>0</v>
      </c>
      <c r="AD49">
        <f>(AD42+AD43)/2</f>
        <v>0.5</v>
      </c>
      <c r="AE49">
        <f t="shared" ref="AE49:AE51" si="15">AC49*AD49</f>
        <v>0</v>
      </c>
    </row>
    <row r="50" spans="17:31" x14ac:dyDescent="0.25">
      <c r="R50" s="47">
        <f>IF($Q$36&gt;$Q49,1,0)</f>
        <v>1</v>
      </c>
      <c r="S50">
        <f>$R$36</f>
        <v>0</v>
      </c>
      <c r="T50">
        <f t="shared" si="11"/>
        <v>0</v>
      </c>
      <c r="U50">
        <f t="shared" si="12"/>
        <v>0</v>
      </c>
      <c r="W50">
        <f t="shared" si="13"/>
        <v>1</v>
      </c>
      <c r="X50">
        <f t="shared" si="14"/>
        <v>0</v>
      </c>
      <c r="AC50">
        <f>ABS(AC44-AC43)</f>
        <v>0</v>
      </c>
      <c r="AD50">
        <f>(AD43+AD44)/2</f>
        <v>0.5</v>
      </c>
      <c r="AE50">
        <f t="shared" si="15"/>
        <v>0</v>
      </c>
    </row>
    <row r="51" spans="17:31" ht="15.75" thickBot="1" x14ac:dyDescent="0.3">
      <c r="R51" s="47">
        <f>IF($Q$37&gt;$Q49,1,0)</f>
        <v>1</v>
      </c>
      <c r="S51">
        <f>$R$37</f>
        <v>1</v>
      </c>
      <c r="T51">
        <f t="shared" si="11"/>
        <v>1</v>
      </c>
      <c r="U51">
        <f t="shared" si="12"/>
        <v>0</v>
      </c>
      <c r="W51">
        <f t="shared" si="13"/>
        <v>0</v>
      </c>
      <c r="X51">
        <f t="shared" si="14"/>
        <v>0</v>
      </c>
      <c r="AC51">
        <f>ABS(AC45-AC44)</f>
        <v>0</v>
      </c>
      <c r="AD51">
        <f>(AD44+AD45)/2</f>
        <v>0.75</v>
      </c>
      <c r="AE51">
        <f t="shared" si="15"/>
        <v>0</v>
      </c>
    </row>
    <row r="52" spans="17:31" ht="15.75" thickBot="1" x14ac:dyDescent="0.3">
      <c r="R52" s="47">
        <f>IF($Q$38&gt;$Q49,1,0)</f>
        <v>1</v>
      </c>
      <c r="S52">
        <f>$R$38</f>
        <v>0</v>
      </c>
      <c r="T52">
        <f t="shared" si="11"/>
        <v>0</v>
      </c>
      <c r="U52">
        <f t="shared" si="12"/>
        <v>0</v>
      </c>
      <c r="W52">
        <f t="shared" si="13"/>
        <v>1</v>
      </c>
      <c r="X52">
        <f t="shared" si="14"/>
        <v>0</v>
      </c>
      <c r="AD52" s="48" t="s">
        <v>221</v>
      </c>
      <c r="AE52" s="38">
        <f>SUM(AE48:AE51)</f>
        <v>0.5</v>
      </c>
    </row>
    <row r="53" spans="17:31" x14ac:dyDescent="0.25">
      <c r="Q53" s="47">
        <v>0.2</v>
      </c>
      <c r="R53" s="47">
        <f>IF($Q$35&gt;$Q53,1,0)</f>
        <v>0</v>
      </c>
      <c r="S53">
        <f>$R$35</f>
        <v>1</v>
      </c>
      <c r="T53">
        <f t="shared" si="11"/>
        <v>0</v>
      </c>
      <c r="U53">
        <f t="shared" si="12"/>
        <v>1</v>
      </c>
      <c r="V53">
        <f>SUM(T53:T56)/(SUM(T53:T56)+SUM(U53:U56))</f>
        <v>0.5</v>
      </c>
      <c r="W53">
        <f t="shared" si="13"/>
        <v>0</v>
      </c>
      <c r="X53">
        <f t="shared" si="14"/>
        <v>0</v>
      </c>
      <c r="Y53">
        <f>SUM(W53:W56)/(SUM(W53:W56)+SUM(X53:X56))</f>
        <v>1</v>
      </c>
      <c r="Z53">
        <f>SUM(T53:T56)/(SUM(T53:T56)+SUM(W53:W56))</f>
        <v>0.33333333333333331</v>
      </c>
    </row>
    <row r="54" spans="17:31" x14ac:dyDescent="0.25">
      <c r="R54" s="47">
        <f>IF($Q$36&gt;$Q53,1,0)</f>
        <v>1</v>
      </c>
      <c r="S54">
        <f>$R$36</f>
        <v>0</v>
      </c>
      <c r="T54">
        <f t="shared" si="11"/>
        <v>0</v>
      </c>
      <c r="U54">
        <f t="shared" si="12"/>
        <v>0</v>
      </c>
      <c r="W54">
        <f t="shared" si="13"/>
        <v>1</v>
      </c>
      <c r="X54">
        <f t="shared" si="14"/>
        <v>0</v>
      </c>
      <c r="AC54" t="s">
        <v>217</v>
      </c>
      <c r="AD54" t="s">
        <v>218</v>
      </c>
      <c r="AE54" t="s">
        <v>219</v>
      </c>
    </row>
    <row r="55" spans="17:31" x14ac:dyDescent="0.25">
      <c r="R55" s="47">
        <f>IF($Q$37&gt;$Q53,1,0)</f>
        <v>1</v>
      </c>
      <c r="S55">
        <f>$R$37</f>
        <v>1</v>
      </c>
      <c r="T55">
        <f t="shared" si="11"/>
        <v>1</v>
      </c>
      <c r="U55">
        <f t="shared" si="12"/>
        <v>0</v>
      </c>
      <c r="W55">
        <f t="shared" si="13"/>
        <v>0</v>
      </c>
      <c r="X55">
        <f t="shared" si="14"/>
        <v>0</v>
      </c>
      <c r="AB55" s="13" t="s">
        <v>223</v>
      </c>
      <c r="AC55">
        <f>ABS(AD42-AD41)</f>
        <v>0</v>
      </c>
      <c r="AD55">
        <f>(AE41+AE42)/2</f>
        <v>0.66666666666666663</v>
      </c>
      <c r="AE55">
        <f>AC55*AD55</f>
        <v>0</v>
      </c>
    </row>
    <row r="56" spans="17:31" x14ac:dyDescent="0.25">
      <c r="R56" s="47">
        <f>IF($Q$38&gt;$Q53,1,0)</f>
        <v>1</v>
      </c>
      <c r="S56">
        <f>$R$38</f>
        <v>0</v>
      </c>
      <c r="T56">
        <f t="shared" si="11"/>
        <v>0</v>
      </c>
      <c r="U56">
        <f t="shared" si="12"/>
        <v>0</v>
      </c>
      <c r="W56">
        <f t="shared" si="13"/>
        <v>1</v>
      </c>
      <c r="X56">
        <f t="shared" si="14"/>
        <v>0</v>
      </c>
      <c r="AC56">
        <f t="shared" ref="AC56:AC58" si="16">ABS(AD43-AD42)</f>
        <v>0</v>
      </c>
      <c r="AD56">
        <f t="shared" ref="AD56:AD58" si="17">(AE42+AE43)/2</f>
        <v>0.33333333333333331</v>
      </c>
      <c r="AE56">
        <f t="shared" ref="AE56:AE58" si="18">AC56*AD56</f>
        <v>0</v>
      </c>
    </row>
    <row r="57" spans="17:31" x14ac:dyDescent="0.25">
      <c r="Q57" s="47">
        <v>0</v>
      </c>
      <c r="R57" s="47">
        <f>IF($Q$35&gt;$Q57,1,0)</f>
        <v>1</v>
      </c>
      <c r="S57">
        <f>$R$35</f>
        <v>1</v>
      </c>
      <c r="T57">
        <f t="shared" si="11"/>
        <v>1</v>
      </c>
      <c r="U57">
        <f t="shared" si="12"/>
        <v>0</v>
      </c>
      <c r="V57">
        <f>SUM(T57:T60)/(SUM(T57:T60)+SUM(U57:U60))</f>
        <v>1</v>
      </c>
      <c r="W57">
        <f t="shared" si="13"/>
        <v>0</v>
      </c>
      <c r="X57">
        <f t="shared" si="14"/>
        <v>0</v>
      </c>
      <c r="Y57">
        <f>SUM(W57:W60)/(SUM(W57:W60)+SUM(X57:X60))</f>
        <v>1</v>
      </c>
      <c r="Z57">
        <f>SUM(T57:T60)/(SUM(T57:T60)+SUM(W57:W60))</f>
        <v>0.5</v>
      </c>
      <c r="AC57">
        <f t="shared" si="16"/>
        <v>0</v>
      </c>
      <c r="AD57">
        <f t="shared" si="17"/>
        <v>0.33333333333333331</v>
      </c>
      <c r="AE57">
        <f t="shared" si="18"/>
        <v>0</v>
      </c>
    </row>
    <row r="58" spans="17:31" ht="15.75" thickBot="1" x14ac:dyDescent="0.3">
      <c r="R58" s="47">
        <f>IF($Q$36&gt;$Q57,1,0)</f>
        <v>1</v>
      </c>
      <c r="S58">
        <f>$R$36</f>
        <v>0</v>
      </c>
      <c r="T58">
        <f t="shared" si="11"/>
        <v>0</v>
      </c>
      <c r="U58">
        <f t="shared" si="12"/>
        <v>0</v>
      </c>
      <c r="W58">
        <f t="shared" si="13"/>
        <v>1</v>
      </c>
      <c r="X58">
        <f t="shared" si="14"/>
        <v>0</v>
      </c>
      <c r="AC58">
        <f t="shared" si="16"/>
        <v>0.5</v>
      </c>
      <c r="AD58">
        <f t="shared" si="17"/>
        <v>0.41666666666666663</v>
      </c>
      <c r="AE58">
        <f t="shared" si="18"/>
        <v>0.20833333333333331</v>
      </c>
    </row>
    <row r="59" spans="17:31" ht="15.75" thickBot="1" x14ac:dyDescent="0.3">
      <c r="R59" s="47">
        <f>IF($Q$37&gt;$Q57,1,0)</f>
        <v>1</v>
      </c>
      <c r="S59">
        <f>$R$37</f>
        <v>1</v>
      </c>
      <c r="T59">
        <f t="shared" si="11"/>
        <v>1</v>
      </c>
      <c r="U59">
        <f t="shared" si="12"/>
        <v>0</v>
      </c>
      <c r="W59">
        <f t="shared" si="13"/>
        <v>0</v>
      </c>
      <c r="X59">
        <f t="shared" si="14"/>
        <v>0</v>
      </c>
      <c r="AD59" s="48" t="s">
        <v>224</v>
      </c>
      <c r="AE59" s="38">
        <f>SUM(AE55:AE58)</f>
        <v>0.20833333333333331</v>
      </c>
    </row>
    <row r="60" spans="17:31" x14ac:dyDescent="0.25">
      <c r="R60" s="47">
        <f>IF($Q$38&gt;$Q57,1,0)</f>
        <v>1</v>
      </c>
      <c r="S60">
        <f>$R$38</f>
        <v>0</v>
      </c>
      <c r="T60">
        <f t="shared" si="11"/>
        <v>0</v>
      </c>
      <c r="U60">
        <f t="shared" si="12"/>
        <v>0</v>
      </c>
      <c r="W60">
        <f t="shared" si="13"/>
        <v>1</v>
      </c>
      <c r="X60">
        <f t="shared" si="14"/>
        <v>0</v>
      </c>
      <c r="AB60" t="s">
        <v>220</v>
      </c>
    </row>
    <row r="63" spans="17:31" x14ac:dyDescent="0.25">
      <c r="Q63" s="50" t="s">
        <v>44</v>
      </c>
      <c r="R63" s="32"/>
      <c r="T63" s="13"/>
    </row>
    <row r="64" spans="17:31" x14ac:dyDescent="0.25">
      <c r="Q64" s="43" t="s">
        <v>204</v>
      </c>
      <c r="R64" s="32" t="s">
        <v>205</v>
      </c>
      <c r="S64" s="43"/>
      <c r="T64" s="32"/>
    </row>
    <row r="65" spans="17:31" x14ac:dyDescent="0.25">
      <c r="Q65">
        <f>$G$5</f>
        <v>0.38792376552476071</v>
      </c>
      <c r="R65" s="32">
        <f>$N$5</f>
        <v>0</v>
      </c>
    </row>
    <row r="66" spans="17:31" x14ac:dyDescent="0.25">
      <c r="Q66" cm="1">
        <f t="array" ref="Q66:Q68">G$8:$G10</f>
        <v>0.997</v>
      </c>
      <c r="R66" s="47" cm="1">
        <f t="array" ref="R66:R68">N$8:$N10</f>
        <v>1</v>
      </c>
    </row>
    <row r="67" spans="17:31" x14ac:dyDescent="0.25">
      <c r="Q67">
        <v>0.23300000000000001</v>
      </c>
      <c r="R67" s="47">
        <v>1</v>
      </c>
    </row>
    <row r="68" spans="17:31" x14ac:dyDescent="0.25">
      <c r="Q68" s="47">
        <v>0.46300000000000002</v>
      </c>
      <c r="R68" s="47">
        <v>0</v>
      </c>
    </row>
    <row r="69" spans="17:31" x14ac:dyDescent="0.25">
      <c r="Q69" s="47"/>
      <c r="R69" s="47"/>
      <c r="AB69" s="50" t="s">
        <v>44</v>
      </c>
    </row>
    <row r="70" spans="17:31" x14ac:dyDescent="0.25">
      <c r="Q70" t="s">
        <v>213</v>
      </c>
      <c r="R70" s="47" t="s">
        <v>204</v>
      </c>
      <c r="S70" t="s">
        <v>205</v>
      </c>
      <c r="T70" s="43" t="s">
        <v>209</v>
      </c>
      <c r="U70" s="43" t="s">
        <v>211</v>
      </c>
      <c r="V70" s="43" t="s">
        <v>214</v>
      </c>
      <c r="W70" s="43" t="s">
        <v>212</v>
      </c>
      <c r="X70" s="43" t="s">
        <v>210</v>
      </c>
      <c r="Y70" s="43" t="s">
        <v>215</v>
      </c>
      <c r="Z70" s="43" t="s">
        <v>216</v>
      </c>
      <c r="AB70" t="s">
        <v>213</v>
      </c>
      <c r="AC70" t="s">
        <v>215</v>
      </c>
      <c r="AD70" t="s">
        <v>214</v>
      </c>
      <c r="AE70" t="s">
        <v>216</v>
      </c>
    </row>
    <row r="71" spans="17:31" x14ac:dyDescent="0.25">
      <c r="Q71" s="47">
        <v>0.9</v>
      </c>
      <c r="R71" s="47">
        <f>IF($Q$65&gt;$Q71,1,0)</f>
        <v>0</v>
      </c>
      <c r="S71">
        <f>$R$65</f>
        <v>0</v>
      </c>
      <c r="T71">
        <f>IF(AND(R71=1,S71=1),1,0)</f>
        <v>0</v>
      </c>
      <c r="U71">
        <f>IF(AND(R71=0,S71=1),1,0)</f>
        <v>0</v>
      </c>
      <c r="V71">
        <f>SUM(T71:T74)/(SUM(T71:T74)+SUM(U71:U74))</f>
        <v>0.5</v>
      </c>
      <c r="W71">
        <f>IF(AND(R71=1,S71=0),1,0)</f>
        <v>0</v>
      </c>
      <c r="X71">
        <f>IF(AND(R71=0,S71=0),1,0)</f>
        <v>1</v>
      </c>
      <c r="Y71">
        <f>SUM(W71:W74)/(SUM(W71:W74)+SUM(X71:X74))</f>
        <v>0</v>
      </c>
      <c r="Z71">
        <f>SUM(T71:T74)/(SUM(T71:T74)+SUM(W71:W74))</f>
        <v>1</v>
      </c>
      <c r="AB71" cm="1">
        <f t="array" ref="AB71:AB75">_xlfn._xlws.FILTER(Q71:Q90,Q71:Q90&lt;&gt;"")</f>
        <v>0.9</v>
      </c>
      <c r="AC71" cm="1">
        <f t="array" ref="AC71:AC75">_xlfn._xlws.FILTER(Y71:Y90,Y71:Y90&lt;&gt;"")</f>
        <v>0</v>
      </c>
      <c r="AD71" cm="1">
        <f t="array" ref="AD71:AD75">_xlfn._xlws.FILTER(V71:V90,V71:V90&lt;&gt;"")</f>
        <v>0.5</v>
      </c>
      <c r="AE71" cm="1">
        <f t="array" ref="AE71:AE75">_xlfn._xlws.FILTER(Z71:Z90,Z71:Z90&lt;&gt;"")</f>
        <v>1</v>
      </c>
    </row>
    <row r="72" spans="17:31" x14ac:dyDescent="0.25">
      <c r="R72" s="47">
        <f>IF($Q$66&gt;$Q71,1,0)</f>
        <v>1</v>
      </c>
      <c r="S72">
        <f>$R$66</f>
        <v>1</v>
      </c>
      <c r="T72">
        <f t="shared" ref="T72:T90" si="19">IF(AND(R72=1,S72=1),1,0)</f>
        <v>1</v>
      </c>
      <c r="U72">
        <f t="shared" ref="U72:U90" si="20">IF(AND(R72=0,S72=1),1,0)</f>
        <v>0</v>
      </c>
      <c r="W72">
        <f t="shared" ref="W72:W90" si="21">IF(AND(R72=1,S72=0),1,0)</f>
        <v>0</v>
      </c>
      <c r="X72">
        <f t="shared" ref="X72:X90" si="22">IF(AND(R72=0,S72=0),1,0)</f>
        <v>0</v>
      </c>
      <c r="AB72">
        <v>0.75</v>
      </c>
      <c r="AC72">
        <v>0</v>
      </c>
      <c r="AD72">
        <v>0.5</v>
      </c>
      <c r="AE72">
        <v>1</v>
      </c>
    </row>
    <row r="73" spans="17:31" x14ac:dyDescent="0.25">
      <c r="R73" s="47">
        <f>IF($Q$67&gt;$Q71,1,0)</f>
        <v>0</v>
      </c>
      <c r="S73">
        <f>$R$67</f>
        <v>1</v>
      </c>
      <c r="T73">
        <f t="shared" si="19"/>
        <v>0</v>
      </c>
      <c r="U73">
        <f t="shared" si="20"/>
        <v>1</v>
      </c>
      <c r="W73">
        <f t="shared" si="21"/>
        <v>0</v>
      </c>
      <c r="X73">
        <f t="shared" si="22"/>
        <v>0</v>
      </c>
      <c r="AB73">
        <v>0.5</v>
      </c>
      <c r="AC73">
        <v>0</v>
      </c>
      <c r="AD73">
        <v>0.5</v>
      </c>
      <c r="AE73">
        <v>1</v>
      </c>
    </row>
    <row r="74" spans="17:31" x14ac:dyDescent="0.25">
      <c r="R74" s="47">
        <f>IF($Q$68&gt;$Q71,1,0)</f>
        <v>0</v>
      </c>
      <c r="S74">
        <f>$R$68</f>
        <v>0</v>
      </c>
      <c r="T74">
        <f t="shared" si="19"/>
        <v>0</v>
      </c>
      <c r="U74">
        <f t="shared" si="20"/>
        <v>0</v>
      </c>
      <c r="W74">
        <f t="shared" si="21"/>
        <v>0</v>
      </c>
      <c r="X74">
        <f t="shared" si="22"/>
        <v>1</v>
      </c>
      <c r="AB74">
        <v>0.25</v>
      </c>
      <c r="AC74">
        <v>1</v>
      </c>
      <c r="AD74">
        <v>0.5</v>
      </c>
      <c r="AE74">
        <v>0.33333333333333331</v>
      </c>
    </row>
    <row r="75" spans="17:31" x14ac:dyDescent="0.25">
      <c r="Q75" s="47">
        <v>0.75</v>
      </c>
      <c r="R75" s="47">
        <f>IF($Q$65&gt;$Q75,1,0)</f>
        <v>0</v>
      </c>
      <c r="S75">
        <f>$R$65</f>
        <v>0</v>
      </c>
      <c r="T75">
        <f t="shared" si="19"/>
        <v>0</v>
      </c>
      <c r="U75">
        <f t="shared" si="20"/>
        <v>0</v>
      </c>
      <c r="V75">
        <f>SUM(T75:T78)/(SUM(T75:T78)+SUM(U75:U78))</f>
        <v>0.5</v>
      </c>
      <c r="W75">
        <f t="shared" si="21"/>
        <v>0</v>
      </c>
      <c r="X75">
        <f t="shared" si="22"/>
        <v>1</v>
      </c>
      <c r="Y75">
        <f>SUM(W75:W78)/(SUM(W75:W78)+SUM(X75:X78))</f>
        <v>0</v>
      </c>
      <c r="Z75">
        <f>SUM(T75:T78)/(SUM(T75:T78)+SUM(W75:W78))</f>
        <v>1</v>
      </c>
      <c r="AB75">
        <v>0</v>
      </c>
      <c r="AC75">
        <v>1</v>
      </c>
      <c r="AD75">
        <v>1</v>
      </c>
      <c r="AE75">
        <v>0.5</v>
      </c>
    </row>
    <row r="76" spans="17:31" x14ac:dyDescent="0.25">
      <c r="R76" s="47">
        <f>IF($Q$66&gt;$Q75,1,0)</f>
        <v>1</v>
      </c>
      <c r="S76">
        <f>$R$66</f>
        <v>1</v>
      </c>
      <c r="T76">
        <f t="shared" si="19"/>
        <v>1</v>
      </c>
      <c r="U76">
        <f t="shared" si="20"/>
        <v>0</v>
      </c>
      <c r="W76">
        <f t="shared" si="21"/>
        <v>0</v>
      </c>
      <c r="X76">
        <f t="shared" si="22"/>
        <v>0</v>
      </c>
    </row>
    <row r="77" spans="17:31" x14ac:dyDescent="0.25">
      <c r="R77" s="47">
        <f>IF($Q$67&gt;$Q75,1,0)</f>
        <v>0</v>
      </c>
      <c r="S77">
        <f>$R$67</f>
        <v>1</v>
      </c>
      <c r="T77">
        <f t="shared" si="19"/>
        <v>0</v>
      </c>
      <c r="U77">
        <f t="shared" si="20"/>
        <v>1</v>
      </c>
      <c r="W77">
        <f t="shared" si="21"/>
        <v>0</v>
      </c>
      <c r="X77">
        <f t="shared" si="22"/>
        <v>0</v>
      </c>
      <c r="AC77" t="s">
        <v>217</v>
      </c>
      <c r="AD77" t="s">
        <v>218</v>
      </c>
      <c r="AE77" t="s">
        <v>219</v>
      </c>
    </row>
    <row r="78" spans="17:31" x14ac:dyDescent="0.25">
      <c r="R78" s="47">
        <f>IF($Q$68&gt;$Q75,1,0)</f>
        <v>0</v>
      </c>
      <c r="S78">
        <f>$R$68</f>
        <v>0</v>
      </c>
      <c r="T78">
        <f t="shared" si="19"/>
        <v>0</v>
      </c>
      <c r="U78">
        <f t="shared" si="20"/>
        <v>0</v>
      </c>
      <c r="W78">
        <f t="shared" si="21"/>
        <v>0</v>
      </c>
      <c r="X78">
        <f t="shared" si="22"/>
        <v>1</v>
      </c>
      <c r="AB78" s="13" t="s">
        <v>222</v>
      </c>
      <c r="AC78">
        <f>ABS(AC72-AC71)</f>
        <v>0</v>
      </c>
      <c r="AD78">
        <f>(AD71+AD72)/2</f>
        <v>0.5</v>
      </c>
      <c r="AE78">
        <f>AC78*AD78</f>
        <v>0</v>
      </c>
    </row>
    <row r="79" spans="17:31" x14ac:dyDescent="0.25">
      <c r="Q79" s="47">
        <v>0.5</v>
      </c>
      <c r="R79" s="47">
        <f>IF($Q$65&gt;$Q79,1,0)</f>
        <v>0</v>
      </c>
      <c r="S79">
        <f>$R$65</f>
        <v>0</v>
      </c>
      <c r="T79">
        <f t="shared" si="19"/>
        <v>0</v>
      </c>
      <c r="U79">
        <f t="shared" si="20"/>
        <v>0</v>
      </c>
      <c r="V79">
        <f>SUM(T79:T82)/(SUM(T79:T82)+SUM(U79:U82))</f>
        <v>0.5</v>
      </c>
      <c r="W79">
        <f t="shared" si="21"/>
        <v>0</v>
      </c>
      <c r="X79">
        <f t="shared" si="22"/>
        <v>1</v>
      </c>
      <c r="Y79">
        <f>SUM(W79:W82)/(SUM(W79:W82)+SUM(X79:X82))</f>
        <v>0</v>
      </c>
      <c r="Z79">
        <f>SUM(T79:T82)/(SUM(T79:T82)+SUM(W79:W82))</f>
        <v>1</v>
      </c>
      <c r="AC79">
        <f>ABS(AC73-AC72)</f>
        <v>0</v>
      </c>
      <c r="AD79">
        <f>(AD72+AD73)/2</f>
        <v>0.5</v>
      </c>
      <c r="AE79">
        <f t="shared" ref="AE79:AE81" si="23">AC79*AD79</f>
        <v>0</v>
      </c>
    </row>
    <row r="80" spans="17:31" x14ac:dyDescent="0.25">
      <c r="R80" s="47">
        <f>IF($Q$66&gt;$Q79,1,0)</f>
        <v>1</v>
      </c>
      <c r="S80">
        <f>$R$66</f>
        <v>1</v>
      </c>
      <c r="T80">
        <f t="shared" si="19"/>
        <v>1</v>
      </c>
      <c r="U80">
        <f t="shared" si="20"/>
        <v>0</v>
      </c>
      <c r="W80">
        <f t="shared" si="21"/>
        <v>0</v>
      </c>
      <c r="X80">
        <f t="shared" si="22"/>
        <v>0</v>
      </c>
      <c r="AC80">
        <f>ABS(AC74-AC73)</f>
        <v>1</v>
      </c>
      <c r="AD80">
        <f>(AD73+AD74)/2</f>
        <v>0.5</v>
      </c>
      <c r="AE80">
        <f t="shared" si="23"/>
        <v>0.5</v>
      </c>
    </row>
    <row r="81" spans="17:31" ht="15.75" thickBot="1" x14ac:dyDescent="0.3">
      <c r="R81" s="47">
        <f>IF($Q$67&gt;$Q79,1,0)</f>
        <v>0</v>
      </c>
      <c r="S81">
        <f>$R$67</f>
        <v>1</v>
      </c>
      <c r="T81">
        <f t="shared" si="19"/>
        <v>0</v>
      </c>
      <c r="U81">
        <f t="shared" si="20"/>
        <v>1</v>
      </c>
      <c r="W81">
        <f t="shared" si="21"/>
        <v>0</v>
      </c>
      <c r="X81">
        <f t="shared" si="22"/>
        <v>0</v>
      </c>
      <c r="AC81">
        <f>ABS(AC75-AC74)</f>
        <v>0</v>
      </c>
      <c r="AD81">
        <f>(AD74+AD75)/2</f>
        <v>0.75</v>
      </c>
      <c r="AE81">
        <f t="shared" si="23"/>
        <v>0</v>
      </c>
    </row>
    <row r="82" spans="17:31" ht="15.75" thickBot="1" x14ac:dyDescent="0.3">
      <c r="R82" s="47">
        <f>IF($Q$68&gt;$Q79,1,0)</f>
        <v>0</v>
      </c>
      <c r="S82">
        <f>$R$68</f>
        <v>0</v>
      </c>
      <c r="T82">
        <f t="shared" si="19"/>
        <v>0</v>
      </c>
      <c r="U82">
        <f t="shared" si="20"/>
        <v>0</v>
      </c>
      <c r="W82">
        <f t="shared" si="21"/>
        <v>0</v>
      </c>
      <c r="X82">
        <f t="shared" si="22"/>
        <v>1</v>
      </c>
      <c r="AD82" s="48" t="s">
        <v>221</v>
      </c>
      <c r="AE82" s="38">
        <f>SUM(AE78:AE81)</f>
        <v>0.5</v>
      </c>
    </row>
    <row r="83" spans="17:31" x14ac:dyDescent="0.25">
      <c r="Q83" s="47">
        <v>0.25</v>
      </c>
      <c r="R83" s="47">
        <f>IF($Q$65&gt;$Q83,1,0)</f>
        <v>1</v>
      </c>
      <c r="S83">
        <f>$R$65</f>
        <v>0</v>
      </c>
      <c r="T83">
        <f t="shared" si="19"/>
        <v>0</v>
      </c>
      <c r="U83">
        <f t="shared" si="20"/>
        <v>0</v>
      </c>
      <c r="V83">
        <f>SUM(T83:T86)/(SUM(T83:T86)+SUM(U83:U86))</f>
        <v>0.5</v>
      </c>
      <c r="W83">
        <f t="shared" si="21"/>
        <v>1</v>
      </c>
      <c r="X83">
        <f t="shared" si="22"/>
        <v>0</v>
      </c>
      <c r="Y83">
        <f>SUM(W83:W86)/(SUM(W83:W86)+SUM(X83:X86))</f>
        <v>1</v>
      </c>
      <c r="Z83">
        <f>SUM(T83:T86)/(SUM(T83:T86)+SUM(W83:W86))</f>
        <v>0.33333333333333331</v>
      </c>
    </row>
    <row r="84" spans="17:31" x14ac:dyDescent="0.25">
      <c r="R84" s="47">
        <f>IF($Q$66&gt;$Q83,1,0)</f>
        <v>1</v>
      </c>
      <c r="S84">
        <f>$R$66</f>
        <v>1</v>
      </c>
      <c r="T84">
        <f t="shared" si="19"/>
        <v>1</v>
      </c>
      <c r="U84">
        <f t="shared" si="20"/>
        <v>0</v>
      </c>
      <c r="W84">
        <f t="shared" si="21"/>
        <v>0</v>
      </c>
      <c r="X84">
        <f t="shared" si="22"/>
        <v>0</v>
      </c>
      <c r="AC84" t="s">
        <v>217</v>
      </c>
      <c r="AD84" t="s">
        <v>218</v>
      </c>
      <c r="AE84" t="s">
        <v>219</v>
      </c>
    </row>
    <row r="85" spans="17:31" x14ac:dyDescent="0.25">
      <c r="R85" s="47">
        <f>IF($Q$67&gt;$Q83,1,0)</f>
        <v>0</v>
      </c>
      <c r="S85">
        <f>$R$67</f>
        <v>1</v>
      </c>
      <c r="T85">
        <f t="shared" si="19"/>
        <v>0</v>
      </c>
      <c r="U85">
        <f t="shared" si="20"/>
        <v>1</v>
      </c>
      <c r="W85">
        <f t="shared" si="21"/>
        <v>0</v>
      </c>
      <c r="X85">
        <f t="shared" si="22"/>
        <v>0</v>
      </c>
      <c r="AB85" s="13" t="s">
        <v>223</v>
      </c>
      <c r="AC85">
        <f>ABS(AD72-AD71)</f>
        <v>0</v>
      </c>
      <c r="AD85">
        <f>(AE71+AE72)/2</f>
        <v>1</v>
      </c>
      <c r="AE85">
        <f>AC85*AD85</f>
        <v>0</v>
      </c>
    </row>
    <row r="86" spans="17:31" x14ac:dyDescent="0.25">
      <c r="R86" s="47">
        <f>IF($Q$68&gt;$Q83,1,0)</f>
        <v>1</v>
      </c>
      <c r="S86">
        <f>$R$68</f>
        <v>0</v>
      </c>
      <c r="T86">
        <f t="shared" si="19"/>
        <v>0</v>
      </c>
      <c r="U86">
        <f t="shared" si="20"/>
        <v>0</v>
      </c>
      <c r="W86">
        <f t="shared" si="21"/>
        <v>1</v>
      </c>
      <c r="X86">
        <f t="shared" si="22"/>
        <v>0</v>
      </c>
      <c r="AC86">
        <f t="shared" ref="AC86:AC88" si="24">ABS(AD73-AD72)</f>
        <v>0</v>
      </c>
      <c r="AD86">
        <f t="shared" ref="AD86:AD88" si="25">(AE72+AE73)/2</f>
        <v>1</v>
      </c>
      <c r="AE86">
        <f t="shared" ref="AE86:AE88" si="26">AC86*AD86</f>
        <v>0</v>
      </c>
    </row>
    <row r="87" spans="17:31" x14ac:dyDescent="0.25">
      <c r="Q87" s="47">
        <v>0</v>
      </c>
      <c r="R87" s="47">
        <f>IF($Q$65&gt;$Q87,1,0)</f>
        <v>1</v>
      </c>
      <c r="S87">
        <f>$R$65</f>
        <v>0</v>
      </c>
      <c r="T87">
        <f t="shared" si="19"/>
        <v>0</v>
      </c>
      <c r="U87">
        <f t="shared" si="20"/>
        <v>0</v>
      </c>
      <c r="V87">
        <f>SUM(T87:T90)/(SUM(T87:T90)+SUM(U87:U90))</f>
        <v>1</v>
      </c>
      <c r="W87">
        <f t="shared" si="21"/>
        <v>1</v>
      </c>
      <c r="X87">
        <f t="shared" si="22"/>
        <v>0</v>
      </c>
      <c r="Y87">
        <f>SUM(W87:W90)/(SUM(W87:W90)+SUM(X87:X90))</f>
        <v>1</v>
      </c>
      <c r="Z87">
        <f>SUM(T87:T90)/(SUM(T87:T90)+SUM(W87:W90))</f>
        <v>0.5</v>
      </c>
      <c r="AC87">
        <f t="shared" si="24"/>
        <v>0</v>
      </c>
      <c r="AD87">
        <f t="shared" si="25"/>
        <v>0.66666666666666663</v>
      </c>
      <c r="AE87">
        <f t="shared" si="26"/>
        <v>0</v>
      </c>
    </row>
    <row r="88" spans="17:31" ht="15.75" thickBot="1" x14ac:dyDescent="0.3">
      <c r="R88" s="47">
        <f>IF($Q$66&gt;$Q87,1,0)</f>
        <v>1</v>
      </c>
      <c r="S88">
        <f>$R$66</f>
        <v>1</v>
      </c>
      <c r="T88">
        <f t="shared" si="19"/>
        <v>1</v>
      </c>
      <c r="U88">
        <f t="shared" si="20"/>
        <v>0</v>
      </c>
      <c r="W88">
        <f t="shared" si="21"/>
        <v>0</v>
      </c>
      <c r="X88">
        <f t="shared" si="22"/>
        <v>0</v>
      </c>
      <c r="AC88">
        <f t="shared" si="24"/>
        <v>0.5</v>
      </c>
      <c r="AD88">
        <f t="shared" si="25"/>
        <v>0.41666666666666663</v>
      </c>
      <c r="AE88">
        <f t="shared" si="26"/>
        <v>0.20833333333333331</v>
      </c>
    </row>
    <row r="89" spans="17:31" ht="15.75" thickBot="1" x14ac:dyDescent="0.3">
      <c r="R89" s="47">
        <f>IF($Q$67&gt;$Q87,1,0)</f>
        <v>1</v>
      </c>
      <c r="S89">
        <f>$R$67</f>
        <v>1</v>
      </c>
      <c r="T89">
        <f t="shared" si="19"/>
        <v>1</v>
      </c>
      <c r="U89">
        <f t="shared" si="20"/>
        <v>0</v>
      </c>
      <c r="W89">
        <f t="shared" si="21"/>
        <v>0</v>
      </c>
      <c r="X89">
        <f t="shared" si="22"/>
        <v>0</v>
      </c>
      <c r="AD89" s="48" t="s">
        <v>224</v>
      </c>
      <c r="AE89" s="38">
        <f>SUM(AE85:AE88)</f>
        <v>0.20833333333333331</v>
      </c>
    </row>
    <row r="90" spans="17:31" x14ac:dyDescent="0.25">
      <c r="R90" s="47">
        <f>IF($Q$68&gt;$Q87,1,0)</f>
        <v>1</v>
      </c>
      <c r="S90">
        <f>$R$68</f>
        <v>0</v>
      </c>
      <c r="T90">
        <f t="shared" si="19"/>
        <v>0</v>
      </c>
      <c r="U90">
        <f t="shared" si="20"/>
        <v>0</v>
      </c>
      <c r="W90">
        <f t="shared" si="21"/>
        <v>1</v>
      </c>
      <c r="X90">
        <f t="shared" si="22"/>
        <v>0</v>
      </c>
      <c r="AB90" t="s">
        <v>220</v>
      </c>
    </row>
    <row r="92" spans="17:31" ht="15.75" thickBot="1" x14ac:dyDescent="0.3"/>
    <row r="93" spans="17:31" x14ac:dyDescent="0.25">
      <c r="AB93" s="4" t="s">
        <v>225</v>
      </c>
      <c r="AC93" s="6"/>
    </row>
    <row r="94" spans="17:31" x14ac:dyDescent="0.25">
      <c r="AB94" s="7" t="s">
        <v>224</v>
      </c>
      <c r="AC94" s="8">
        <f>AVERAGE(AE29,AE59,AE89)</f>
        <v>0.31018518518518512</v>
      </c>
    </row>
    <row r="95" spans="17:31" ht="15.75" thickBot="1" x14ac:dyDescent="0.3">
      <c r="AB95" s="9" t="s">
        <v>221</v>
      </c>
      <c r="AC95" s="11">
        <f>AVERAGE(AE22,AE52,AE82)</f>
        <v>0.5</v>
      </c>
    </row>
  </sheetData>
  <mergeCells count="6">
    <mergeCell ref="B11:B13"/>
    <mergeCell ref="B14:B16"/>
    <mergeCell ref="K22:K25"/>
    <mergeCell ref="M21:N21"/>
    <mergeCell ref="T2:Z3"/>
    <mergeCell ref="B8:B10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7AFDBE-D2B7-413E-A3D5-D851765F9C1A}">
  <dimension ref="B2:E14"/>
  <sheetViews>
    <sheetView zoomScale="115" zoomScaleNormal="115" workbookViewId="0">
      <selection activeCell="I13" sqref="I13"/>
    </sheetView>
  </sheetViews>
  <sheetFormatPr defaultRowHeight="15" x14ac:dyDescent="0.25"/>
  <sheetData>
    <row r="2" spans="2:5" ht="21" x14ac:dyDescent="0.35">
      <c r="B2" s="33" t="s">
        <v>186</v>
      </c>
      <c r="C2" s="33"/>
      <c r="D2" s="33"/>
    </row>
    <row r="3" spans="2:5" ht="21" x14ac:dyDescent="0.35">
      <c r="C3" s="33" t="s">
        <v>40</v>
      </c>
      <c r="D3" s="33"/>
      <c r="E3" s="33"/>
    </row>
    <row r="4" spans="2:5" ht="21" x14ac:dyDescent="0.35">
      <c r="C4" s="33" t="s">
        <v>187</v>
      </c>
      <c r="D4" s="33"/>
      <c r="E4" s="34" t="s">
        <v>200</v>
      </c>
    </row>
    <row r="5" spans="2:5" ht="21" x14ac:dyDescent="0.35">
      <c r="C5" s="33" t="s">
        <v>188</v>
      </c>
      <c r="D5" s="33"/>
      <c r="E5" s="34" t="s">
        <v>201</v>
      </c>
    </row>
    <row r="6" spans="2:5" ht="21" x14ac:dyDescent="0.35">
      <c r="C6" s="33" t="s">
        <v>189</v>
      </c>
      <c r="D6" s="33"/>
      <c r="E6" s="34" t="s">
        <v>201</v>
      </c>
    </row>
    <row r="7" spans="2:5" ht="21" x14ac:dyDescent="0.35">
      <c r="C7" s="33" t="s">
        <v>190</v>
      </c>
      <c r="D7" s="33"/>
      <c r="E7" s="34" t="s">
        <v>201</v>
      </c>
    </row>
    <row r="8" spans="2:5" ht="21" x14ac:dyDescent="0.35">
      <c r="C8" s="33" t="s">
        <v>198</v>
      </c>
      <c r="D8" s="33"/>
      <c r="E8" s="34" t="s">
        <v>199</v>
      </c>
    </row>
    <row r="9" spans="2:5" ht="21" x14ac:dyDescent="0.35">
      <c r="C9" s="33"/>
      <c r="D9" s="33"/>
      <c r="E9" s="33"/>
    </row>
    <row r="10" spans="2:5" ht="21" x14ac:dyDescent="0.35">
      <c r="C10" s="33"/>
      <c r="D10" s="33"/>
      <c r="E10" s="33"/>
    </row>
    <row r="11" spans="2:5" ht="21" x14ac:dyDescent="0.35">
      <c r="B11" s="33" t="s">
        <v>191</v>
      </c>
      <c r="D11" s="33"/>
      <c r="E11" s="33"/>
    </row>
    <row r="12" spans="2:5" ht="21" x14ac:dyDescent="0.35">
      <c r="C12" s="33" t="s">
        <v>192</v>
      </c>
      <c r="D12" s="33"/>
      <c r="E12" s="33"/>
    </row>
    <row r="13" spans="2:5" ht="21" x14ac:dyDescent="0.35">
      <c r="C13" s="33" t="s">
        <v>94</v>
      </c>
      <c r="D13" s="33"/>
      <c r="E13" s="33"/>
    </row>
    <row r="14" spans="2:5" ht="21" x14ac:dyDescent="0.35">
      <c r="C14" s="33" t="s">
        <v>193</v>
      </c>
      <c r="D14" s="33"/>
      <c r="E14" s="33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2746B-7BB6-4A66-B9F2-FBCB99C23FF4}">
  <dimension ref="C2:D9"/>
  <sheetViews>
    <sheetView zoomScale="145" zoomScaleNormal="145" workbookViewId="0">
      <selection activeCell="C9" sqref="C7:D9"/>
    </sheetView>
  </sheetViews>
  <sheetFormatPr defaultRowHeight="15" x14ac:dyDescent="0.25"/>
  <cols>
    <col min="2" max="4" width="3.5703125" customWidth="1"/>
    <col min="5" max="5" width="3.42578125" customWidth="1"/>
    <col min="6" max="14" width="3.5703125" customWidth="1"/>
  </cols>
  <sheetData>
    <row r="2" spans="3:4" x14ac:dyDescent="0.25">
      <c r="C2" s="16"/>
      <c r="D2" s="16"/>
    </row>
    <row r="3" spans="3:4" x14ac:dyDescent="0.25">
      <c r="C3" s="17"/>
      <c r="D3" s="17"/>
    </row>
    <row r="4" spans="3:4" x14ac:dyDescent="0.25">
      <c r="C4" s="17"/>
      <c r="D4" s="17"/>
    </row>
    <row r="5" spans="3:4" x14ac:dyDescent="0.25">
      <c r="C5" s="17"/>
      <c r="D5" s="17"/>
    </row>
    <row r="6" spans="3:4" x14ac:dyDescent="0.25">
      <c r="C6" s="17"/>
      <c r="D6" s="17"/>
    </row>
    <row r="7" spans="3:4" x14ac:dyDescent="0.25">
      <c r="C7" s="17"/>
      <c r="D7" s="17"/>
    </row>
    <row r="8" spans="3:4" x14ac:dyDescent="0.25">
      <c r="C8" s="17"/>
      <c r="D8" s="17"/>
    </row>
    <row r="9" spans="3:4" x14ac:dyDescent="0.25">
      <c r="C9" s="16"/>
      <c r="D9" s="16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033527-37AD-4DB1-BD2E-4C935B310A9F}">
  <dimension ref="B2:Z54"/>
  <sheetViews>
    <sheetView zoomScale="130" zoomScaleNormal="130" workbookViewId="0">
      <selection activeCell="J17" sqref="J17"/>
    </sheetView>
  </sheetViews>
  <sheetFormatPr defaultRowHeight="15" x14ac:dyDescent="0.25"/>
  <cols>
    <col min="1" max="1" width="1.42578125" customWidth="1"/>
    <col min="2" max="2" width="4.5703125" customWidth="1"/>
    <col min="3" max="6" width="12" customWidth="1"/>
    <col min="7" max="7" width="1.42578125" customWidth="1"/>
    <col min="8" max="13" width="12" customWidth="1"/>
    <col min="14" max="14" width="1.42578125" customWidth="1"/>
    <col min="15" max="26" width="5.7109375" customWidth="1"/>
  </cols>
  <sheetData>
    <row r="2" spans="2:26" x14ac:dyDescent="0.25">
      <c r="C2" t="s">
        <v>15</v>
      </c>
      <c r="H2" t="s">
        <v>14</v>
      </c>
      <c r="O2" s="31" t="s">
        <v>0</v>
      </c>
      <c r="P2" s="31"/>
      <c r="Q2" s="31" t="s">
        <v>1</v>
      </c>
      <c r="R2" s="31"/>
      <c r="S2" s="31" t="s">
        <v>2</v>
      </c>
      <c r="T2" s="31"/>
      <c r="U2" s="31" t="s">
        <v>3</v>
      </c>
      <c r="V2" s="31"/>
      <c r="W2" s="31" t="s">
        <v>4</v>
      </c>
      <c r="X2" s="31"/>
      <c r="Y2" s="31" t="s">
        <v>5</v>
      </c>
      <c r="Z2" s="31"/>
    </row>
    <row r="3" spans="2:26" x14ac:dyDescent="0.25">
      <c r="B3" t="s">
        <v>7</v>
      </c>
      <c r="C3" s="1">
        <v>0.366586962811078</v>
      </c>
      <c r="D3" s="1">
        <v>0.80304603850244616</v>
      </c>
      <c r="H3" cm="1">
        <f t="array" ref="H3:M4">TRANSPOSE(C3:D8)</f>
        <v>0.366586962811078</v>
      </c>
      <c r="I3">
        <v>5.6083031283100215E-2</v>
      </c>
      <c r="J3">
        <v>0.51948390312079595</v>
      </c>
      <c r="K3">
        <v>0.52495868577855997</v>
      </c>
      <c r="L3">
        <v>0.82312108528876915</v>
      </c>
      <c r="M3">
        <v>6.0204999742272558E-2</v>
      </c>
      <c r="O3" s="1">
        <v>0.9193892510480719</v>
      </c>
      <c r="P3" s="1">
        <v>0.35748573371324766</v>
      </c>
      <c r="Q3" s="1">
        <v>0.56229584590520698</v>
      </c>
      <c r="R3" s="1">
        <v>0.71917672159872481</v>
      </c>
      <c r="S3" s="1">
        <v>0.67047030139337271</v>
      </c>
      <c r="T3" s="1">
        <v>0.51061699565780228</v>
      </c>
      <c r="U3" s="1">
        <v>0.1369282817771893</v>
      </c>
      <c r="V3" s="1">
        <v>0.95281412552356037</v>
      </c>
      <c r="W3" s="1">
        <v>0.95806754633264402</v>
      </c>
      <c r="X3" s="1">
        <v>0.9444773670198392</v>
      </c>
      <c r="Y3" s="1">
        <v>0.93497474057032748</v>
      </c>
      <c r="Z3" s="1">
        <v>0.51061699565780228</v>
      </c>
    </row>
    <row r="4" spans="2:26" x14ac:dyDescent="0.25">
      <c r="B4" t="s">
        <v>8</v>
      </c>
      <c r="C4" s="1">
        <v>5.6083031283100215E-2</v>
      </c>
      <c r="D4" s="1">
        <v>9.8064151279440459E-2</v>
      </c>
      <c r="H4">
        <v>0.80304603850244616</v>
      </c>
      <c r="I4">
        <v>9.8064151279440459E-2</v>
      </c>
      <c r="J4">
        <v>0.50222489468694942</v>
      </c>
      <c r="K4">
        <v>0.62184138330161254</v>
      </c>
      <c r="L4">
        <v>0.68277585756872528</v>
      </c>
      <c r="M4">
        <v>0.62560616185457552</v>
      </c>
      <c r="O4" s="1">
        <v>0.11995844971184622</v>
      </c>
      <c r="P4" s="1">
        <v>0.92864036856060472</v>
      </c>
      <c r="Q4" s="1">
        <v>0.45116650357532539</v>
      </c>
      <c r="R4" s="1">
        <v>0.39489552225739799</v>
      </c>
      <c r="S4" s="1">
        <v>0.3895510568948094</v>
      </c>
      <c r="T4" s="1">
        <v>0.30089049095355536</v>
      </c>
      <c r="U4" s="1">
        <v>0.82196785755225854</v>
      </c>
      <c r="V4" s="1">
        <v>0.75416976908126088</v>
      </c>
      <c r="W4" s="1">
        <v>0.4731629249757161</v>
      </c>
      <c r="X4" s="1">
        <v>0.6984653276826972</v>
      </c>
      <c r="Y4" s="1">
        <v>0.69447529933220309</v>
      </c>
      <c r="Z4" s="1">
        <v>0.30089049095355536</v>
      </c>
    </row>
    <row r="5" spans="2:26" x14ac:dyDescent="0.25">
      <c r="B5" t="s">
        <v>9</v>
      </c>
      <c r="C5" s="1">
        <v>0.51948390312079595</v>
      </c>
      <c r="D5" s="1">
        <v>0.50222489468694942</v>
      </c>
      <c r="H5" t="str" cm="1">
        <f t="array" ref="H5:M5">TRANSPOSE(B3:B8)</f>
        <v>X_1</v>
      </c>
      <c r="I5" t="str">
        <v>X_2</v>
      </c>
      <c r="J5" t="str">
        <v>X_3</v>
      </c>
      <c r="K5" t="str">
        <v>X_4</v>
      </c>
      <c r="L5" t="str">
        <v>X_5</v>
      </c>
      <c r="M5" t="str">
        <v>X_6</v>
      </c>
    </row>
    <row r="6" spans="2:26" x14ac:dyDescent="0.25">
      <c r="B6" t="s">
        <v>10</v>
      </c>
      <c r="C6" s="1">
        <v>0.52495868577855997</v>
      </c>
      <c r="D6" s="1">
        <v>0.62184138330161254</v>
      </c>
      <c r="O6" s="31" t="s">
        <v>36</v>
      </c>
      <c r="P6" s="31"/>
      <c r="S6" s="31" t="s">
        <v>6</v>
      </c>
      <c r="T6" s="31"/>
    </row>
    <row r="7" spans="2:26" x14ac:dyDescent="0.25">
      <c r="B7" t="s">
        <v>11</v>
      </c>
      <c r="C7" s="1">
        <v>0.82312108528876915</v>
      </c>
      <c r="D7" s="1">
        <v>0.68277585756872528</v>
      </c>
      <c r="O7" s="1">
        <v>0.86561985032089839</v>
      </c>
      <c r="P7" s="1">
        <v>0.32985384728514733</v>
      </c>
      <c r="R7" t="s">
        <v>34</v>
      </c>
      <c r="S7" cm="1">
        <f t="array" ref="S7:T8">TRANSPOSE(O7:P8)</f>
        <v>0.86561985032089839</v>
      </c>
      <c r="T7" s="1">
        <v>0.60288218050147402</v>
      </c>
    </row>
    <row r="8" spans="2:26" x14ac:dyDescent="0.25">
      <c r="B8" t="s">
        <v>12</v>
      </c>
      <c r="C8" s="1">
        <v>6.0204999742272558E-2</v>
      </c>
      <c r="D8" s="1">
        <v>0.62560616185457552</v>
      </c>
      <c r="O8" s="1">
        <v>0.60288218050147402</v>
      </c>
      <c r="P8" s="1">
        <v>3.353831251399042E-2</v>
      </c>
      <c r="R8" t="s">
        <v>35</v>
      </c>
      <c r="S8" s="1">
        <v>0.32985384728514733</v>
      </c>
      <c r="T8">
        <v>3.353831251399042E-2</v>
      </c>
    </row>
    <row r="9" spans="2:26" x14ac:dyDescent="0.25">
      <c r="O9" t="s">
        <v>31</v>
      </c>
      <c r="P9" t="s">
        <v>32</v>
      </c>
    </row>
    <row r="10" spans="2:26" x14ac:dyDescent="0.25">
      <c r="C10" t="s">
        <v>38</v>
      </c>
      <c r="H10" t="s">
        <v>39</v>
      </c>
    </row>
    <row r="11" spans="2:26" x14ac:dyDescent="0.25">
      <c r="C11" t="s">
        <v>13</v>
      </c>
      <c r="D11" t="s">
        <v>30</v>
      </c>
    </row>
    <row r="12" spans="2:26" x14ac:dyDescent="0.25">
      <c r="C12" t="s">
        <v>16</v>
      </c>
      <c r="D12" t="s">
        <v>17</v>
      </c>
      <c r="E12" t="s">
        <v>18</v>
      </c>
    </row>
    <row r="13" spans="2:26" x14ac:dyDescent="0.25">
      <c r="C13" cm="1">
        <f t="array" ref="C13:C14">MMULT(O$3:P$4,H$3:H$4)</f>
        <v>0.62411361546242827</v>
      </c>
      <c r="D13" cm="1">
        <f t="array" ref="D13:D14">MMULT($U$3:$V$4,$O$7:$O$8)</f>
        <v>0.69296249638491769</v>
      </c>
      <c r="E13">
        <f>SUM(C13:D13)</f>
        <v>1.317076111847346</v>
      </c>
    </row>
    <row r="14" spans="2:26" x14ac:dyDescent="0.25">
      <c r="C14">
        <v>0.7897161729094363</v>
      </c>
      <c r="D14">
        <v>1.1661872086749792</v>
      </c>
      <c r="E14">
        <f>SUM(C14:D14)</f>
        <v>1.9559033815844153</v>
      </c>
    </row>
    <row r="16" spans="2:26" x14ac:dyDescent="0.25">
      <c r="C16" t="s">
        <v>19</v>
      </c>
    </row>
    <row r="17" spans="3:6" x14ac:dyDescent="0.25">
      <c r="C17" t="s">
        <v>20</v>
      </c>
      <c r="D17" t="s">
        <v>21</v>
      </c>
      <c r="E17" t="s">
        <v>18</v>
      </c>
    </row>
    <row r="18" spans="3:6" x14ac:dyDescent="0.25">
      <c r="C18" cm="1">
        <f t="array" ref="C18:C19">MMULT($Q$3:$R$4,$H$3:$H$4)</f>
        <v>0.78366234361470832</v>
      </c>
      <c r="D18" cm="1">
        <f t="array" ref="D18:D19">MMULT($W$3:$X$4,$O$7:$O$8)</f>
        <v>1.3987308605169853</v>
      </c>
      <c r="E18">
        <f>SUM(C18:D18)</f>
        <v>2.1823932041316936</v>
      </c>
    </row>
    <row r="19" spans="3:6" x14ac:dyDescent="0.25">
      <c r="C19">
        <v>0.48251104303892989</v>
      </c>
      <c r="D19">
        <v>0.8306715200528989</v>
      </c>
      <c r="E19">
        <f>SUM(C19:D19)</f>
        <v>1.3131825630918288</v>
      </c>
    </row>
    <row r="21" spans="3:6" x14ac:dyDescent="0.25">
      <c r="C21" t="s">
        <v>22</v>
      </c>
    </row>
    <row r="22" spans="3:6" x14ac:dyDescent="0.25">
      <c r="C22" t="s">
        <v>23</v>
      </c>
      <c r="D22" t="s">
        <v>28</v>
      </c>
      <c r="E22" t="s">
        <v>37</v>
      </c>
      <c r="F22" t="s">
        <v>18</v>
      </c>
    </row>
    <row r="23" spans="3:6" x14ac:dyDescent="0.25">
      <c r="C23" cm="1">
        <f t="array" ref="C23:C24">MMULT($S$3:$T$4,$H$3:$H$4)</f>
        <v>0.65583462699784345</v>
      </c>
      <c r="D23">
        <f>$E13*$O$7</f>
        <v>1.1400872267985305</v>
      </c>
      <c r="E23" cm="1">
        <f t="array" ref="E23:E24">MMULT($Y$3:$Z$4,$D$23:$D$24)</f>
        <v>1.6680617483339262</v>
      </c>
      <c r="F23">
        <f>SUM(C23,E23)</f>
        <v>2.3238963753317696</v>
      </c>
    </row>
    <row r="24" spans="3:6" x14ac:dyDescent="0.25">
      <c r="C24">
        <v>0.38443325559022234</v>
      </c>
      <c r="D24">
        <f>$E14*$O$8</f>
        <v>1.1791792955398188</v>
      </c>
      <c r="E24">
        <v>1.1465662552529743</v>
      </c>
      <c r="F24">
        <f>SUM(C24,E24)</f>
        <v>1.5309995108431966</v>
      </c>
    </row>
    <row r="25" spans="3:6" x14ac:dyDescent="0.25">
      <c r="D25" t="s">
        <v>24</v>
      </c>
    </row>
    <row r="27" spans="3:6" x14ac:dyDescent="0.25">
      <c r="C27" t="s">
        <v>25</v>
      </c>
    </row>
    <row r="28" spans="3:6" x14ac:dyDescent="0.25">
      <c r="C28" t="s">
        <v>26</v>
      </c>
      <c r="D28" t="s">
        <v>27</v>
      </c>
      <c r="E28" t="s">
        <v>29</v>
      </c>
      <c r="F28" t="s">
        <v>18</v>
      </c>
    </row>
    <row r="29" spans="3:6" x14ac:dyDescent="0.25">
      <c r="C29" cm="1">
        <f t="array" ref="C29:C30">1-$E18:$E19</f>
        <v>-1.1823932041316936</v>
      </c>
      <c r="D29">
        <f>$C29*$F23</f>
        <v>-2.7477592812985598</v>
      </c>
      <c r="E29">
        <f>$E18*$O7</f>
        <v>1.8891228787018224</v>
      </c>
      <c r="F29">
        <f>SUM(D29:E29)</f>
        <v>-0.85863640259673746</v>
      </c>
    </row>
    <row r="30" spans="3:6" x14ac:dyDescent="0.25">
      <c r="C30">
        <v>-0.31318256309182879</v>
      </c>
      <c r="D30">
        <f>$C30*$F24</f>
        <v>-0.47948235089820845</v>
      </c>
      <c r="E30">
        <f>$E19*$O8</f>
        <v>0.79169436703331619</v>
      </c>
      <c r="F30">
        <f>SUM(D30:E30)</f>
        <v>0.31221201613510774</v>
      </c>
    </row>
    <row r="31" spans="3:6" x14ac:dyDescent="0.25">
      <c r="D31" t="s">
        <v>24</v>
      </c>
      <c r="E31" t="s">
        <v>24</v>
      </c>
      <c r="F31" t="s">
        <v>31</v>
      </c>
    </row>
    <row r="34" spans="3:6" x14ac:dyDescent="0.25">
      <c r="C34" t="s">
        <v>13</v>
      </c>
      <c r="D34" t="s">
        <v>33</v>
      </c>
    </row>
    <row r="35" spans="3:6" x14ac:dyDescent="0.25">
      <c r="C35" t="s">
        <v>16</v>
      </c>
      <c r="D35" t="s">
        <v>17</v>
      </c>
      <c r="E35" t="s">
        <v>18</v>
      </c>
    </row>
    <row r="36" spans="3:6" x14ac:dyDescent="0.25">
      <c r="C36" cm="1">
        <f t="array" ref="C36:C37">MMULT(O$3:P$4,H$3:H$4)</f>
        <v>0.62411361546242827</v>
      </c>
      <c r="D36" cm="1">
        <f t="array" ref="D36:D37">MMULT($U$3:$V$4,$P$7:$P$8)</f>
        <v>7.7122098455904287E-2</v>
      </c>
      <c r="E36">
        <f>SUM(C36:D36)</f>
        <v>0.7012357139183325</v>
      </c>
    </row>
    <row r="37" spans="3:6" x14ac:dyDescent="0.25">
      <c r="C37">
        <v>0.7897161729094363</v>
      </c>
      <c r="D37">
        <v>0.29642284156239374</v>
      </c>
      <c r="E37">
        <f>SUM(C37:D37)</f>
        <v>1.0861390144718301</v>
      </c>
    </row>
    <row r="39" spans="3:6" x14ac:dyDescent="0.25">
      <c r="C39" t="s">
        <v>19</v>
      </c>
    </row>
    <row r="40" spans="3:6" x14ac:dyDescent="0.25">
      <c r="C40" t="s">
        <v>20</v>
      </c>
      <c r="D40" t="s">
        <v>21</v>
      </c>
      <c r="E40" t="s">
        <v>18</v>
      </c>
    </row>
    <row r="41" spans="3:6" x14ac:dyDescent="0.25">
      <c r="C41" cm="1">
        <f t="array" ref="C41:C42">MMULT($Q$3:$R$4,$H$3:$H$4)</f>
        <v>0.78366234361470832</v>
      </c>
      <c r="D41" cm="1">
        <f t="array" ref="D41:D42">MMULT($W$3:$X$4,$P$7:$P$8)</f>
        <v>0.34769844321436599</v>
      </c>
      <c r="E41">
        <f>SUM(C41:D41)</f>
        <v>1.1313607868290743</v>
      </c>
    </row>
    <row r="42" spans="3:6" x14ac:dyDescent="0.25">
      <c r="C42">
        <v>0.48251104303892989</v>
      </c>
      <c r="D42">
        <v>0.17949995963594251</v>
      </c>
      <c r="E42">
        <f>SUM(C42:D42)</f>
        <v>0.66201100267487245</v>
      </c>
    </row>
    <row r="44" spans="3:6" x14ac:dyDescent="0.25">
      <c r="C44" t="s">
        <v>22</v>
      </c>
    </row>
    <row r="45" spans="3:6" x14ac:dyDescent="0.25">
      <c r="C45" t="s">
        <v>23</v>
      </c>
      <c r="D45" t="s">
        <v>28</v>
      </c>
      <c r="E45" t="s">
        <v>37</v>
      </c>
      <c r="F45" t="s">
        <v>18</v>
      </c>
    </row>
    <row r="46" spans="3:6" x14ac:dyDescent="0.25">
      <c r="C46" cm="1">
        <f t="array" ref="C46:C47">MMULT($S$3:$T$4,$H$3:$H$4)</f>
        <v>0.65583462699784345</v>
      </c>
      <c r="D46">
        <f>$E36*$P$7</f>
        <v>0.2313052980897089</v>
      </c>
      <c r="E46" cm="1">
        <f t="array" ref="E46:E47">MMULT($Y$3:$Z$4,$D$46:$D$47)</f>
        <v>0.23486499408870581</v>
      </c>
      <c r="F46">
        <f>SUM(C46,E46)</f>
        <v>0.89069962108654921</v>
      </c>
    </row>
    <row r="47" spans="3:6" x14ac:dyDescent="0.25">
      <c r="C47">
        <v>0.38443325559022234</v>
      </c>
      <c r="D47">
        <f>$E37*$P$8</f>
        <v>3.6427269700993803E-2</v>
      </c>
      <c r="E47">
        <v>0.17159643519240467</v>
      </c>
      <c r="F47">
        <f>SUM(C47,E47)</f>
        <v>0.55602969078262698</v>
      </c>
    </row>
    <row r="48" spans="3:6" x14ac:dyDescent="0.25">
      <c r="D48" t="s">
        <v>24</v>
      </c>
    </row>
    <row r="50" spans="3:6" x14ac:dyDescent="0.25">
      <c r="C50" t="s">
        <v>25</v>
      </c>
    </row>
    <row r="51" spans="3:6" x14ac:dyDescent="0.25">
      <c r="C51" t="s">
        <v>26</v>
      </c>
      <c r="D51" t="s">
        <v>27</v>
      </c>
      <c r="E51" t="s">
        <v>29</v>
      </c>
      <c r="F51" t="s">
        <v>18</v>
      </c>
    </row>
    <row r="52" spans="3:6" x14ac:dyDescent="0.25">
      <c r="C52" cm="1">
        <f t="array" ref="C52:C53">1-$E41:$E42</f>
        <v>-0.13136078682907426</v>
      </c>
      <c r="D52">
        <f>$C52*$F46</f>
        <v>-0.1170030030542874</v>
      </c>
      <c r="E52">
        <f>$E41*$P$7</f>
        <v>0.37318370820312158</v>
      </c>
      <c r="F52">
        <f>SUM(D52:E52)</f>
        <v>0.25618070514883418</v>
      </c>
    </row>
    <row r="53" spans="3:6" x14ac:dyDescent="0.25">
      <c r="C53">
        <v>0.33798899732512755</v>
      </c>
      <c r="D53">
        <f>$C53*$F47</f>
        <v>0.18793191767062081</v>
      </c>
      <c r="E53">
        <f>$E42*$P$8</f>
        <v>2.220273189541002E-2</v>
      </c>
      <c r="F53">
        <f>SUM(D53:E53)</f>
        <v>0.21013464956603084</v>
      </c>
    </row>
    <row r="54" spans="3:6" x14ac:dyDescent="0.25">
      <c r="D54" t="s">
        <v>24</v>
      </c>
      <c r="E54" t="s">
        <v>24</v>
      </c>
      <c r="F54" t="s">
        <v>32</v>
      </c>
    </row>
  </sheetData>
  <mergeCells count="8">
    <mergeCell ref="O6:P6"/>
    <mergeCell ref="S6:T6"/>
    <mergeCell ref="Y2:Z2"/>
    <mergeCell ref="W2:X2"/>
    <mergeCell ref="U2:V2"/>
    <mergeCell ref="S2:T2"/>
    <mergeCell ref="Q2:R2"/>
    <mergeCell ref="O2:P2"/>
  </mergeCells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D6B299-2029-405E-BE40-B239C331F6AC}">
  <dimension ref="B2:Z3"/>
  <sheetViews>
    <sheetView zoomScale="115" zoomScaleNormal="115" workbookViewId="0">
      <selection activeCell="C6" sqref="C6"/>
    </sheetView>
  </sheetViews>
  <sheetFormatPr defaultRowHeight="15" x14ac:dyDescent="0.25"/>
  <cols>
    <col min="1" max="1" width="3" customWidth="1"/>
    <col min="3" max="26" width="8" customWidth="1"/>
  </cols>
  <sheetData>
    <row r="2" spans="2:26" x14ac:dyDescent="0.25">
      <c r="B2" t="s">
        <v>40</v>
      </c>
      <c r="C2">
        <f ca="1">RAND()</f>
        <v>0.68993190511707592</v>
      </c>
      <c r="D2">
        <f t="shared" ref="D2:Z2" ca="1" si="0">RAND()</f>
        <v>6.0106767261363103E-3</v>
      </c>
      <c r="E2">
        <f t="shared" ca="1" si="0"/>
        <v>0.93907550966743991</v>
      </c>
      <c r="F2">
        <f t="shared" ca="1" si="0"/>
        <v>0.90984298862036617</v>
      </c>
      <c r="G2">
        <f t="shared" ca="1" si="0"/>
        <v>0.36443502783000736</v>
      </c>
      <c r="H2">
        <f t="shared" ca="1" si="0"/>
        <v>0.93485545722299379</v>
      </c>
      <c r="I2">
        <f t="shared" ca="1" si="0"/>
        <v>2.8140636786542994E-2</v>
      </c>
      <c r="J2">
        <f t="shared" ca="1" si="0"/>
        <v>0.74667474906955522</v>
      </c>
      <c r="K2">
        <f t="shared" ca="1" si="0"/>
        <v>0.60355522320110833</v>
      </c>
      <c r="L2">
        <f t="shared" ca="1" si="0"/>
        <v>0.36930181318782063</v>
      </c>
      <c r="M2">
        <f t="shared" ca="1" si="0"/>
        <v>0.46049676117010407</v>
      </c>
      <c r="N2">
        <f t="shared" ca="1" si="0"/>
        <v>0.45446377341870581</v>
      </c>
      <c r="O2">
        <f t="shared" ca="1" si="0"/>
        <v>0.25884004018773177</v>
      </c>
      <c r="P2">
        <f t="shared" ca="1" si="0"/>
        <v>0.26573185083627737</v>
      </c>
      <c r="Q2">
        <f t="shared" ca="1" si="0"/>
        <v>0.35297290742535514</v>
      </c>
      <c r="R2">
        <f t="shared" ca="1" si="0"/>
        <v>0.13606012931168587</v>
      </c>
      <c r="S2">
        <f t="shared" ca="1" si="0"/>
        <v>0.77684437920535543</v>
      </c>
      <c r="T2">
        <f t="shared" ca="1" si="0"/>
        <v>0.35235130509459034</v>
      </c>
      <c r="U2">
        <f t="shared" ca="1" si="0"/>
        <v>0.81127274776681857</v>
      </c>
      <c r="V2">
        <f t="shared" ca="1" si="0"/>
        <v>0.44585309791236871</v>
      </c>
      <c r="W2">
        <f t="shared" ca="1" si="0"/>
        <v>0.68811931225201728</v>
      </c>
      <c r="X2">
        <f t="shared" ca="1" si="0"/>
        <v>0.40781254467486749</v>
      </c>
      <c r="Y2">
        <f t="shared" ca="1" si="0"/>
        <v>0.97478795248519978</v>
      </c>
      <c r="Z2">
        <f t="shared" ca="1" si="0"/>
        <v>0.62017293343435853</v>
      </c>
    </row>
    <row r="3" spans="2:26" x14ac:dyDescent="0.25">
      <c r="B3" t="s">
        <v>41</v>
      </c>
      <c r="C3">
        <v>1</v>
      </c>
      <c r="D3">
        <v>2</v>
      </c>
      <c r="E3">
        <v>3</v>
      </c>
      <c r="F3">
        <v>4</v>
      </c>
      <c r="G3">
        <v>5</v>
      </c>
      <c r="H3">
        <v>6</v>
      </c>
      <c r="I3">
        <v>7</v>
      </c>
      <c r="J3">
        <v>8</v>
      </c>
      <c r="K3">
        <v>9</v>
      </c>
      <c r="L3">
        <v>10</v>
      </c>
      <c r="M3">
        <v>11</v>
      </c>
      <c r="N3">
        <v>12</v>
      </c>
      <c r="O3">
        <v>13</v>
      </c>
      <c r="P3">
        <v>14</v>
      </c>
      <c r="Q3">
        <v>15</v>
      </c>
      <c r="R3">
        <v>16</v>
      </c>
      <c r="S3">
        <v>17</v>
      </c>
      <c r="T3">
        <v>18</v>
      </c>
      <c r="U3">
        <v>19</v>
      </c>
      <c r="V3">
        <v>20</v>
      </c>
      <c r="W3">
        <v>21</v>
      </c>
      <c r="X3">
        <v>22</v>
      </c>
      <c r="Y3">
        <v>23</v>
      </c>
      <c r="Z3">
        <v>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DATA</vt:lpstr>
      <vt:lpstr>FRONTEND</vt:lpstr>
      <vt:lpstr>CNN-BE</vt:lpstr>
      <vt:lpstr>GRU-BE</vt:lpstr>
      <vt:lpstr>ATTN-BE</vt:lpstr>
      <vt:lpstr>EVAL</vt:lpstr>
      <vt:lpstr>||</vt:lpstr>
      <vt:lpstr>CONVTEST</vt:lpstr>
      <vt:lpstr>GRU</vt:lpstr>
      <vt:lpstr>LMSPEC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Hugo Alfedo Putra</dc:creator>
  <cp:lastModifiedBy>Hugo Alfedo Putra</cp:lastModifiedBy>
  <dcterms:created xsi:type="dcterms:W3CDTF">2026-04-14T05:22:34Z</dcterms:created>
  <dcterms:modified xsi:type="dcterms:W3CDTF">2026-04-22T14:08:58Z</dcterms:modified>
</cp:coreProperties>
</file>